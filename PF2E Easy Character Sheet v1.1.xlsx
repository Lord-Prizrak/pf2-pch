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5"/>
    <sheet state="visible" name="Character Sheet" sheetId="2" r:id="rId6"/>
    <sheet state="visible" name="Abilities" sheetId="3" r:id="rId7"/>
    <sheet state="visible" name="Inventory" sheetId="4" r:id="rId8"/>
    <sheet state="visible" name="Spells" sheetId="5" r:id="rId9"/>
    <sheet state="visible" name="Spell Database" sheetId="6" r:id="rId10"/>
    <sheet state="visible" name="Animal Companion" sheetId="7" r:id="rId11"/>
    <sheet state="visible" name="Familiar" sheetId="8" r:id="rId12"/>
    <sheet state="visible" name="Formula Book" sheetId="9" r:id="rId13"/>
    <sheet state="hidden" name="Data" sheetId="10" r:id="rId14"/>
  </sheets>
  <definedNames>
    <definedName name="Level">'Character Sheet'!$AZ$13</definedName>
    <definedName hidden="1" localSheetId="5" name="_xlnm._FilterDatabase">'Spell Database'!$A$1:$X$1214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B22">
      <text>
        <t xml:space="preserve">Fade all calculation details and hide colours (except for green)</t>
      </text>
    </comment>
    <comment authorId="0" ref="BB20">
      <text>
        <t xml:space="preserve">Weapon Specialization</t>
      </text>
    </comment>
    <comment authorId="0" ref="BB18">
      <text>
        <t xml:space="preserve">Untrained Improvisation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Z4">
      <text>
        <t xml:space="preserve">Fade all calculation details and hide colours (except for green)</t>
      </text>
    </comment>
    <comment authorId="0" ref="B48">
      <text>
        <t xml:space="preserve">The name of the feat goes on the line, and its detailed description can be filled out in this small box, obtained by right clicking, and scrolling down to "Insert Note"</t>
      </text>
    </comment>
    <comment authorId="0" ref="W48">
      <text>
        <t xml:space="preserve">Testing</t>
      </text>
    </comment>
    <comment authorId="0" ref="AR65">
      <text>
        <t xml:space="preserve">Every class has its special ability; rogues just happen to be feat based and so gain more feats. For all non-rogues please make use of this section as you wish</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3">
      <text>
        <t xml:space="preserve">In theory: Press the button, reverts all used spell slots that day back to zero, so prepared casters dont have to do that by hand.... eventually that will be doable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O4">
      <text>
        <t xml:space="preserve">Fade all calculation details and hide colours (except for green)</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O4">
      <text>
        <t xml:space="preserve">Fade all calculation details and hide colours (except for green)</t>
      </text>
    </comment>
  </commentList>
</comments>
</file>

<file path=xl/sharedStrings.xml><?xml version="1.0" encoding="utf-8"?>
<sst xmlns="http://schemas.openxmlformats.org/spreadsheetml/2006/main" count="29776" uniqueCount="6276">
  <si>
    <t>PF2E Autocalculating Character Sheet Exhanced v1.1</t>
  </si>
  <si>
    <t>By /u/AshenCombatant</t>
  </si>
  <si>
    <t>Make your own copy to edit here:</t>
  </si>
  <si>
    <t>For latest version, check out my reddit post:</t>
  </si>
  <si>
    <t>You are viewing the latest version</t>
  </si>
  <si>
    <t>Colour Legend</t>
  </si>
  <si>
    <t>Tips</t>
  </si>
  <si>
    <t>Auto-calculated (useful)</t>
  </si>
  <si>
    <t>DO NOT EDIT THESE CELLS</t>
  </si>
  <si>
    <t>Character Name</t>
  </si>
  <si>
    <t>- Check out the setting at the top right to fade details</t>
  </si>
  <si>
    <t>Auto-calculated (less useful)</t>
  </si>
  <si>
    <t xml:space="preserve">- You can change the ability used for a calculation by changing the three-letter abbreviation above the box. </t>
  </si>
  <si>
    <t>User-provided (numbers)</t>
  </si>
  <si>
    <t>Jeff</t>
  </si>
  <si>
    <t>EDIT THESE CELLS</t>
  </si>
  <si>
    <t>User-provided (free-form)</t>
  </si>
  <si>
    <r>
      <rPr>
        <rFont val="Verdana"/>
        <color theme="1"/>
        <sz val="10.0"/>
      </rPr>
      <t>- If you have more than one proficiency selected (</t>
    </r>
    <r>
      <rPr>
        <rFont val="Verdana"/>
        <i/>
        <color theme="1"/>
        <sz val="10.0"/>
      </rPr>
      <t>i.e.</t>
    </r>
    <r>
      <rPr>
        <rFont val="Verdana"/>
        <color theme="1"/>
        <sz val="10.0"/>
      </rPr>
      <t xml:space="preserve"> for TEML), the sheet will simply use the highest one.</t>
    </r>
  </si>
  <si>
    <t>Ancestry</t>
  </si>
  <si>
    <t>INVENTORY</t>
  </si>
  <si>
    <t>- You can use L (light) as the Bulk value for equipment.</t>
  </si>
  <si>
    <t>Credits</t>
  </si>
  <si>
    <t>- HIDE any sheets you are not using</t>
  </si>
  <si>
    <t>Creation</t>
  </si>
  <si>
    <t>Reddit user</t>
  </si>
  <si>
    <t>Author's Note</t>
  </si>
  <si>
    <t xml:space="preserve">This character sheet is as up to date as Treasure Vault, and includes the formatting for spells and classes from the expansion, but with the inevitable addition of more content I have done what I can with adding a "Other" to the (hidden) Data tab, allowing quick changes for any homebrew or new classes that may be added. Good luck using this sheet, its as fool proof as I could make it.
</t>
  </si>
  <si>
    <t>ARMOR</t>
  </si>
  <si>
    <t>Gnome</t>
  </si>
  <si>
    <t>Heritage</t>
  </si>
  <si>
    <t>OTHER INVENTORY</t>
  </si>
  <si>
    <t>PF2E Simplified</t>
  </si>
  <si>
    <t>OTHER OTHER INVENTORY</t>
  </si>
  <si>
    <t>Background</t>
  </si>
  <si>
    <t>Coin Bulk</t>
  </si>
  <si>
    <t>Item</t>
  </si>
  <si>
    <t>Size</t>
  </si>
  <si>
    <t>AC</t>
  </si>
  <si>
    <t>Dex Cap</t>
  </si>
  <si>
    <t>Check Pen</t>
  </si>
  <si>
    <t>Speed Pen</t>
  </si>
  <si>
    <t>Str Req</t>
  </si>
  <si>
    <t>Bulk</t>
  </si>
  <si>
    <t>Invest</t>
  </si>
  <si>
    <t>Player</t>
  </si>
  <si>
    <t>Weapon 1</t>
  </si>
  <si>
    <t>Jerry</t>
  </si>
  <si>
    <t>Qty</t>
  </si>
  <si>
    <t>Class</t>
  </si>
  <si>
    <t>Total Bulk</t>
  </si>
  <si>
    <r>
      <rPr>
        <rFont val="Verdana"/>
        <b/>
        <color rgb="FF000000"/>
        <sz val="12.0"/>
      </rPr>
      <t xml:space="preserve">Adventurer's pack </t>
    </r>
    <r>
      <rPr>
        <rFont val="Verdana"/>
        <b val="0"/>
        <color rgb="FF000000"/>
        <sz val="12.0"/>
      </rPr>
      <t>(max. 4 bulk, minus 2 bulk)</t>
    </r>
  </si>
  <si>
    <t>PF2E Simplified 2.0</t>
  </si>
  <si>
    <t>Standard Rules</t>
  </si>
  <si>
    <t>Padded armor</t>
  </si>
  <si>
    <t>Current Version</t>
  </si>
  <si>
    <t>Druid</t>
  </si>
  <si>
    <t>Key Ability</t>
  </si>
  <si>
    <t>L</t>
  </si>
  <si>
    <t>/u/AshenCombatant</t>
  </si>
  <si>
    <t>Wis</t>
  </si>
  <si>
    <t>Action/Activity Icon Legend</t>
  </si>
  <si>
    <t>x</t>
  </si>
  <si>
    <t>=</t>
  </si>
  <si>
    <t>1, 2, or 3 actions</t>
  </si>
  <si>
    <t>Free</t>
  </si>
  <si>
    <t>Reaction</t>
  </si>
  <si>
    <t>Variable</t>
  </si>
  <si>
    <t>Alignment</t>
  </si>
  <si>
    <t>Deity</t>
  </si>
  <si>
    <t>Experience</t>
  </si>
  <si>
    <t xml:space="preserve"> XP</t>
  </si>
  <si>
    <t>Spellcasting Tradition</t>
  </si>
  <si>
    <t>Primal</t>
  </si>
  <si>
    <t>Group</t>
  </si>
  <si>
    <t>Runes</t>
  </si>
  <si>
    <t>Armor Traits</t>
  </si>
  <si>
    <t>Weapon 2</t>
  </si>
  <si>
    <t>Backpack, Bedroll, Belt pouch (2), Chalk (10), Flint/steel, Rope (50 ft), Rations (2 weeks), Soap, Torch (5), Waterskin</t>
  </si>
  <si>
    <t>Exact Wieght</t>
  </si>
  <si>
    <t>Light Armor</t>
  </si>
  <si>
    <t>PORTRAIT</t>
  </si>
  <si>
    <t>ABILITY SCORES</t>
  </si>
  <si>
    <t>Healer's/Alchemist's/Thieves' Tool</t>
  </si>
  <si>
    <t>ARMOR CLASS</t>
  </si>
  <si>
    <t>Climbing/Repair/Disguise/Snare kit</t>
  </si>
  <si>
    <t>Resulting Bulk</t>
  </si>
  <si>
    <t>SHIELD</t>
  </si>
  <si>
    <t>HIT POINTS</t>
  </si>
  <si>
    <t>Level</t>
  </si>
  <si>
    <t>Hero Points</t>
  </si>
  <si>
    <t>&gt;:D</t>
  </si>
  <si>
    <t>Score</t>
  </si>
  <si>
    <t>Modifier</t>
  </si>
  <si>
    <t>Dex</t>
  </si>
  <si>
    <t>Prof</t>
  </si>
  <si>
    <t>Hardness</t>
  </si>
  <si>
    <t>Max HP</t>
  </si>
  <si>
    <t>Shield</t>
  </si>
  <si>
    <t>BT</t>
  </si>
  <si>
    <t>HP</t>
  </si>
  <si>
    <t>Hard</t>
  </si>
  <si>
    <t>Max</t>
  </si>
  <si>
    <t>Current</t>
  </si>
  <si>
    <t>STR</t>
  </si>
  <si>
    <t>Buckler</t>
  </si>
  <si>
    <t>INT</t>
  </si>
  <si>
    <t>+</t>
  </si>
  <si>
    <t>Current Bulk</t>
  </si>
  <si>
    <t>Exact Bulk</t>
  </si>
  <si>
    <t>Invested</t>
  </si>
  <si>
    <t>Notes</t>
  </si>
  <si>
    <t>CP</t>
  </si>
  <si>
    <t>GP</t>
  </si>
  <si>
    <t>/</t>
  </si>
  <si>
    <t>Bonus HP</t>
  </si>
  <si>
    <t>Enc</t>
  </si>
  <si>
    <t>Base</t>
  </si>
  <si>
    <t>DEX</t>
  </si>
  <si>
    <t>WIS</t>
  </si>
  <si>
    <t>Str</t>
  </si>
  <si>
    <t>Bonus</t>
  </si>
  <si>
    <t>Unarmored</t>
  </si>
  <si>
    <t>SP</t>
  </si>
  <si>
    <t>PP</t>
  </si>
  <si>
    <t>Medium Armor</t>
  </si>
  <si>
    <t>Heavy Armor</t>
  </si>
  <si>
    <t>T</t>
  </si>
  <si>
    <t>E</t>
  </si>
  <si>
    <t>M</t>
  </si>
  <si>
    <t>ABILITIES</t>
  </si>
  <si>
    <t>Dying</t>
  </si>
  <si>
    <t>Wounded</t>
  </si>
  <si>
    <t>Temp HP</t>
  </si>
  <si>
    <t>5 / 10</t>
  </si>
  <si>
    <t>Settings</t>
  </si>
  <si>
    <t>CON</t>
  </si>
  <si>
    <t>CHA</t>
  </si>
  <si>
    <t>CASTER LEVEL</t>
  </si>
  <si>
    <t>SKILLS</t>
  </si>
  <si>
    <t>Untrained Improv.</t>
  </si>
  <si>
    <t>CLASS DC</t>
  </si>
  <si>
    <t>CANTRIPS</t>
  </si>
  <si>
    <t>Total</t>
  </si>
  <si>
    <t>SAVING THROWS</t>
  </si>
  <si>
    <t>AMMUNITION</t>
  </si>
  <si>
    <t>PERCEPTION</t>
  </si>
  <si>
    <t>Prof.</t>
  </si>
  <si>
    <t>Armor</t>
  </si>
  <si>
    <t>Feats</t>
  </si>
  <si>
    <t>Feats listed</t>
  </si>
  <si>
    <t>Item Being Used</t>
  </si>
  <si>
    <t>Con</t>
  </si>
  <si>
    <t>KNOWN SPELLS</t>
  </si>
  <si>
    <t>Fade Calculations</t>
  </si>
  <si>
    <t>W. Specialization</t>
  </si>
  <si>
    <t>Acrobatics</t>
  </si>
  <si>
    <t>Caster Type:</t>
  </si>
  <si>
    <t>Cantrip</t>
  </si>
  <si>
    <t>Arrows</t>
  </si>
  <si>
    <t>Lv</t>
  </si>
  <si>
    <t>Lv+</t>
  </si>
  <si>
    <t>Frost Arrow</t>
  </si>
  <si>
    <t>Actions</t>
  </si>
  <si>
    <t>Type 3</t>
  </si>
  <si>
    <t>Name</t>
  </si>
  <si>
    <t>Type 4</t>
  </si>
  <si>
    <t>Type 5</t>
  </si>
  <si>
    <t>Type 6</t>
  </si>
  <si>
    <t>Range</t>
  </si>
  <si>
    <t>Target/Area</t>
  </si>
  <si>
    <t>Save/Attack</t>
  </si>
  <si>
    <t>Cantrips</t>
  </si>
  <si>
    <t>1st lv spells</t>
  </si>
  <si>
    <t>Fortitude</t>
  </si>
  <si>
    <t>–</t>
  </si>
  <si>
    <t>Acid Splash</t>
  </si>
  <si>
    <t>Int</t>
  </si>
  <si>
    <t>Arcana</t>
  </si>
  <si>
    <t>MAGIC ITEMS</t>
  </si>
  <si>
    <t>SPEED</t>
  </si>
  <si>
    <t>Reflex</t>
  </si>
  <si>
    <t>Description</t>
  </si>
  <si>
    <t>Stick of Division</t>
  </si>
  <si>
    <t>The most stick-like of sticks, has the powers of multiplication</t>
  </si>
  <si>
    <t>1st lv: [Class Bonus] + [Int Mod] for starting skills, each with a max of trained. On standard classes you gain more skill proficencies every other level
3rd lv: You can now put points into Expert ranked skills (if you are trained)
7th lv: You can now become a Master in a skill
15th lv: Legendary skill proficiencies are possible</t>
  </si>
  <si>
    <t>Athletics</t>
  </si>
  <si>
    <t>Speed</t>
  </si>
  <si>
    <t>Penalties</t>
  </si>
  <si>
    <t>Movement Types &amp; Notes</t>
  </si>
  <si>
    <t>Type</t>
  </si>
  <si>
    <t>Rarity</t>
  </si>
  <si>
    <t>Component</t>
  </si>
  <si>
    <t>Will</t>
  </si>
  <si>
    <t>Crafting</t>
  </si>
  <si>
    <t>LANGUAGES</t>
  </si>
  <si>
    <t>Common (Taldane), 
[Racial, +1 for each INT mod]</t>
  </si>
  <si>
    <t>Used</t>
  </si>
  <si>
    <t>WEAPON PROFICIENCIES</t>
  </si>
  <si>
    <t>SPELL ATTACK ROLL AND DC</t>
  </si>
  <si>
    <t>Cha</t>
  </si>
  <si>
    <t>Simple/Unarmed</t>
  </si>
  <si>
    <t>Martial</t>
  </si>
  <si>
    <t>Deception</t>
  </si>
  <si>
    <t>Attack</t>
  </si>
  <si>
    <t>DC</t>
  </si>
  <si>
    <t>Types of Casters</t>
  </si>
  <si>
    <t>Duration</t>
  </si>
  <si>
    <t>School</t>
  </si>
  <si>
    <t>2nd lv spells</t>
  </si>
  <si>
    <t>3rd lv spells</t>
  </si>
  <si>
    <t>Diplomacy</t>
  </si>
  <si>
    <t>X</t>
  </si>
  <si>
    <t>Spontanious: Flexible Spell slots</t>
  </si>
  <si>
    <t>Intimidation</t>
  </si>
  <si>
    <t>MELEE STRIKES</t>
  </si>
  <si>
    <t>RANGED STRIKES</t>
  </si>
  <si>
    <t>Weapon</t>
  </si>
  <si>
    <t>Lore</t>
  </si>
  <si>
    <t>Bards, Oracle, Sorcerers</t>
  </si>
  <si>
    <r>
      <rPr>
        <rFont val="Verdana"/>
        <b/>
        <color rgb="FF000000"/>
        <sz val="12.0"/>
      </rPr>
      <t xml:space="preserve">Bandolier </t>
    </r>
    <r>
      <rPr>
        <rFont val="Verdana"/>
        <b val="0"/>
        <color rgb="FF000000"/>
        <sz val="12.0"/>
      </rPr>
      <t>(max. 8 items of light bulk)</t>
    </r>
  </si>
  <si>
    <t>Focus</t>
  </si>
  <si>
    <t>Special Container / Bag of Holding</t>
  </si>
  <si>
    <t>Contribute Bulk?</t>
  </si>
  <si>
    <t>Every spell you learn becomes an option to cast, but can only be changed out when you level up. Any spell can be cast by expending the spellslot, no preperation required. Cant overcast easily.</t>
  </si>
  <si>
    <t>STANDARD ACTIONS</t>
  </si>
  <si>
    <t>SIMPLE DC</t>
  </si>
  <si>
    <t>Stride (Movement)</t>
  </si>
  <si>
    <t>Traits</t>
  </si>
  <si>
    <t>Fin.</t>
  </si>
  <si>
    <t>Agile</t>
  </si>
  <si>
    <t>Additional</t>
  </si>
  <si>
    <t>MAP</t>
  </si>
  <si>
    <t>Damage</t>
  </si>
  <si>
    <t>W.Spec</t>
  </si>
  <si>
    <t>Reload</t>
  </si>
  <si>
    <t xml:space="preserve">Range  </t>
  </si>
  <si>
    <t>Misc.</t>
  </si>
  <si>
    <t>Medicine</t>
  </si>
  <si>
    <t>4th lv spells</t>
  </si>
  <si>
    <t>5th lv spells</t>
  </si>
  <si>
    <t>Step (5ft, no reactions)</t>
  </si>
  <si>
    <t>1st Lv</t>
  </si>
  <si>
    <t>Nature</t>
  </si>
  <si>
    <r>
      <rPr>
        <rFont val="Verdana"/>
        <b/>
        <color rgb="FF000000"/>
        <sz val="12.0"/>
      </rPr>
      <t xml:space="preserve">Belt Pouch </t>
    </r>
    <r>
      <rPr>
        <rFont val="Verdana"/>
        <b val="0"/>
        <color rgb="FF000000"/>
        <sz val="12.0"/>
      </rPr>
      <t>(max. 4 items of light bulk)</t>
    </r>
  </si>
  <si>
    <t>Occultism</t>
  </si>
  <si>
    <t>Strike (Attack)</t>
  </si>
  <si>
    <t>Performance</t>
  </si>
  <si>
    <t>2nd Lv</t>
  </si>
  <si>
    <t>SITUATIONAL</t>
  </si>
  <si>
    <t>random effects to use as needed</t>
  </si>
  <si>
    <t>Religion</t>
  </si>
  <si>
    <t>Cast a (Standard) Spell</t>
  </si>
  <si>
    <t>Society</t>
  </si>
  <si>
    <t>Raise Shield (AC bonus)</t>
  </si>
  <si>
    <t>6th lv spells</t>
  </si>
  <si>
    <t>7th lv spells</t>
  </si>
  <si>
    <t>3rd Lv</t>
  </si>
  <si>
    <t>Stealth</t>
  </si>
  <si>
    <t>Prepared: Flexible Spell knowledge</t>
  </si>
  <si>
    <t>Survival</t>
  </si>
  <si>
    <t>Interact</t>
  </si>
  <si>
    <t>Thievery</t>
  </si>
  <si>
    <t>name</t>
  </si>
  <si>
    <t>level</t>
  </si>
  <si>
    <t>rarity</t>
  </si>
  <si>
    <t>school</t>
  </si>
  <si>
    <t>heightenable</t>
  </si>
  <si>
    <t>actions</t>
  </si>
  <si>
    <t>components</t>
  </si>
  <si>
    <t>Target</t>
  </si>
  <si>
    <t>Saving Throw</t>
  </si>
  <si>
    <t>category</t>
  </si>
  <si>
    <t>Level 1</t>
  </si>
  <si>
    <t>Level 2</t>
  </si>
  <si>
    <t>Level 3</t>
  </si>
  <si>
    <t>Level 4</t>
  </si>
  <si>
    <t>Level 5</t>
  </si>
  <si>
    <t>Level 6</t>
  </si>
  <si>
    <t>Level 7</t>
  </si>
  <si>
    <t>Level 8</t>
  </si>
  <si>
    <t>Note: Limited space; Please right click each box and make use of "Insert Note" ability for full description of ability and feat.</t>
  </si>
  <si>
    <t>Level 9</t>
  </si>
  <si>
    <t>Level 10</t>
  </si>
  <si>
    <t>traditions</t>
  </si>
  <si>
    <t>Source</t>
  </si>
  <si>
    <t>ANCESTRY FEATS &amp; ABILITIES</t>
  </si>
  <si>
    <t>Delay (Hold Turn)</t>
  </si>
  <si>
    <t>Cleric, druid, wizard</t>
  </si>
  <si>
    <t>C</t>
  </si>
  <si>
    <t>Evo</t>
  </si>
  <si>
    <t>Y</t>
  </si>
  <si>
    <t>CLASS FEATS &amp; ABILITIES</t>
  </si>
  <si>
    <t>SPECIAL ABILITIES</t>
  </si>
  <si>
    <t>Feat Name</t>
  </si>
  <si>
    <t>S,V</t>
  </si>
  <si>
    <t>30ft</t>
  </si>
  <si>
    <t>1 creature</t>
  </si>
  <si>
    <t>Special 1st</t>
  </si>
  <si>
    <t>Instant</t>
  </si>
  <si>
    <t>Test</t>
  </si>
  <si>
    <t>On hit deal 1d6 acid damage, plus 1 splash. On Crit target gains 1 persistent acid damage.</t>
  </si>
  <si>
    <t>On hit deal 1d6+[Spellcasting Mod] acid damage, plus 1 splash. On Crit target gains 2 persistent acid damage.</t>
  </si>
  <si>
    <t>On hit deal 2d6+[Spellcasting Mod] acid damage, plus 2 splash damage. On Crit target gains 3 persistent acid damage.</t>
  </si>
  <si>
    <t>On hit deal 3d6+[Spellcasting Mod] acid damage, plus 3 splash damage. On Crit target gains 4 persistent acid damage.</t>
  </si>
  <si>
    <t>On hit deal 4d6+[Spellcasting Mod] acid damage, plus 4 splash damage. On Crit target gains 5 persistent acid damage.</t>
  </si>
  <si>
    <t>arcane, primal</t>
  </si>
  <si>
    <t>Core</t>
  </si>
  <si>
    <t>Approximate</t>
  </si>
  <si>
    <t>Feature 1st</t>
  </si>
  <si>
    <t>Class Feature expanded</t>
  </si>
  <si>
    <t>Div</t>
  </si>
  <si>
    <t>N</t>
  </si>
  <si>
    <t>Ready (Hold Action)</t>
  </si>
  <si>
    <t>10ft</t>
  </si>
  <si>
    <t>1ft cube</t>
  </si>
  <si>
    <t>N/A</t>
  </si>
  <si>
    <t>Name object to count; instantly gain rounded number of objects you can see. Rounds to the largest number (180 copper becomes 200). 
Note: "Dented copper coins" is different than "copper coins" and gold plated coins will show up as "gold coins"</t>
  </si>
  <si>
    <t>arcane, divine, occult, primal</t>
  </si>
  <si>
    <t>Secrets of Magic</t>
  </si>
  <si>
    <t>Bullhorn</t>
  </si>
  <si>
    <t>Heritage 1st</t>
  </si>
  <si>
    <t>Ill</t>
  </si>
  <si>
    <t>Feat 1st</t>
  </si>
  <si>
    <t>ACTIONS, REACTIONS &amp; ACTIVITIES</t>
  </si>
  <si>
    <t>Self</t>
  </si>
  <si>
    <t>10 min</t>
  </si>
  <si>
    <t>Feat 5th</t>
  </si>
  <si>
    <t>For the duration your voice can be heard clearly by anyone within 500ft, even if ambiant noise would block sound. Walls still block sound. Gain a +1 to attempts to Perform or Coerce. You can freely dismiss the spell.</t>
  </si>
  <si>
    <t>For the duration your voice can be heard clearly by anyone within 1200ft, even if ambiant noise would block sound. Walls still block sound. Gain a +1 to attempts to Perform or Coerce. You can freely dismiss the spell.</t>
  </si>
  <si>
    <t>Feat 2nd</t>
  </si>
  <si>
    <t>For the duration your voice can be heard clearly by anyone within 1 mile (5200ft), even if ambiant noise would block sound. Walls still block sound. Gain a +1 to attempts to Perform or Coerce. You can freely dismiss the spell.</t>
  </si>
  <si>
    <t>arcane, divine, occult</t>
  </si>
  <si>
    <t>Chill Touch</t>
  </si>
  <si>
    <t>4th Lv</t>
  </si>
  <si>
    <t>Nec</t>
  </si>
  <si>
    <t>Touch</t>
  </si>
  <si>
    <t>Basic Fortitude</t>
  </si>
  <si>
    <t>Against Living: Deal 1d4+[Mod] Negative damage on failed save. Become enfeebled 1 for 1 round on crit fail.
Against Undead: Target becomes flat-footed for 1 round. On Crit fail target makes Will save or flees for 1 round.</t>
  </si>
  <si>
    <t>Feat 9th</t>
  </si>
  <si>
    <t>Against Living: Deal 2d4+[Mod] Negative damage on failed save. Become enfeebled 1 for 1 round on crit fail.
Against Undead: Target becomes flat-footed for 1 round. On Crit fail target makes Will save or flees for 1 round.</t>
  </si>
  <si>
    <t>Against Living: Deal 3d4+[Mod] Negative damage on failed save. Become enfeebled 1 for 1 round on crit fail.
Against Undead: Target becomes flat-footed for 1 round. On Crit fail target makes Will save or flees for 1 round.</t>
  </si>
  <si>
    <t>Against Living: Deal 4d4+[Mod] Negative damage on failed save. Become enfeebled 1 for 1 round on crit fail.
Against Undead: Target becomes flat-footed for 1 round. On Crit fail target makes Will save or flees for 1 round.</t>
  </si>
  <si>
    <t>Against Living: Deal 5d4+[Mod] Negative damage on failed save. Become enfeebled 1 for 1 round on crit fail.
Against Undead: Target becomes flat-footed for 1 round. On Crit fail target makes Will save or flees for 1 round."</t>
  </si>
  <si>
    <t>Against Living: Deal 6d4+[Mod] Negative damage on failed save. Become enfeebled 1 for 1 round on crit fail.
Against Undead: Target becomes flat-footed for 1 round. On Crit fail target makes Will save or flees for 1 round.</t>
  </si>
  <si>
    <t>Feature 3rd</t>
  </si>
  <si>
    <t>Against Living: Deal 7d4+[Mod] Negative damage on failed save. Become enfeebled 1 for 1 round on crit fail.
Against Undead: Target becomes flat-footed for 1 round. On Crit fail target makes Will save or flees for 1 round."</t>
  </si>
  <si>
    <t>Against Living: Deal 8d4+[Mod] Negative damage on failed save. Become enfeebled 1 for 1 round on crit fail.
Against Undead: Target becomes flat-footed for 1 round. On Crit fail target makes Will save or flees for 1 round.</t>
  </si>
  <si>
    <t>Against Living: Deal 9d4+[Mod] Negative damage on failed save. Become enfeebled 1 for 1 round on crit fail.
Against Undead: Target becomes flat-footed for 1 round. On Crit fail target makes Will save or flees for 1 round."</t>
  </si>
  <si>
    <t>Against Living: Deal 10d4+[Mod] Negative damage on failed save. Become enfeebled 1 for 1 round on crit fail.
Against Undead: Target becomes flat-footed for 1 round. On Crit fail target makes Will save or flees for 1 round."</t>
  </si>
  <si>
    <t>Source / Notes</t>
  </si>
  <si>
    <t>Dancing Lights</t>
  </si>
  <si>
    <t>Resistance, Immunities, and Notes</t>
  </si>
  <si>
    <t>120ft</t>
  </si>
  <si>
    <t>[S]</t>
  </si>
  <si>
    <t xml:space="preserve">Create 4 floating lights, no two of which can be more than 10ft apart. Sheds light upto 20ft of bright light and 20 more ft dim. When sustaining can move any number of lights upto 60ft. </t>
  </si>
  <si>
    <t>Feat 13th</t>
  </si>
  <si>
    <t>Feat 4th</t>
  </si>
  <si>
    <t>arcane, occult, primal</t>
  </si>
  <si>
    <t>Daze</t>
  </si>
  <si>
    <t>Ench</t>
  </si>
  <si>
    <t>60ft</t>
  </si>
  <si>
    <t>Cloud the target's mind with a mental jolt. Deals mental damage equal to [Spellcasting Mod]. On a crit fail target also becomes stunned 1 for 1 round.</t>
  </si>
  <si>
    <t>Feat 17th</t>
  </si>
  <si>
    <t>Cloud the target's mind with a mental jolt. Deals mental damage equal to 1d6+[Spellcasting Mod]. On a crit fail target also becomes stunned 1 for 1 round.</t>
  </si>
  <si>
    <t>Cloud the target's mind with a mental jolt. Deals mental damage equal to 2d6+[Spellcasting Mod]. On a crit fail target also becomes stunned 1 for 1 round.</t>
  </si>
  <si>
    <t>Cloud the target's mind with a mental jolt. Deals mental damage equal to 3d6+[Spellcasting Mod]. On a crit fail target also becomes stunned 1 for 1 round.</t>
  </si>
  <si>
    <t>Feature 5th</t>
  </si>
  <si>
    <t>Cloud the target's mind with a mental jolt. Deals mental damage equal to 4d6+[Spellcasting Mod]. On a crit fail target also becomes stunned 1 for 1 round.</t>
  </si>
  <si>
    <t>Detect Magic</t>
  </si>
  <si>
    <t>Every morning you prepare the spells you wish to cast that day, and the level you want to cast them at. You can only cast a spell as many times as you prepare it.</t>
  </si>
  <si>
    <t>Send out a pulse that registers the presence of magic, registering nothing beyond "presense of magic item." Freely magic items you already know about. Deceptive Illusion magic is detected only if it is a lower level than Detect Magic Spell (Invisibility spells register normally)</t>
  </si>
  <si>
    <t>Feat 6th</t>
  </si>
  <si>
    <t>Send out a pulse that registers the presence of magic, registering "presense of magic item" and the school of magic of the strongest item detected. Freely magic items you already know about. Deceptive Illusion magic is detected only if it is a lower level than Detect Magic Spell (Invisibility spells register normally)</t>
  </si>
  <si>
    <t>Send out a pulse that registers the presence of magic, registering "presense of magic item" and both the rough location and school of magic of the strongest item detected. Freely magic items you already know about. Deceptive Illusion magic is detected only if it is a lower level than Detect Magic Spell (Invisibility spells register normally)</t>
  </si>
  <si>
    <t>Disrupt Undead</t>
  </si>
  <si>
    <t>1 Undead</t>
  </si>
  <si>
    <t>Feature 7th</t>
  </si>
  <si>
    <t>Lancing an undead to deal 1d6+[Mod] positive damage. On Crit fail target becomes enfeebled 1 for 1 round.</t>
  </si>
  <si>
    <t>Lancing an undead to deal 2d6+[Mod] positive damage. On Crit fail target becomes enfeebled 1 for 1 round.</t>
  </si>
  <si>
    <t>Lancing an undead to deal 3d6+[Mod] positive damage. On Crit fail target becomes enfeebled 1 for 1 round.</t>
  </si>
  <si>
    <t>Lancing an undead to deal 4d6+[Mod] positive damage. On Crit fail target becomes enfeebled 1 for 1 round.</t>
  </si>
  <si>
    <t>Lancing an undead to deal 5d6+[Mod] positive damage. On Crit fail target becomes enfeebled 1 for 1 round.</t>
  </si>
  <si>
    <t>test</t>
  </si>
  <si>
    <t>Lancing an undead to deal 6d6+[Mod] positive damage. On Crit fail target becomes enfeebled 1 for 1 round.</t>
  </si>
  <si>
    <t>Lancing an undead to deal 7d6+[Mod] positive damage. On Crit fail target becomes enfeebled 1 for 1 round.</t>
  </si>
  <si>
    <t>ROGUE EXTRA SKILL FEATS</t>
  </si>
  <si>
    <t>Lancing an undead to deal 8d6+[Mod] positive damage. On Crit fail target becomes enfeebled 1 for 1 round.</t>
  </si>
  <si>
    <t>Lancing an undead to deal 9d6+[Mod] positive damage. On Crit fail target becomes enfeebled 1 for 1 round.</t>
  </si>
  <si>
    <t>Lancing an undead to deal 10d6+[Mod] positive damage. On Crit fail target becomes enfeebled 1 for 1 round.</t>
  </si>
  <si>
    <t>divine, primal</t>
  </si>
  <si>
    <t>Divine Lance</t>
  </si>
  <si>
    <t>SKILL FEATS</t>
  </si>
  <si>
    <t>Unleash a lance of divine enegery. On hit deal 1d4+[Mod] damage determined by the alignment of your diety (chaotic, evil, good, or lawful).</t>
  </si>
  <si>
    <t>Unleash a lance of divine enegery. On hit deal 2d4+[Mod] damage determined by the alignment of your diety (chaotic, evil, good, or lawful).</t>
  </si>
  <si>
    <t>Unleash a lance of divine enegery. On hit deal 3d4+[Mod] damage determined by the alignment of your diety (chaotic, evil, good, or lawful).</t>
  </si>
  <si>
    <t>Unleash a lance of divine enegery. On hit deal 4d4+[Mod] damage determined by the alignment of your diety (chaotic, evil, good, or lawful).</t>
  </si>
  <si>
    <t>Unleash a lance of divine enegery. On hit deal 5d4+[Mod] damage determined by the alignment of your diety (chaotic, evil, good, or lawful).</t>
  </si>
  <si>
    <t>Feat 8th</t>
  </si>
  <si>
    <t>Unleash a lance of divine enegery. On hit deal 6d4+[Mod] damage determined by the alignment of your diety (chaotic, evil, good, or lawful).</t>
  </si>
  <si>
    <t>Unleash a lance of divine enegery. On hit deal 7d4+[Mod] damage determined by the alignment of your diety (chaotic, evil, good, or lawful).</t>
  </si>
  <si>
    <t>Rogue lv 1</t>
  </si>
  <si>
    <t>Unleash a lance of divine enegery. On hit deal 8d4+[Mod] damage determined by the alignment of your diety (chaotic, evil, good, or lawful).</t>
  </si>
  <si>
    <t>Unleash a lance of divine enegery. On hit deal 9d4+[Mod] damage determined by the alignment of your diety (chaotic, evil, good, or lawful).</t>
  </si>
  <si>
    <t>Unleash a lance of divine enegery. On hit deal 10d4+[Mod] damage determined by the alignment of your diety (chaotic, evil, good, or lawful).</t>
  </si>
  <si>
    <t>divine</t>
  </si>
  <si>
    <t>Electric Arc</t>
  </si>
  <si>
    <t>Upto 2</t>
  </si>
  <si>
    <t>Basic Reflex</t>
  </si>
  <si>
    <t>An arc of lightniung that leaps from one target to another. Deal 1d4+[Mod] electrical damage to upto two creastures.</t>
  </si>
  <si>
    <t>An arc of lightniung that leaps from one target to another. Deal 2d4+[Mod] electrical damage to upto two creastures.</t>
  </si>
  <si>
    <t>An arc of lightniung that leaps from one target to another. Deal 3d4+[Mod] electrical damage to upto two creastures.</t>
  </si>
  <si>
    <t>An arc of lightniung that leaps from one target to another. Deal 4d4+[Mod] electrical damage to upto two creastures.</t>
  </si>
  <si>
    <t>An arc of lightniung that leaps from one target to another. Deal 5d4+[Mod] electrical damage to upto two creastures.</t>
  </si>
  <si>
    <t>An arc of lightniung that leaps from one target to another. Deal 6d4+[Mod] electrical damage to upto two creastures.</t>
  </si>
  <si>
    <t>An arc of lightniung that leaps from one target to another. Deal 7d4+[Mod] electrical damage to upto two creastures.</t>
  </si>
  <si>
    <t>An arc of lightniung that leaps from one target to another. Deal 8d4+[Mod] electrical damage to upto two creastures.</t>
  </si>
  <si>
    <t>An arc of lightniung that leaps from one target to another. Deal 9d4+[Mod] electrical damage to upto two creastures.</t>
  </si>
  <si>
    <t>An arc of lightniung that leaps from one target to another. Deal 10d4+[Mod] electrical damage to upto two creastures.</t>
  </si>
  <si>
    <t>Forbidding Ward</t>
  </si>
  <si>
    <t>Feature 9th</t>
  </si>
  <si>
    <t>Rogue lv 3</t>
  </si>
  <si>
    <t>Abj</t>
  </si>
  <si>
    <t>1 ally, 1 enemy</t>
  </si>
  <si>
    <t>8th lv spells</t>
  </si>
  <si>
    <t>[S] 1min</t>
  </si>
  <si>
    <t>Protect an ally against a single enemy, granting a +1 bonus to AC and saving throws against the target enemy.</t>
  </si>
  <si>
    <t>9th lv spells</t>
  </si>
  <si>
    <t>5th Lv</t>
  </si>
  <si>
    <t>Protect an ally against a single enemy, granting a +2 bonus to AC and saving throws against the target enemy.</t>
  </si>
  <si>
    <t>divine, occult</t>
  </si>
  <si>
    <t>Frost's Touch</t>
  </si>
  <si>
    <t>2nd</t>
  </si>
  <si>
    <t>R</t>
  </si>
  <si>
    <t>Feat 10th</t>
  </si>
  <si>
    <t>Rogue lv 5</t>
  </si>
  <si>
    <t>1 object</t>
  </si>
  <si>
    <t xml:space="preserve">Your Gelid Shard drinks in nearby heat to achieve a coldness unknown to the material plane. You can cool a drink, make a hot pot safe to handle, or simular. You can solidify moisture into a tempuary object of negligble bulk that is extremely fragile; it can not be a tool, weapon, or spell component, and melts normally. </t>
  </si>
  <si>
    <t>Your Gelid Shard drinks in nearby heat to achieve a coldness unknown to the material plane. You can cool a drink, make a hot pot safe to handle, or simular. You can solidify moisture into a tempuary (lv 1) object of upto 1 bulk that is extremely fragile; it can not be a tool, weapon, or spell component, and melts normally. The object must be rigid, and a second casting causes the previous object to melt.</t>
  </si>
  <si>
    <t>Your Gelid Shard drinks in nearby heat to achieve a coldness unknown to the material plane. You can cool a drink, make a hot pot safe to handle, or simular. You can solidify moisture into a tempuary (lv 4) object of upto 4 bulk that is extremely fragile; it can not be a tool, weapon, or spell component, and melts normally. The object must be rigid, and a second casting causes the previous object to melt.</t>
  </si>
  <si>
    <t>Your Gelid Shard drinks in nearby heat to achieve a coldness unknown to the material plane. You can cool a drink, make a hot pot safe to handle, or simular. You can solidify moisture into a tempuary (lv 8) object of upto 8 bulk that is extremely fragile; it can not be a tool, weapon, or spell component, and melts normally. The object must be rigid, and a second casting causes the previous object to melt.</t>
  </si>
  <si>
    <t>Your Gelid Shard drinks in nearby heat to achieve a coldness unknown to the material plane. You can cool a drink, make a hot pot safe to handle, or simular. You can solidify moisture into a tempuary (lv 12) object of upto 20 bulk that is extremely fragile; it can not be a tool, weapon, or spell component, and melts normally. The object must be rigid, and a second casting causes the previous object to melt.</t>
  </si>
  <si>
    <t>4th</t>
  </si>
  <si>
    <t>arcane</t>
  </si>
  <si>
    <t>Treasure Vault</t>
  </si>
  <si>
    <t>Gale Blast</t>
  </si>
  <si>
    <t>Feature 11th</t>
  </si>
  <si>
    <t>Rogue lv 7</t>
  </si>
  <si>
    <t>5ft radius</t>
  </si>
  <si>
    <t>Protect yourself with the wind. Each adjacent creature takes [Mod] bludgeoning damage and pushed back 5ft on a failed Fort save. Double damage and pushed back 10ft on a critical failure.</t>
  </si>
  <si>
    <t>6th</t>
  </si>
  <si>
    <t>Protect yourself with the wind. Each adjacent creature takes 1d6+[Mod] bludgeoning damage and pushed back 5ft on a failed Fort save. Double damage and pushed back 10ft on a critical failure.</t>
  </si>
  <si>
    <t>Protect yourself with the wind. Each adjacent creature takes 2d6+[Mod] bludgeoning damage and pushed back 5ft on a failed Fort save. Double damage and pushed back 10ft on a critical failure.</t>
  </si>
  <si>
    <t>Feat 12th</t>
  </si>
  <si>
    <t>Protect yourself with the wind. Each adjacent creature takes 3d6+[Mod] bludgeoning damage and pushed back 5ft on a failed Fort save. Double damage and pushed back 10ft on a critical failure.</t>
  </si>
  <si>
    <t>Rogue lv 9</t>
  </si>
  <si>
    <t>Protect yourself with the wind. Each adjacent creature takes 4d6+[Mod] bludgeoning damage and pushed back 5ft on a failed Fort save. Double damage and pushed back 10ft on a critical failure.</t>
  </si>
  <si>
    <t>Ghost Sound</t>
  </si>
  <si>
    <t>Create a simple sound upto a maximum of four normal humans shouting eminating from a square within range. Can not create intelligible words or intericate sounds such as music.</t>
  </si>
  <si>
    <t>Create a simple sound upto a maximum of four normal humans shouting eminating from a square within 60ft. Can not create intelligible words or intericate sounds such as music.</t>
  </si>
  <si>
    <t>Create a simple sound upto a maximum of four normal humans shouting eminating from a square within 120ft. Can not create intelligible words or intericate sounds such as music.</t>
  </si>
  <si>
    <t>arcane, occult</t>
  </si>
  <si>
    <t>Gouging Claw</t>
  </si>
  <si>
    <t>Tran</t>
  </si>
  <si>
    <t>8th</t>
  </si>
  <si>
    <t>Turning a limb into a claw to make an attack. On hit deal 1d6+[Mod] slashing or piercing damage. On crit deal 1d4 persistent bleed damage.</t>
  </si>
  <si>
    <t>Feature 13th</t>
  </si>
  <si>
    <t>Turning a limb into a claw to make an attack. On hit deal 2d6+[Mod] slashing or piercing damage. On crit deal 2d4 persistent bleed damage.</t>
  </si>
  <si>
    <t>Turning a limb into a claw to make an attack. On hit deal 3d6+[Mod] slashing or piercing damage. On crit deal 3d4 persistent bleed damage.</t>
  </si>
  <si>
    <t>Rogue lv 11</t>
  </si>
  <si>
    <t>Turning a limb into a claw to make an attack. On hit deal 4d6+[Mod] slashing or piercing damage. On crit deal 4d4 persistent bleed damage.</t>
  </si>
  <si>
    <t>Turning a limb into a claw to make an attack. On hit deal 5d6+[Mod] slashing or piercing damage. On crit deal 5d4 persistent bleed damage.</t>
  </si>
  <si>
    <t>Turning a limb into a claw to make an attack. On hit deal 6d6+[Mod] slashing or piercing damage. On crit deal 6d4 persistent bleed damage.</t>
  </si>
  <si>
    <t>Turning a limb into a claw to make an attack. On hit deal 7d6+[Mod] slashing or piercing damage. On crit deal 7d4 persistent bleed damage.</t>
  </si>
  <si>
    <t>Turning a limb into a claw to make an attack. On hit deal 8d6+[Mod] slashing or piercing damage. On crit deal 8d4 persistent bleed damage.</t>
  </si>
  <si>
    <t>Turning a limb into a claw to make an attack. On hit deal 9d6+[Mod] slashing or piercing damage. On crit deal 9d4 persistent bleed damage.</t>
  </si>
  <si>
    <t>Turning a limb into a claw to make an attack. On hit deal 10d6+[Mod] slashing or piercing damage. On crit deal 10d4 persistent bleed damage.</t>
  </si>
  <si>
    <t>Guidance</t>
  </si>
  <si>
    <t>V</t>
  </si>
  <si>
    <t>1 round</t>
  </si>
  <si>
    <t>10th</t>
  </si>
  <si>
    <t>Grant target a +1 status bonus to one attack, perception check, or skill check. After casting target becomes immune to the spell for the next hour.</t>
  </si>
  <si>
    <t>Feat 14th</t>
  </si>
  <si>
    <t>Rogue lv 13</t>
  </si>
  <si>
    <t>divine, occult, primal</t>
  </si>
  <si>
    <t>Haunting Hyme</t>
  </si>
  <si>
    <t>15ft Cone</t>
  </si>
  <si>
    <t>Echo a jarring hymn that only creatures in range can hear, dealing [Mod] sonic damage. On crit fail target becomes deafened for 1 minute.</t>
  </si>
  <si>
    <t>Echo a jarring hymn that only creatures in range can hear, dealing 1d6+[Mod] sonic damage. On crit fail target becomes deafened for 1 minute.</t>
  </si>
  <si>
    <t>Echo a jarring hymn that only creatures in range can hear, dealing 2d6+[Mod] sonic damage. On crit fail target becomes deafened for 1 minute.</t>
  </si>
  <si>
    <t>Echo a jarring hymn that only creatures in range can hear, dealing 3d6+[Mod] sonic damage. On crit fail target becomes deafened for 1 minute.</t>
  </si>
  <si>
    <t>Echo a jarring hymn that only creatures in range can hear, dealing 4d6+[Mod] sonic damage. On crit fail target becomes deafened for 1 minute.</t>
  </si>
  <si>
    <t>Healing Plaster</t>
  </si>
  <si>
    <t>12th</t>
  </si>
  <si>
    <t>S</t>
  </si>
  <si>
    <t>5ft</t>
  </si>
  <si>
    <t>Feature 15th</t>
  </si>
  <si>
    <t>Purify dirt and mud to aid in healing. Can be used instead of healer's tools for medicine checks.</t>
  </si>
  <si>
    <t>Rogue lv 15</t>
  </si>
  <si>
    <t>Purify dirt and mud to aid in healing. Can be used instead of healer's tools for medicine checks with a +1 item bonus.</t>
  </si>
  <si>
    <t>primal</t>
  </si>
  <si>
    <t>Infectious Enthusiasm</t>
  </si>
  <si>
    <t>Encuraging yourself for a +1 to an attack, will save, or charisma based skill check. A single ally that sees you cast this spell can spend an action to gain the same bonus. Using this spell in front of someone you plan on using against will make them warry and the bonus can not be used.</t>
  </si>
  <si>
    <t>6th Lv</t>
  </si>
  <si>
    <t>14th</t>
  </si>
  <si>
    <t>Feat 16th</t>
  </si>
  <si>
    <t>Rogue lv 17</t>
  </si>
  <si>
    <t>Invoke True Name</t>
  </si>
  <si>
    <t>End of turn</t>
  </si>
  <si>
    <t>Enpower your magic against the target that you know the true name of. Target becomes flat-footed against you, and as a -2 circumstance penalty to saving throws against your spells. While under this spell, target has weakness 2 to your next spell.</t>
  </si>
  <si>
    <t>Enpower your magic against the target that you know the true name of. Target becomes flat-footed against you, and as a -2 circumstance penalty to saving throws against your spells. While under this spell, target has weakness 4 to your next spell.</t>
  </si>
  <si>
    <t>16th</t>
  </si>
  <si>
    <t>Enpower your magic against the target that you know the true name of. Target becomes flat-footed against you, and as a -2 circumstance penalty to saving throws against your spells. While under this spell, target has weakness 6 to your next spell.</t>
  </si>
  <si>
    <t>Enpower your magic against the target that you know the true name of. Target becomes flat-footed against you, and as a -2 circumstance penalty to saving throws against your spells. While under this spell, target has weakness 8 to your next spell.</t>
  </si>
  <si>
    <t>Enpower your magic against the target that you know the true name of. Target becomes flat-footed against you, and as a -2 circumstance penalty to saving throws against your spells. While under this spell, target has weakness 10 to your next spell.</t>
  </si>
  <si>
    <t>Enpower your magic against the target that you know the true name of. Target becomes flat-footed against you, and as a -2 circumstance penalty to saving throws against your spells. While under this spell, target has weakness 12 to your next spell.</t>
  </si>
  <si>
    <t>Feature 17th</t>
  </si>
  <si>
    <t>Enpower your magic against the target that you know the true name of. Target becomes flat-footed against you, and as a -2 circumstance penalty to saving throws against your spells. While under this spell, target has weakness 14 to your next spell.</t>
  </si>
  <si>
    <t>Rogue lv 19</t>
  </si>
  <si>
    <t>Enpower your magic against the target that you know the true name of. Target becomes flat-footed against you, and as a -2 circumstance penalty to saving throws against your spells. While under this spell, target has weakness 16 to your next spell.</t>
  </si>
  <si>
    <t>Enpower your magic against the target that you know the true name of. Target becomes flat-footed against you, and as a -2 circumstance penalty to saving throws against your spells. While under this spell, target has weakness 18 to your next spell.</t>
  </si>
  <si>
    <t>Enpower your magic against the target that you know the true name of. Target becomes flat-footed against you, and as a -2 circumstance penalty to saving throws against your spells. While under this spell, target has weakness 20 to your next spell.</t>
  </si>
  <si>
    <t>Join Pasts</t>
  </si>
  <si>
    <t>U</t>
  </si>
  <si>
    <t>2 creatures</t>
  </si>
  <si>
    <r>
      <rPr>
        <rFont val="Arial"/>
        <color theme="1"/>
      </rPr>
      <t xml:space="preserve">Touching the forhead of 2 individuals you create a mental link. Targets can share thoughts and experience, but not words. If one makes a Recall Knowledge check, all others connected can use </t>
    </r>
    <r>
      <rPr>
        <rFont val="Arial"/>
        <i/>
        <color theme="1"/>
      </rPr>
      <t>any</t>
    </r>
    <r>
      <rPr>
        <rFont val="Arial"/>
        <color theme="1"/>
      </rPr>
      <t xml:space="preserve"> Lore Skill to aid without preperations.</t>
    </r>
  </si>
  <si>
    <t>18th</t>
  </si>
  <si>
    <r>
      <rPr>
        <rFont val="Arial"/>
        <color theme="1"/>
      </rPr>
      <t xml:space="preserve">Touching the forhead of 3 individuals you create a mental link. Targets can share thoughts and experience, but not words. If one makes a Recall Knowledge check, all others connected can use </t>
    </r>
    <r>
      <rPr>
        <rFont val="Arial"/>
        <i/>
        <color theme="1"/>
      </rPr>
      <t>any</t>
    </r>
    <r>
      <rPr>
        <rFont val="Arial"/>
        <color theme="1"/>
      </rPr>
      <t xml:space="preserve"> Lore Skill to aid without preperations.</t>
    </r>
  </si>
  <si>
    <t>Touching the forhead of 4 individuals you create a mental link. Targets can share thoughts and experience, but not words. If one makes a Recall Knowledge check, all others connected can use any Lore Skill to aid without preperations.</t>
  </si>
  <si>
    <t>Touching the forhead of 5 individuals you create a mental link. Targets can share thoughts and experience, but not words. If one makes a Recall Knowledge check, all others connected can use any Lore Skill to aid without preperations.</t>
  </si>
  <si>
    <t>Touching the forhead of 6 individuals you create a mental link. Targets can share thoughts and experience, but not words. If one makes a Recall Knowledge check, all others connected can use any Lore Skill to aid without preperations.</t>
  </si>
  <si>
    <t>Touching the forhead of 7 individuals you create a mental link. Targets can share thoughts and experience, but not words. If one makes a Recall Knowledge check, all others connected can use any Lore Skill to aid without preperations.</t>
  </si>
  <si>
    <t>Feat 18th</t>
  </si>
  <si>
    <t>Touching the forhead of 8 individuals you create a mental link. Targets can share thoughts and experience, but not words. If one makes a Recall Knowledge check, all others connected can use any Lore Skill to aid without preperations.</t>
  </si>
  <si>
    <t>Touching the forhead of 9 individuals you create a mental link. Targets can share thoughts and experience, but not words. If one makes a Recall Knowledge check, all others connected can use any Lore Skill to aid without preperations.</t>
  </si>
  <si>
    <t>Touching the forhead of 10 individuals you create a mental link. Targets can share thoughts and experience, but not words. If one makes a Recall Knowledge check, all others connected can use any Lore Skill to aid without preperations.</t>
  </si>
  <si>
    <t>Touching the forhead of 11 individuals you create a mental link. Targets can share thoughts and experience, but not words. If one makes a Recall Knowledge check, all others connected can use any Lore Skill to aid without preperations.</t>
  </si>
  <si>
    <t>occult</t>
  </si>
  <si>
    <t>Know Direction</t>
  </si>
  <si>
    <t>20th</t>
  </si>
  <si>
    <t>You immeadately know which direction North is (if it exists in your current location).</t>
  </si>
  <si>
    <t>You immeadately know which direction North is (if it exists in your current location) or the direction to a location you are familiar with.</t>
  </si>
  <si>
    <t>Feature 19th</t>
  </si>
  <si>
    <t>Light</t>
  </si>
  <si>
    <t>FOCUS SPELLS AND EXTRA CANTRIPS</t>
  </si>
  <si>
    <t>GENERAL VS SKILL FEATS</t>
  </si>
  <si>
    <t>1 day</t>
  </si>
  <si>
    <t>Imburing an object of 1 bulk or less with light, it produces bright light within a 20ft radius and dim light for another 20ft. Second castings within the duration cancel the first spell.</t>
  </si>
  <si>
    <t>Imburing an object of 1 bulk or less with light, it produces bright light within a 60ft radius and dim light for another 60ft. Second castings within the duration cancel the first spell.</t>
  </si>
  <si>
    <t>Mage Hand</t>
  </si>
  <si>
    <t>Feat 20th</t>
  </si>
  <si>
    <t xml:space="preserve">Skill feats are obtained every even level, while general feats are obtained at 3rd lv and every 4 levels after. This means that general feats are rarer and tend towards stronger; however skill feats are a subcatagory of general feats so it is possible to take skill feats in place of general feats.
Skill feats: Improve skill abilities by giving either new options, actions, or replacing parts of a skill. These tend to require proficency in the specific skill associated with it as a prerequisite.
General Feats: Often more powerful feats with less prerequisites than skill feats
</t>
  </si>
  <si>
    <t>Create a magical floating hand to grasp and object and move it upto 20ft. While sustaining it can move another 20ft. The object must be unattended, upto 1 light bulk, and stay within 30ft of the caster.</t>
  </si>
  <si>
    <t>Create a magical floating hand to grasp and object and move it upto 20ft. While sustaining it can move another 20ft. The object must be unattended, upto 1 bulk, and stay within 30ft of the caster.</t>
  </si>
  <si>
    <t>Create a magical floating hand to grasp and object and move it upto 20ft. While sustaining it can move another 20ft. The object must be unattended, upto 1 bulk, and stay within 60ft of the caster.</t>
  </si>
  <si>
    <t>Create a magical floating hand to grasp and object and move it upto 20ft. While sustaining it can move another 20ft. The object must be unattended, upto 2 bulk, and stay within 60ft of the caster.</t>
  </si>
  <si>
    <t>Message</t>
  </si>
  <si>
    <t>Mouthing words the target hears you perfectly. They can reply as either a reaction or free action on their next turn sending the words directly into your ear.</t>
  </si>
  <si>
    <t>Mouthing words the target hears you perfectly as long as they are within 500ft. They can reply as either a reaction or free action on their next turn sending the words directly into your ear.</t>
  </si>
  <si>
    <t>Phase Bolt</t>
  </si>
  <si>
    <t xml:space="preserve">You fire a bolt of energy that phases in and out of existance until it hits the target, dealing 1d4. If the target is has any circumstance bonus to their AC (such as from a shield or cover), reduce that bonus by 2. </t>
  </si>
  <si>
    <t xml:space="preserve">You fire a bolt of energy that phases in and out of existance until it hits the target, dealing 2d4. If the target is has any circumstance bonus to their AC (such as from a shield or cover), reduce that bonus by 2. </t>
  </si>
  <si>
    <t xml:space="preserve">You fire a bolt of energy that phases in and out of existance until it hits the target, dealing 3d4. If the target is has any circumstance bonus to their AC (such as from a shield or cover), reduce that bonus by 2. </t>
  </si>
  <si>
    <t xml:space="preserve">You fire a bolt of energy that phases in and out of existance until it hits the target, dealing 4d4. If the target is has any circumstance bonus to their AC (such as from a shield or cover), reduce that bonus by 2. </t>
  </si>
  <si>
    <t xml:space="preserve">You fire a bolt of energy that phases in and out of existance until it hits the target, dealing 5d4. If the target is has any circumstance bonus to their AC (such as from a shield or cover), reduce that bonus by 2. </t>
  </si>
  <si>
    <t xml:space="preserve">You fire a bolt of energy that phases in and out of existance until it hits the target, dealing 6d4. If the target is has any circumstance bonus to their AC (such as from a shield or cover), reduce that bonus by 2. </t>
  </si>
  <si>
    <t xml:space="preserve">You fire a bolt of energy that phases in and out of existance until it hits the target, dealing 7d4. If the target is has any circumstance bonus to their AC (such as from a shield or cover), reduce that bonus by 2. </t>
  </si>
  <si>
    <t xml:space="preserve">You fire a bolt of energy that phases in and out of existance until it hits the target, dealing 8d4. If the target is has any circumstance bonus to their AC (such as from a shield or cover), reduce that bonus by 2. </t>
  </si>
  <si>
    <t xml:space="preserve">You fire a bolt of energy that phases in and out of existance until it hits the target, dealing 9d4. If the target is has any circumstance bonus to their AC (such as from a shield or cover), reduce that bonus by 2. </t>
  </si>
  <si>
    <t xml:space="preserve">You fire a bolt of energy that phases in and out of existance until it hits the target, dealing 10d4. If the target is has any circumstance bonus to their AC (such as from a shield or cover), reduce that bonus by 2. </t>
  </si>
  <si>
    <t>Dark Archive</t>
  </si>
  <si>
    <t>Prestidigitation</t>
  </si>
  <si>
    <t>Anything of Note:</t>
  </si>
  <si>
    <t>Fill in your own desired content:</t>
  </si>
  <si>
    <t>7th Lv</t>
  </si>
  <si>
    <r>
      <rPr>
        <rFont val="Arial"/>
        <color theme="1"/>
      </rPr>
      <t xml:space="preserve">Using magic you are able to do any of the following: </t>
    </r>
    <r>
      <rPr>
        <rFont val="Arial"/>
        <b/>
        <color theme="1"/>
      </rPr>
      <t>Cook:</t>
    </r>
    <r>
      <rPr>
        <rFont val="Arial"/>
        <color theme="1"/>
      </rPr>
      <t xml:space="preserve"> Cool, warm, or flavor 1 pound of nonliving material. </t>
    </r>
    <r>
      <rPr>
        <rFont val="Arial"/>
        <b/>
        <color theme="1"/>
      </rPr>
      <t>Lift:</t>
    </r>
    <r>
      <rPr>
        <rFont val="Arial"/>
        <color theme="1"/>
      </rPr>
      <t xml:space="preserve"> Lift unattended object of light bulk upto 1 foot off the ground. </t>
    </r>
    <r>
      <rPr>
        <rFont val="Arial"/>
        <b/>
        <color theme="1"/>
      </rPr>
      <t>Make:</t>
    </r>
    <r>
      <rPr>
        <rFont val="Arial"/>
        <color theme="1"/>
      </rPr>
      <t xml:space="preserve"> Create a a fragile and crude item of negligible bulk, can not be used as a tool, weapon, or spell component. Lasts until sustained ends. </t>
    </r>
    <r>
      <rPr>
        <rFont val="Arial"/>
        <b/>
        <color theme="1"/>
      </rPr>
      <t>Tidy:</t>
    </r>
    <r>
      <rPr>
        <rFont val="Arial"/>
        <color theme="1"/>
      </rPr>
      <t xml:space="preserve"> Color, clean, or soil an object of light bulk instantly. Takes 1 minute of sustaining to clean 1 bulk.</t>
    </r>
  </si>
  <si>
    <r>
      <rPr>
        <rFont val="Arial"/>
        <color theme="1"/>
      </rPr>
      <t xml:space="preserve">Using magic you are able to do any of the following: </t>
    </r>
    <r>
      <rPr>
        <rFont val="Arial"/>
        <b/>
        <color theme="1"/>
      </rPr>
      <t>Cook:</t>
    </r>
    <r>
      <rPr>
        <rFont val="Arial"/>
        <color theme="1"/>
      </rPr>
      <t xml:space="preserve"> Cool, warm, or flavor 1 pound of nonliving material. </t>
    </r>
    <r>
      <rPr>
        <rFont val="Arial"/>
        <b/>
        <color theme="1"/>
      </rPr>
      <t>Lift:</t>
    </r>
    <r>
      <rPr>
        <rFont val="Arial"/>
        <color theme="1"/>
      </rPr>
      <t xml:space="preserve"> Lift unattended object of light bulk upto 1 foot off the ground. </t>
    </r>
    <r>
      <rPr>
        <rFont val="Arial"/>
        <b/>
        <color theme="1"/>
      </rPr>
      <t>Make:</t>
    </r>
    <r>
      <rPr>
        <rFont val="Arial"/>
        <color theme="1"/>
      </rPr>
      <t xml:space="preserve"> Create a a fragile and crude item of negligible bulk, can not be used as a tool, weapon, or spell component. Lasts until sustained ends. </t>
    </r>
    <r>
      <rPr>
        <rFont val="Arial"/>
        <b/>
        <color theme="1"/>
      </rPr>
      <t>Tidy:</t>
    </r>
    <r>
      <rPr>
        <rFont val="Arial"/>
        <color theme="1"/>
      </rPr>
      <t xml:space="preserve"> Color, clean, or soil an object of light bulk instantly. Takes 1 minute of sustaining to clean 1 bulk.</t>
    </r>
  </si>
  <si>
    <r>
      <rPr>
        <rFont val="Arial"/>
        <color theme="1"/>
      </rPr>
      <t xml:space="preserve">Using magic you are able to do any of the following: </t>
    </r>
    <r>
      <rPr>
        <rFont val="Arial"/>
        <b/>
        <color theme="1"/>
      </rPr>
      <t>Cook:</t>
    </r>
    <r>
      <rPr>
        <rFont val="Arial"/>
        <color theme="1"/>
      </rPr>
      <t xml:space="preserve"> Cool, warm, or flavor 1 pound of nonliving material. </t>
    </r>
    <r>
      <rPr>
        <rFont val="Arial"/>
        <b/>
        <color theme="1"/>
      </rPr>
      <t>Lift:</t>
    </r>
    <r>
      <rPr>
        <rFont val="Arial"/>
        <color theme="1"/>
      </rPr>
      <t xml:space="preserve"> Lift unattended object of light bulk upto 1 foot off the ground. </t>
    </r>
    <r>
      <rPr>
        <rFont val="Arial"/>
        <b/>
        <color theme="1"/>
      </rPr>
      <t>Make:</t>
    </r>
    <r>
      <rPr>
        <rFont val="Arial"/>
        <color theme="1"/>
      </rPr>
      <t xml:space="preserve"> Create a a fragile and crude item of negligible bulk, can not be used as a tool, weapon, or spell component. Lasts until sustained ends. </t>
    </r>
    <r>
      <rPr>
        <rFont val="Arial"/>
        <b/>
        <color theme="1"/>
      </rPr>
      <t>Tidy:</t>
    </r>
    <r>
      <rPr>
        <rFont val="Arial"/>
        <color theme="1"/>
      </rPr>
      <t xml:space="preserve"> Color, clean, or soil an object of light bulk instantly. Takes 1 minute of sustaining to clean 1 bulk.</t>
    </r>
  </si>
  <si>
    <r>
      <rPr>
        <rFont val="Arial"/>
        <color theme="1"/>
      </rPr>
      <t xml:space="preserve">Using magic you are able to do any of the following: </t>
    </r>
    <r>
      <rPr>
        <rFont val="Arial"/>
        <b/>
        <color theme="1"/>
      </rPr>
      <t>Cook:</t>
    </r>
    <r>
      <rPr>
        <rFont val="Arial"/>
        <color theme="1"/>
      </rPr>
      <t xml:space="preserve"> Cool, warm, or flavor 1 pound of nonliving material. </t>
    </r>
    <r>
      <rPr>
        <rFont val="Arial"/>
        <b/>
        <color theme="1"/>
      </rPr>
      <t>Lift:</t>
    </r>
    <r>
      <rPr>
        <rFont val="Arial"/>
        <color theme="1"/>
      </rPr>
      <t xml:space="preserve"> Lift unattended object of light bulk upto 1 foot off the ground. </t>
    </r>
    <r>
      <rPr>
        <rFont val="Arial"/>
        <b/>
        <color theme="1"/>
      </rPr>
      <t>Make:</t>
    </r>
    <r>
      <rPr>
        <rFont val="Arial"/>
        <color theme="1"/>
      </rPr>
      <t xml:space="preserve"> Create a a fragile and crude item of negligible bulk, can not be used as a tool, weapon, or spell component. Lasts until sustained ends. </t>
    </r>
    <r>
      <rPr>
        <rFont val="Arial"/>
        <b/>
        <color theme="1"/>
      </rPr>
      <t>Tidy:</t>
    </r>
    <r>
      <rPr>
        <rFont val="Arial"/>
        <color theme="1"/>
      </rPr>
      <t xml:space="preserve"> Color, clean, or soil an object of light bulk instantly. Takes 1 minute of sustaining to clean 1 bulk.</t>
    </r>
  </si>
  <si>
    <r>
      <rPr>
        <rFont val="Arial"/>
        <color theme="1"/>
      </rPr>
      <t xml:space="preserve">Using magic you are able to do any of the following: </t>
    </r>
    <r>
      <rPr>
        <rFont val="Arial"/>
        <b/>
        <color theme="1"/>
      </rPr>
      <t>Cook:</t>
    </r>
    <r>
      <rPr>
        <rFont val="Arial"/>
        <color theme="1"/>
      </rPr>
      <t xml:space="preserve"> Cool, warm, or flavor 1 pound of nonliving material. </t>
    </r>
    <r>
      <rPr>
        <rFont val="Arial"/>
        <b/>
        <color theme="1"/>
      </rPr>
      <t>Lift:</t>
    </r>
    <r>
      <rPr>
        <rFont val="Arial"/>
        <color theme="1"/>
      </rPr>
      <t xml:space="preserve"> Lift unattended object of light bulk upto 1 foot off the ground. </t>
    </r>
    <r>
      <rPr>
        <rFont val="Arial"/>
        <b/>
        <color theme="1"/>
      </rPr>
      <t>Make:</t>
    </r>
    <r>
      <rPr>
        <rFont val="Arial"/>
        <color theme="1"/>
      </rPr>
      <t xml:space="preserve"> Create a a fragile and crude item of negligible bulk, can not be used as a tool, weapon, or spell component. Lasts until sustained ends. </t>
    </r>
    <r>
      <rPr>
        <rFont val="Arial"/>
        <b/>
        <color theme="1"/>
      </rPr>
      <t>Tidy:</t>
    </r>
    <r>
      <rPr>
        <rFont val="Arial"/>
        <color theme="1"/>
      </rPr>
      <t xml:space="preserve"> Color, clean, or soil an object of light bulk instantly. Takes 1 minute of sustaining to clean 1 bulk.</t>
    </r>
  </si>
  <si>
    <r>
      <rPr>
        <rFont val="Arial"/>
        <color theme="1"/>
      </rPr>
      <t xml:space="preserve">Using magic you are able to do any of the following: </t>
    </r>
    <r>
      <rPr>
        <rFont val="Arial"/>
        <b/>
        <color theme="1"/>
      </rPr>
      <t>Cook:</t>
    </r>
    <r>
      <rPr>
        <rFont val="Arial"/>
        <color theme="1"/>
      </rPr>
      <t xml:space="preserve"> Cool, warm, or flavor 1 pound of nonliving material. </t>
    </r>
    <r>
      <rPr>
        <rFont val="Arial"/>
        <b/>
        <color theme="1"/>
      </rPr>
      <t>Lift:</t>
    </r>
    <r>
      <rPr>
        <rFont val="Arial"/>
        <color theme="1"/>
      </rPr>
      <t xml:space="preserve"> Lift unattended object of light bulk upto 1 foot off the ground. </t>
    </r>
    <r>
      <rPr>
        <rFont val="Arial"/>
        <b/>
        <color theme="1"/>
      </rPr>
      <t>Make:</t>
    </r>
    <r>
      <rPr>
        <rFont val="Arial"/>
        <color theme="1"/>
      </rPr>
      <t xml:space="preserve"> Create a a fragile and crude item of negligible bulk, can not be used as a tool, weapon, or spell component. Lasts until sustained ends. </t>
    </r>
    <r>
      <rPr>
        <rFont val="Arial"/>
        <b/>
        <color theme="1"/>
      </rPr>
      <t>Tidy:</t>
    </r>
    <r>
      <rPr>
        <rFont val="Arial"/>
        <color theme="1"/>
      </rPr>
      <t xml:space="preserve"> Color, clean, or soil an object of light bulk instantly. Takes 1 minute of sustaining to clean 1 bulk.</t>
    </r>
  </si>
  <si>
    <r>
      <rPr>
        <rFont val="Arial"/>
        <color theme="1"/>
      </rPr>
      <t xml:space="preserve">Using magic you are able to do any of the following: </t>
    </r>
    <r>
      <rPr>
        <rFont val="Arial"/>
        <b/>
        <color theme="1"/>
      </rPr>
      <t>Cook:</t>
    </r>
    <r>
      <rPr>
        <rFont val="Arial"/>
        <color theme="1"/>
      </rPr>
      <t xml:space="preserve"> Cool, warm, or flavor 1 pound of nonliving material. </t>
    </r>
    <r>
      <rPr>
        <rFont val="Arial"/>
        <b/>
        <color theme="1"/>
      </rPr>
      <t>Lift:</t>
    </r>
    <r>
      <rPr>
        <rFont val="Arial"/>
        <color theme="1"/>
      </rPr>
      <t xml:space="preserve"> Lift unattended object of light bulk upto 1 foot off the ground. </t>
    </r>
    <r>
      <rPr>
        <rFont val="Arial"/>
        <b/>
        <color theme="1"/>
      </rPr>
      <t>Make:</t>
    </r>
    <r>
      <rPr>
        <rFont val="Arial"/>
        <color theme="1"/>
      </rPr>
      <t xml:space="preserve"> Create a a fragile and crude item of negligible bulk, can not be used as a tool, weapon, or spell component. Lasts until sustained ends. </t>
    </r>
    <r>
      <rPr>
        <rFont val="Arial"/>
        <b/>
        <color theme="1"/>
      </rPr>
      <t>Tidy:</t>
    </r>
    <r>
      <rPr>
        <rFont val="Arial"/>
        <color theme="1"/>
      </rPr>
      <t xml:space="preserve"> Color, clean, or soil an object of light bulk instantly. Takes 1 minute of sustaining to clean 1 bulk.</t>
    </r>
  </si>
  <si>
    <r>
      <rPr>
        <rFont val="Arial"/>
        <color theme="1"/>
      </rPr>
      <t xml:space="preserve">Using magic you are able to do any of the following: </t>
    </r>
    <r>
      <rPr>
        <rFont val="Arial"/>
        <b/>
        <color theme="1"/>
      </rPr>
      <t>Cook:</t>
    </r>
    <r>
      <rPr>
        <rFont val="Arial"/>
        <color theme="1"/>
      </rPr>
      <t xml:space="preserve"> Cool, warm, or flavor 1 pound of nonliving material. </t>
    </r>
    <r>
      <rPr>
        <rFont val="Arial"/>
        <b/>
        <color theme="1"/>
      </rPr>
      <t>Lift:</t>
    </r>
    <r>
      <rPr>
        <rFont val="Arial"/>
        <color theme="1"/>
      </rPr>
      <t xml:space="preserve"> Lift unattended object of light bulk upto 1 foot off the ground. </t>
    </r>
    <r>
      <rPr>
        <rFont val="Arial"/>
        <b/>
        <color theme="1"/>
      </rPr>
      <t>Make:</t>
    </r>
    <r>
      <rPr>
        <rFont val="Arial"/>
        <color theme="1"/>
      </rPr>
      <t xml:space="preserve"> Create a a fragile and crude item of negligible bulk, can not be used as a tool, weapon, or spell component. Lasts until sustained ends. </t>
    </r>
    <r>
      <rPr>
        <rFont val="Arial"/>
        <b/>
        <color theme="1"/>
      </rPr>
      <t>Tidy:</t>
    </r>
    <r>
      <rPr>
        <rFont val="Arial"/>
        <color theme="1"/>
      </rPr>
      <t xml:space="preserve"> Color, clean, or soil an object of light bulk instantly. Takes 1 minute of sustaining to clean 1 bulk.</t>
    </r>
  </si>
  <si>
    <r>
      <rPr>
        <rFont val="Arial"/>
        <color theme="1"/>
      </rPr>
      <t xml:space="preserve">Using magic you are able to do any of the following: </t>
    </r>
    <r>
      <rPr>
        <rFont val="Arial"/>
        <b/>
        <color theme="1"/>
      </rPr>
      <t>Cook:</t>
    </r>
    <r>
      <rPr>
        <rFont val="Arial"/>
        <color theme="1"/>
      </rPr>
      <t xml:space="preserve"> Cool, warm, or flavor 1 pound of nonliving material. </t>
    </r>
    <r>
      <rPr>
        <rFont val="Arial"/>
        <b/>
        <color theme="1"/>
      </rPr>
      <t>Lift:</t>
    </r>
    <r>
      <rPr>
        <rFont val="Arial"/>
        <color theme="1"/>
      </rPr>
      <t xml:space="preserve"> Lift unattended object of light bulk upto 1 foot off the ground. </t>
    </r>
    <r>
      <rPr>
        <rFont val="Arial"/>
        <b/>
        <color theme="1"/>
      </rPr>
      <t>Make:</t>
    </r>
    <r>
      <rPr>
        <rFont val="Arial"/>
        <color theme="1"/>
      </rPr>
      <t xml:space="preserve"> Create a a fragile and crude item of negligible bulk, can not be used as a tool, weapon, or spell component. Lasts until sustained ends. </t>
    </r>
    <r>
      <rPr>
        <rFont val="Arial"/>
        <b/>
        <color theme="1"/>
      </rPr>
      <t>Tidy:</t>
    </r>
    <r>
      <rPr>
        <rFont val="Arial"/>
        <color theme="1"/>
      </rPr>
      <t xml:space="preserve"> Color, clean, or soil an object of light bulk instantly. Takes 1 minute of sustaining to clean 1 bulk.</t>
    </r>
  </si>
  <si>
    <r>
      <rPr>
        <rFont val="Arial"/>
        <color theme="1"/>
      </rPr>
      <t xml:space="preserve">Using magic you are able to do any of the following: </t>
    </r>
    <r>
      <rPr>
        <rFont val="Arial"/>
        <b/>
        <color theme="1"/>
      </rPr>
      <t>Cook:</t>
    </r>
    <r>
      <rPr>
        <rFont val="Arial"/>
        <color theme="1"/>
      </rPr>
      <t xml:space="preserve"> Cool, warm, or flavor 1 pound of nonliving material. </t>
    </r>
    <r>
      <rPr>
        <rFont val="Arial"/>
        <b/>
        <color theme="1"/>
      </rPr>
      <t>Lift:</t>
    </r>
    <r>
      <rPr>
        <rFont val="Arial"/>
        <color theme="1"/>
      </rPr>
      <t xml:space="preserve"> Lift unattended object of light bulk upto 1 foot off the ground. </t>
    </r>
    <r>
      <rPr>
        <rFont val="Arial"/>
        <b/>
        <color theme="1"/>
      </rPr>
      <t>Make:</t>
    </r>
    <r>
      <rPr>
        <rFont val="Arial"/>
        <color theme="1"/>
      </rPr>
      <t xml:space="preserve"> Create a a fragile and crude item of negligible bulk, can not be used as a tool, weapon, or spell component. Lasts until sustained ends. </t>
    </r>
    <r>
      <rPr>
        <rFont val="Arial"/>
        <b/>
        <color theme="1"/>
      </rPr>
      <t>Tidy:</t>
    </r>
    <r>
      <rPr>
        <rFont val="Arial"/>
        <color theme="1"/>
      </rPr>
      <t xml:space="preserve"> Color, clean, or soil an object of light bulk instantly. Takes 1 minute of sustaining to clean 1 bulk.</t>
    </r>
  </si>
  <si>
    <t>Produce Flame</t>
  </si>
  <si>
    <t>GENERAL FEATS</t>
  </si>
  <si>
    <t>Fill your palm with fire to make a ranged or melee attack dealing 1d4+[Mod] fire damage on hit. Critical hits deal 1d4 persistant fire damage.</t>
  </si>
  <si>
    <t>Fill your palm with fire to make a ranged or melee attack dealing 2d4+[Mod] fire damage on hit. Critical hits deal 2d4 persistant fire damage.</t>
  </si>
  <si>
    <t>Fill your palm with fire to make a ranged or melee attack dealing 3d4+[Mod] fire damage on hit. Critical hits deal 3d4 persistant fire damage.</t>
  </si>
  <si>
    <t>Fill your palm with fire to make a ranged or melee attack dealing 4d4+[Mod] fire damage on hit. Critical hits deal 4d4 persistant fire damage.</t>
  </si>
  <si>
    <t>Fill your palm with fire to make a ranged or melee attack dealing 5d4+[Mod] fire damage on hit. Critical hits deal 5d4 persistant fire damage.</t>
  </si>
  <si>
    <t>Fill your palm with fire to make a ranged or melee attack dealing 6d4+[Mod] fire damage on hit. Critical hits deal 6d4 persistant fire damage.</t>
  </si>
  <si>
    <t>Fill your palm with fire to make a ranged or melee attack dealing 7d4+[Mod] fire damage on hit. Critical hits deal 7d4 persistant fire damage.</t>
  </si>
  <si>
    <t>Fill your palm with fire to make a ranged or melee attack dealing 8d4+[Mod] fire damage on hit. Critical hits deal 8d4 persistant fire damage.</t>
  </si>
  <si>
    <t>Fill your palm with fire to make a ranged or melee attack dealing 9d4+[Mod] fire damage on hit. Critical hits deal 9d4 persistant fire damage.</t>
  </si>
  <si>
    <t>Fill your palm with fire to make a ranged or melee attack dealing 10d4+[Mod] fire damage on hit. Critical hits deal 10d4 persistant fire damage.</t>
  </si>
  <si>
    <t>Protect Companion</t>
  </si>
  <si>
    <t>1 companion</t>
  </si>
  <si>
    <t>Target eidolon or minion gains a +1 circumstance bonus to AC as a magical shield protects them. After casting you gain the reaction "Life Block" to reduce any damage the target would take by 10, and you lose 5 hp. Target still takes any additional affects such as poison. After using this reaction you cant cast this spell for 10 minutes.</t>
  </si>
  <si>
    <t>Target eidolon or minion gains a +1 circumstance bonus to AC as a magical shield protects them. After casting you gain the reaction "Life Block" to reduce any damage the target would take by upto 20, and you lose hp equal to half the damage blocked. Target still takes any additional affects such as poison. After using this reaction you cant cast this spell for 10 minutes.</t>
  </si>
  <si>
    <t>3rd</t>
  </si>
  <si>
    <t>Target eidolon or minion gains a +1 circumstance bonus to AC as a magical shield protects them. After casting you gain the reaction "Life Block" to reduce any damage the target would take by upto 30, and you lose hp equal to half the damage blocked. Target still takes any additional affects such as poison. After using this reaction you cant cast this spell for 10 minutes.</t>
  </si>
  <si>
    <t>Target eidolon or minion gains a +1 circumstance bonus to AC as a magical shield protects them. After casting you gain the reaction "Life Block" to reduce any damage the target would take by upto 40, and you lose hp equal to half the damage blocked. Target still takes any additional affects such as poison. After using this reaction you cant cast this spell for 10 minutes.</t>
  </si>
  <si>
    <t>19th</t>
  </si>
  <si>
    <t>Target eidolon or minion gains a +1 circumstance bonus to AC as a magical shield protects them. After casting you gain the reaction "Life Block" to reduce any damage the target would take by upto 50, and you lose hp equal to half the damage blocked. Target still takes any additional affects such as poison. After using this reaction you cant cast this spell for 10 minutes.</t>
  </si>
  <si>
    <t>Puff of Poison</t>
  </si>
  <si>
    <t>Breathing out poison breath the target takes [Spellcasting Mod] poison damage and 2 persistent damage. Successful save is half damage and persistent damage. Critical failure results in double intial and persistant damage.</t>
  </si>
  <si>
    <t>7th</t>
  </si>
  <si>
    <t>Breathing out poison breath the target takes 1d8+[Mod] poison damage and 3 persistent damage. Successful save is half damage and persistent damage. Critical failure results in double intial and persistant damage.</t>
  </si>
  <si>
    <t>Breathing out poison breath the target takes 2d8+[Mod] poison damage and 4 persistent damage. Successful save is half damage and persistent damage. Critical failure results in double intial and persistant damage.</t>
  </si>
  <si>
    <t>Breathing out poison breath the target takes 3d8+[Mod] poison damage and 5 persistent damage. Successful save is half damage and persistent damage. Critical failure results in double intial and persistant damage.</t>
  </si>
  <si>
    <t>Breathing out poison breath the target takes 4d8+[Mod] poison damage and 6 persistent damage. Successful save is half damage and persistent damage. Critical failure results in double intial and persistant damage.</t>
  </si>
  <si>
    <t>Ray of Frost</t>
  </si>
  <si>
    <t>Spray a blast of ice that deals 1d4+[Mod] cold damage. On a Critical hit target takes double damage and their speed is lowered by 10 for 1 round</t>
  </si>
  <si>
    <t>Spray a blast of ice that deals 2d4+[Mod] cold damage. On a Critical hit target takes double damage and their speed is lowered by 10 for 1 round</t>
  </si>
  <si>
    <t>11th</t>
  </si>
  <si>
    <t>Spray a blast of ice that deals 3d4+[Mod] cold damage. On a Critical hit target takes double damage and their speed is lowered by 10 for 1 round</t>
  </si>
  <si>
    <t>Spray a blast of ice that deals 4d4+[Mod] cold damage. On a Critical hit target takes double damage and their speed is lowered by 10 for 1 round</t>
  </si>
  <si>
    <t>Spray a blast of ice that deals 5d4+[Mod] cold damage. On a Critical hit target takes double damage and their speed is lowered by 10 for 1 round</t>
  </si>
  <si>
    <t>Spray a blast of ice that deals 6d4+[Mod] cold damage. On a Critical hit target takes double damage and their speed is lowered by 10 for 1 round</t>
  </si>
  <si>
    <t>Spray a blast of ice that deals 7d4+[Mod] cold damage. On a Critical hit target takes double damage and their speed is lowered by 10 for 1 round</t>
  </si>
  <si>
    <t>Spray a blast of ice that deals 8d4+[Mod] cold damage. On a Critical hit target takes double damage and their speed is lowered by 10 for 1 round</t>
  </si>
  <si>
    <t>Spray a blast of ice that deals 9d4+[Mod] cold damage. On a Critical hit target takes double damage and their speed is lowered by 10 for 1 round</t>
  </si>
  <si>
    <t>Spray a blast of ice that deals 10d4+[Mod] cold damage. On a Critical hit target takes double damage and their speed is lowered by 10 for 1 round</t>
  </si>
  <si>
    <t>Read Aura</t>
  </si>
  <si>
    <t>1min</t>
  </si>
  <si>
    <t>Opening your mind you can tell if the item is magical, and if it is you learn its school of magic. The object only shows up as illusion if the level is lower than the level Read Aura was cast at.</t>
  </si>
  <si>
    <t>Opening your mind you can tell if upto 10 items are magical, and if so you learn its school of magic. The object only shows up as illusion if the level is lower than the level Read Aura was cast at.</t>
  </si>
  <si>
    <t>Opening your mind you can tell if upto any number of items are magical, and if so you learn its school of magic. The object only shows up as illusion if the level is lower than the level Read Aura was cast at.</t>
  </si>
  <si>
    <t>15th</t>
  </si>
  <si>
    <t>Read the Air</t>
  </si>
  <si>
    <t>Socety</t>
  </si>
  <si>
    <t>1 min</t>
  </si>
  <si>
    <t>Understanding your situation you are able to Recall Knowledge using Society to gain information and change your subconcious to better take advantage of this. Gain a +1 status bonus to your next Diplomacy check to Make an Impression.</t>
  </si>
  <si>
    <t>Scatter Scree</t>
  </si>
  <si>
    <t>10ft line</t>
  </si>
  <si>
    <t>Evoke nearby rocks to destroy terrain. Any creature within area takes 1d4+[Mod] bludgeoning damage, and area becomes difficult terrain for the duration. Second casting removes previous effects instantly.</t>
  </si>
  <si>
    <t>Evoke nearby rocks to destroy terrain. Any creature within area takes 2d4+[Mod] bludgeoning damage, and area becomes difficult terrain for the duration. Second casting removes previous effects instantly.</t>
  </si>
  <si>
    <t>Evoke nearby rocks to destroy terrain. Any creature within area takes 3d4+[Mod] bludgeoning damage, and area becomes difficult terrain for the duration. Second casting removes previous effects instantly.</t>
  </si>
  <si>
    <t>Evoke nearby rocks to destroy terrain. Any creature within area takes 4d4+[Mod] bludgeoning damage, and area becomes difficult terrain for the duration. Second casting removes previous effects instantly.</t>
  </si>
  <si>
    <t>Evoke nearby rocks to destroy terrain. Any creature within area takes 5d4+[Mod] bludgeoning damage, and area becomes difficult terrain for the duration. Second casting removes previous effects instantly.</t>
  </si>
  <si>
    <t>Evoke nearby rocks to destroy terrain. Any creature within area takes 6d4+[Mod] bludgeoning damage, and area becomes difficult terrain for the duration. Second casting removes previous effects instantly.</t>
  </si>
  <si>
    <t>Evoke nearby rocks to destroy terrain. Any creature within area takes 7d4+[Mod] bludgeoning damage, and area becomes difficult terrain for the duration. Second casting removes previous effects instantly.</t>
  </si>
  <si>
    <t>Evoke nearby rocks to destroy terrain. Any creature within area takes 8d4+[Mod] bludgeoning damage, and area becomes difficult terrain for the duration. Second casting removes previous effects instantly.</t>
  </si>
  <si>
    <t>Evoke nearby rocks to destroy terrain. Any creature within area takes 9d4+[Mod] bludgeoning damage, and area becomes difficult terrain for the duration. Second casting removes previous effects instantly.</t>
  </si>
  <si>
    <t>Evoke nearby rocks to destroy terrain. Any creature within area takes 10d4+[Mod] bludgeoning damage, and area becomes difficult terrain for the duration. Second casting removes previous effects instantly.</t>
  </si>
  <si>
    <t>You create and raise a magical shield, gaining a +1 circumstance bonus to your AC. You gain the Shield Block reaction with a hardness of 5 that can be used against magic missle. Once cast the spell can not be cast again for 10 minutes</t>
  </si>
  <si>
    <t>You create and raise a magical shield, gaining a +1 circumstance bonus to your AC. You gain the Shield Block reaction with a hardness of 10 that can be used against magic missle. Once cast the spell can not be cast again for 10 minutes</t>
  </si>
  <si>
    <t>You create and raise a magical shield, gaining a +1 circumstance bonus to your AC. You gain the Shield Block reaction with a hardness of 15 that can be used against magic missle. Once cast the spell can not be cast again for 10 minutes</t>
  </si>
  <si>
    <t>You create and raise a magical shield, gaining a +1 circumstance bonus to your AC. You gain the Shield Block reaction with a hardness of 20 that can be used against magic missle. Once cast the spell can not be cast again for 10 minutes</t>
  </si>
  <si>
    <t>You create and raise a magical shield, gaining a +1 circumstance bonus to your AC. You gain the Shield Block reaction with a hardness of 25 that can be used against magic missle. Once cast the spell can not be cast again for 10 minutes</t>
  </si>
  <si>
    <t>Sigil</t>
  </si>
  <si>
    <t>Creature or object</t>
  </si>
  <si>
    <t>varies</t>
  </si>
  <si>
    <t>Create a unique magical mark 1 square inch in size. The mark can be switched between visible and invisible with an action, and removed by anyone with 5 minutes of work. Will naturally fade away over the course of 1 week.</t>
  </si>
  <si>
    <t>Create a unique magical mark 1 square inch in size. The mark can be switched between visible and invisible with an action, and removed by anyone with 5 minutes of work. Will naturally fade away over the course of 1 month.</t>
  </si>
  <si>
    <t>Create a unique magical mark 1 square inch in size. The mark can be switched between visible and invisible with an action, and removed by anyone with 5 minutes of work. Will naturally fade away over the course of 1 year.</t>
  </si>
  <si>
    <t>Create a unique magical mark 1 square inch in size. The mark can be switched between visible and invisible with an action, and removed by anyone with 5 minutes of work. The mark will never naturally fade away or deteriate.</t>
  </si>
  <si>
    <t>Spout</t>
  </si>
  <si>
    <t>5ft Cube</t>
  </si>
  <si>
    <t>Create a blast of water. Any creature in its area will take 1d4+[Mod]. Spell's area becomes a 5ft burst if cast over a pound or creek.</t>
  </si>
  <si>
    <t>Create a blast of water. Any creature in its area will take 2d4+[Mod]. Spell's area becomes a 5ft burst if cast over a pound or creek.</t>
  </si>
  <si>
    <t>Create a blast of water. Any creature in its area will take 3d4+[Mod]. Spell's area becomes a 5ft burst if cast over a pound or creek.</t>
  </si>
  <si>
    <t>Create a blast of water. Any creature in its area will take 4d4+[Mod]. Spell's area becomes a 5ft burst if cast over a pound or creek.</t>
  </si>
  <si>
    <t>Create a blast of water. Any creature in its area will take 5d4+[Mod]. Spell's area becomes a 5ft burst if cast over a pound or creek.</t>
  </si>
  <si>
    <t>Create a blast of water. Any creature in its area will take 6d4+[Mod]. Spell's area becomes a 5ft burst if cast over a pound or creek.</t>
  </si>
  <si>
    <t>Create a blast of water. Any creature in its area will take 7d4+[Mod]. Spell's area becomes a 5ft burst if cast over a pound or creek.</t>
  </si>
  <si>
    <t>Create a blast of water. Any creature in its area will take 8d4+[Mod]. Spell's area becomes a 5ft burst if cast over a pound or creek.</t>
  </si>
  <si>
    <t>Create a blast of water. Any creature in its area will take 9d4+[Mod]. Spell's area becomes a 5ft burst if cast over a pound or creek.</t>
  </si>
  <si>
    <t>Create a blast of water. Any creature in its area will take 10d4+[Mod]. Spell's area becomes a 5ft burst if cast over a pound or creek.</t>
  </si>
  <si>
    <t>Stabilize</t>
  </si>
  <si>
    <t>1 dying creature</t>
  </si>
  <si>
    <t>Target creature loses the dying condition as positive energy courses through them. They remain at 0hp.</t>
  </si>
  <si>
    <t>Summon Instrument</t>
  </si>
  <si>
    <t>M,S,V</t>
  </si>
  <si>
    <t>1 hour</t>
  </si>
  <si>
    <t>Summon a handheld musical instrument that only plays for you for the duration. A second casting causes the first to disappear.</t>
  </si>
  <si>
    <t>Summon a virtuoso handheld musical instrument that only plays for you for the duration. A second casting causes the first to disappear.</t>
  </si>
  <si>
    <t>Advanced Player's Guide</t>
  </si>
  <si>
    <t>Tame</t>
  </si>
  <si>
    <t>1 domestic animal</t>
  </si>
  <si>
    <t>By being kind and confident you are able to increase the target's attitude by 1 step (such as unfriendly to neutral) for the duration. Afterwards target becomes immune for 1 day. Only works on animals that are at least semi tamed or domesticated (such as feral dogs but not wolves).</t>
  </si>
  <si>
    <t>By being kind and confident you are able to increase the target's attitude by 1 step (such as unfriendly to neutral) for 10 minutes. Afterwards target becomes immune for 1 day. Only works on animals that are at least semi tamed or domesticated (such as feral dogs but not wolves).</t>
  </si>
  <si>
    <t>By being kind and confident you are able to increase the target's attitude by 1 step (such as unfriendly to neutral) for 1 hour. Afterwards target becomes immune for 1 day. Only works on animals that are at least semi tamed or domesticated (such as feral dogs but not wolves).</t>
  </si>
  <si>
    <t>occult, primal</t>
  </si>
  <si>
    <t>Tanglefoot</t>
  </si>
  <si>
    <t>A vine covered in sticky sap appears to attack the target, binding them. On successful hit target's speed is reduced by 10ft for 1 round, Escape attempt against spell DC to remove penalty. On Critical success results in target being immobilized in addition to previous affects.</t>
  </si>
  <si>
    <t>A vine covered in sticky sap appears to attack the target, binding them. On successful hit target's speed is reduced by 10ft for 2 rounds, Escape attempt against spell DC to remove penalty. On Critical success results in target being immobilized in addition to previous affects.</t>
  </si>
  <si>
    <t>A vine covered in sticky sap appears to attack the target, binding them. On successful hit target's speed is reduced by 10ft for 1 minute, Escape attempt against spell DC to remove penalty. On Critical success results in target being immobilized in addition to previous affects.</t>
  </si>
  <si>
    <t>Telekinetic Projectile</t>
  </si>
  <si>
    <t>Hurl an object of 1 bulk or less. On hit deal 1d6+[Mod] bludgeoning, percing, or slashing damage based on object hurled.</t>
  </si>
  <si>
    <t>Hurl an object of 1 bulk or less. On hit deal 2d6+[Mod] bludgeoning, percing, or slashing damage based on object hurled.</t>
  </si>
  <si>
    <t>Hurl an object of 1 bulk or less. On hit deal 3d6+[Mod] bludgeoning, percing, or slashing damage based on object hurled.</t>
  </si>
  <si>
    <t>Hurl an object of 1 bulk or less. On hit deal 4d6+[Mod] bludgeoning, percing, or slashing damage based on object hurled.</t>
  </si>
  <si>
    <t>Hurl an object of 1 bulk or less. On hit deal 5d6+[Mod] bludgeoning, percing, or slashing damage based on object hurled.</t>
  </si>
  <si>
    <t>Hurl an object of 1 bulk or less. On hit deal 6d6+[Mod] bludgeoning, percing, or slashing damage based on object hurled.</t>
  </si>
  <si>
    <t>Hurl an object of 1 bulk or less. On hit deal 7d6+[Mod] bludgeoning, percing, or slashing damage based on object hurled.</t>
  </si>
  <si>
    <t>Hurl an object of 1 bulk or less. On hit deal 8d6+[Mod] bludgeoning, percing, or slashing damage based on object hurled.</t>
  </si>
  <si>
    <t>Hurl an object of 1 bulk or less. On hit deal 9d6+[Mod] bludgeoning, percing, or slashing damage based on object hurled.</t>
  </si>
  <si>
    <t>Hurl an object of 1 bulk or less. On hit deal 10d6+[Mod] bludgeoning, percing, or slashing damage based on object hurled.</t>
  </si>
  <si>
    <t>Time Sense</t>
  </si>
  <si>
    <t>8th Lv</t>
  </si>
  <si>
    <t>You gain a +1 status bonus to 1 attack, perception check, saving throw, or skill check on the same turn that requires percise timing. You also know exactly what time it is or perfect knowledge of the calander. Trained in Nature allows you to know how long until sunrise and the next solstice. Training in Astronomy Lore results in knowing any predictable astromical will begin and end.</t>
  </si>
  <si>
    <t>Warp Step</t>
  </si>
  <si>
    <t>Warping the earth benieth your step you gain a +5ft status bonus to your speed for the rest of your turn and can stride twice instantly. Warp Step can be used to Burrow, Climb, Fly, or Swim instead of stride if you have the corresponding movement type.</t>
  </si>
  <si>
    <t>Wash Your Luck</t>
  </si>
  <si>
    <t>Praying to what ever gods of luck you might believe in you wash yourself of misfortune. Before rolling a check, cancel out a misfortune effect as if by fortune. After doing so you are immune to this spell's effects for 10 mintues.</t>
  </si>
  <si>
    <t>Boost Eidolon</t>
  </si>
  <si>
    <t>100ft</t>
  </si>
  <si>
    <t>Your eidolon</t>
  </si>
  <si>
    <t>You focus deeply on the link between you and your eidolon and boost the power of your eidolon's attacks. Your eidolon gains a +2 status bonus to damage rolls with its unarmed attacks. If your eidolon's Strikes deal more than one weapon damage die, the status bonus increases to 2 per weapon damage die, to a maximum of +8 with four weapon damage dice.</t>
  </si>
  <si>
    <t>Buzzing Bites</t>
  </si>
  <si>
    <t>Buzzing insects cling to the target's body, dealing 1d4 piercing damage. The target makes a save, and used that same save every time. The first time a round you sustain, the target takes damage based on inital save, afterwhich immune 1 min. Success - half damage; Fail - full damage; Crit Fail - double damage, sickened 1 by insects (cant decrease value)</t>
  </si>
  <si>
    <t>Buzzing insects cling to the target's body, dealing 2d4 piercing damage. The target makes a save, and used that same save every time. The first time a round you sustain, the target takes damage based on inital save, afterwhich immune 1 min. Success - half damage; Fail - full damage; Crit Fail - double damage, sickened 1 by insects (cant decrease value)</t>
  </si>
  <si>
    <t>Buzzing insects cling to the target's body, dealing 3d4 piercing damage. The target makes a save, and used that same save every time. The first time a round you sustain, the target takes damage based on inital save, afterwhich immune 1 min. Success - half damage; Fail - full damage; Crit Fail - double damage, sickened 1 by insects (cant decrease value)</t>
  </si>
  <si>
    <t>Buzzing insects cling to the target's body, dealing 4d4 piercing damage. The target makes a save, and used that same save every time. The first time a round you sustain, the target takes damage based on inital save, afterwhich immune 1 min. Success - half damage; Fail - full damage; Crit Fail - double damage, sickened 1 by insects (cant decrease value)</t>
  </si>
  <si>
    <t>Buzzing insects cling to the target's body, dealing 5d4 piercing damage. The target makes a save, and used that same save every time. The first time a round you sustain, the target takes damage based on inital save, afterwhich immune 1 min. Success - half damage; Fail - full damage; Crit Fail - double damage, sickened 1 by insects (cant decrease value)</t>
  </si>
  <si>
    <t>Buzzing insects cling to the target's body, dealing 6d4 piercing damage. The target makes a save, and used that same save every time. The first time a round you sustain, the target takes damage based on inital save, afterwhich immune 1 min. Success - half damage; Fail - full damage; Crit Fail - double damage, sickened 1 by insects (cant decrease value)</t>
  </si>
  <si>
    <t>Buzzing insects cling to the target's body, dealing 7d4 piercing damage. The target makes a save, and used that same save every time. The first time a round you sustain, the target takes damage based on inital save, afterwhich immune 1 min. Success - half damage; Fail - full damage; Crit Fail - double damage, sickened 1 by insects (cant decrease value)</t>
  </si>
  <si>
    <t>Buzzing insects cling to the target's body, dealing 8d4 piercing damage. The target makes a save, and used that same save every time. The first time a round you sustain, the target takes damage based on inital save, afterwhich immune 1 min. Success - half damage; Fail - full damage; Crit Fail - double damage, sickened 1 by insects (cant decrease value)</t>
  </si>
  <si>
    <t>Buzzing insects cling to the target's body, dealing 9d4 piercing damage. The target makes a save, and used that same save every time. The first time a round you sustain, the target takes damage based on inital save, afterwhich immune 1 min. Success - half damage; Fail - full damage; Crit Fail - double damage, sickened 1 by insects (cant decrease value)</t>
  </si>
  <si>
    <t>Buzzing insects cling to the target's body, dealing 10d4 piercing damage. The target makes a save, and used that same save every time. The first time a round you sustain, the target takes damage based on inital save, afterwhich immune 1 min. Success - half damage; Fail - full damage; Crit Fail - double damage, sickened 1 by insects (cant decrease value)</t>
  </si>
  <si>
    <t>Monsters of Myth</t>
  </si>
  <si>
    <t>Clinging Ice</t>
  </si>
  <si>
    <t>Freezing sleet and heavy snowfall collects around the target's feet, dealing 1d4 cold damage. Afterwhich they are immune 1 min. Success - half damage; Fail - full damage, -5ft circumstance speed penalty for duration; Crit Fail - double damage, -10ft speed penalty for duration.</t>
  </si>
  <si>
    <t>Freezing sleet and heavy snowfall collects around the target's feet, dealing 2d4 cold damage. Afterwhich they are immune 1 min. Success - half damage; Fail - full damage, -5ft circumstance speed penalty for duration; Crit Fail - double damage, -10ft speed penalty for duration.</t>
  </si>
  <si>
    <t>Freezing sleet and heavy snowfall collects around the target's feet, dealing 3d4 cold damage. Afterwhich they are immune 1 min. Success - half damage; Fail - full damage, -5ft circumstance speed penalty for duration; Crit Fail - double damage, -10ft speed penalty for duration.</t>
  </si>
  <si>
    <t>Freezing sleet and heavy snowfall collects around the target's feet, dealing 4d4 cold damage. Afterwhich they are immune 1 min. Success - half damage; Fail - full damage, -5ft circumstance speed penalty for duration; Crit Fail - double damage, -10ft speed penalty for duration.</t>
  </si>
  <si>
    <t>Freezing sleet and heavy snowfall collects around the target's feet, dealing 5d4 cold damage. Afterwhich they are immune 1 min. Success - half damage; Fail - full damage, -5ft circumstance speed penalty for duration; Crit Fail - double damage, -10ft speed penalty for duration.</t>
  </si>
  <si>
    <t>Freezing sleet and heavy snowfall collects around the target's feet, dealing 6d4 cold damage. Afterwhich they are immune 1 min. Success - half damage; Fail - full damage, -5ft circumstance speed penalty for duration; Crit Fail - double damage, -10ft speed penalty for duration.</t>
  </si>
  <si>
    <t>Freezing sleet and heavy snowfall collects around the target's feet, dealing 7d4 cold damage. Afterwhich they are immune 1 min. Success - half damage; Fail - full damage, -5ft circumstance speed penalty for duration; Crit Fail - double damage, -10ft speed penalty for duration.</t>
  </si>
  <si>
    <t>Freezing sleet and heavy snowfall collects around the target's feet, dealing 8d4 cold damage. Afterwhich they are immune 1 min. Success - half damage; Fail - full damage, -5ft circumstance speed penalty for duration; Crit Fail - double damage, -10ft speed penalty for duration.</t>
  </si>
  <si>
    <t>Freezing sleet and heavy snowfall collects around the target's feet, dealing 9d4 cold damage. Afterwhich they are immune 1 min. Success - half damage; Fail - full damage, -5ft circumstance speed penalty for duration; Crit Fail - double damage, -10ft speed penalty for duration.</t>
  </si>
  <si>
    <t>Freezing sleet and heavy snowfall collects around the target's feet, dealing 10d4 cold damage. Afterwhich they are immune 1 min. Success - half damage; Fail - full damage, -5ft circumstance speed penalty for duration; Crit Fail - double damage, -10ft speed penalty for duration.</t>
  </si>
  <si>
    <t>Discern Secrets</t>
  </si>
  <si>
    <t>You call upon your patron's power to better uncover secrets. When you Cast the Spell, the target can Recall Knowledge, Seek, or Sense Motive. The target gains a +1 status bonus to the skill or Perception used for the roll, and this bonus remains as long as you Sustain the Spell. The target is temporarily immune to discern secrets for 1 minute.</t>
  </si>
  <si>
    <t>You call upon your patron's power to better uncover secrets. When you Cast the Spell, 2 targets can Recall Knowledge, Seek, or Sense Motive. They gains a +1 status bonus to the skill or Perception used for the roll, and this bonus remains as long as you Sustain the Spell. The target is temporarily immune to discern secrets for 1 minute.</t>
  </si>
  <si>
    <t>Distortion Lens</t>
  </si>
  <si>
    <t>1 5ft square</t>
  </si>
  <si>
    <t>You create a lense that distorts space. The lense can be midair, and if an ally's ranged attack passes through the lense its range extends by 10ft of range; enemy's attacks lose 10ft of range. Allies in the lense are affected, but enemies are not. When sustain you can relocate the lense. AMP: affects creatures, allies can move into and out of the lense without using movement, while it is difficult terrain for enemies.</t>
  </si>
  <si>
    <t>You create a lense that distorts space. The lense can be midair, and if an ally's ranged attack passes through the lense its range extends by 15ft of range; enemy's attacks lose 15ft of range. Allies in the lense are affected, but enemies are not. When sustain you can relocate the lense. AMP: affects creatures, allies can move into and out of the lense without using movement, while it is difficult terrain for enemies.</t>
  </si>
  <si>
    <t>You create a lense that distorts space. The lense can be midair, and if an ally's ranged attack passes through the lense its range extends by 20ft of range; enemy's attacks lose 20ft of range. Allies in the lense are affected, but enemies are not. When sustain you can relocate the lense. AMP: affects creatures, allies can move into and out of the lense without using movement, while it is difficult terrain for enemies.</t>
  </si>
  <si>
    <t>You create a lense that distorts space. The lense can be midair, and if an ally's ranged attack passes through the lense its range extends by 25ft of range; enemy's attacks lose 25ft of range. Allies in the lense are affected, but enemies are not. When sustain you can relocate the lense. AMP: affects creatures, allies can move into and out of the lense without using movement, while it is difficult terrain for enemies.</t>
  </si>
  <si>
    <t>Evil Eye</t>
  </si>
  <si>
    <t>With a stare you impose a hex on the target, frightening them. This condition can not be reduced below 1 for the duration and you can see the target. Afterwhich immune 1 min. Success - unaffected; Fail - frightened 1; Crit Fail - frightened 2.</t>
  </si>
  <si>
    <t>Forbidden Thought</t>
  </si>
  <si>
    <t>Basic Will</t>
  </si>
  <si>
    <t xml:space="preserve">You place a psychic lock on the target's mind. Select Strike, Stride, Cast a Spell, or creature specific action (such as Breath Weapon). If the target attempts that action on its next turn, it takes 1d6 mental damage. Afterwhich immune 1 min. AMP: on failed save, also stunned 1. </t>
  </si>
  <si>
    <t xml:space="preserve">You place a psychic lock on the target's mind. Select Strike, Stride, Cast a Spell, or creature specific action (such as Breath Weapon). If the target attempts that action on its next turn, it takes 2d6 mental damage. Afterwhich immune 1 min. AMP: on failed save, also stunned 1. </t>
  </si>
  <si>
    <t xml:space="preserve">You place a psychic lock on the target's mind. Select Strike, Stride, Cast a Spell, or creature specific action (such as Breath Weapon). If the target attempts that action on its next turn, it takes 3d6 mental damage. Afterwhich immune 1 min. AMP: on failed save, also stunned 1. </t>
  </si>
  <si>
    <t xml:space="preserve">You place a psychic lock on the target's mind. Select Strike, Stride, Cast a Spell, or creature specific action (such as Breath Weapon). If the target attempts that action on its next turn, it takes 4d6 mental damage. Afterwhich immune 1 min. AMP: on failed save, also stunned 1. </t>
  </si>
  <si>
    <t xml:space="preserve">You place a psychic lock on the target's mind. Select Strike, Stride, Cast a Spell, or creature specific action (such as Breath Weapon). If the target attempts that action on its next turn, it takes 5d6 mental damage. Afterwhich immune 1 min. AMP: on failed save, also stunned 1. </t>
  </si>
  <si>
    <t xml:space="preserve">You place a psychic lock on the target's mind. Select Strike, Stride, Cast a Spell, or creature specific action (such as Breath Weapon). If the target attempts that action on its next turn, it takes 6d6 mental damage. Afterwhich immune 1 min. AMP: on failed save, also stunned 1. </t>
  </si>
  <si>
    <t xml:space="preserve">You place a psychic lock on the target's mind. Select Strike, Stride, Cast a Spell, or creature specific action (such as Breath Weapon). If the target attempts that action on its next turn, it takes 7d6 mental damage. Afterwhich immune 1 min. AMP: on failed save, also stunned 1. </t>
  </si>
  <si>
    <t xml:space="preserve">You place a psychic lock on the target's mind. Select Strike, Stride, Cast a Spell, or creature specific action (such as Breath Weapon). If the target attempts that action on its next turn, it takes 8d6 mental damage. Afterwhich immune 1 min. AMP: on failed save, also stunned 1. </t>
  </si>
  <si>
    <t xml:space="preserve">You place a psychic lock on the target's mind. Select Strike, Stride, Cast a Spell, or creature specific action (such as Breath Weapon). If the target attempts that action on its next turn, it takes 9d6 mental damage. Afterwhich immune 1 min. AMP: on failed save, also stunned 1. </t>
  </si>
  <si>
    <t xml:space="preserve">You place a psychic lock on the target's mind. Select Strike, Stride, Cast a Spell, or creature specific action (such as Breath Weapon). If the target attempts that action on its next turn, it takes 10d6 mental damage. Afterwhich immune 1 min. AMP: on failed save, also stunned 1. </t>
  </si>
  <si>
    <t>Glimpse Weakness</t>
  </si>
  <si>
    <t>You glimpse a loose scale, a seam in a foe's armor, or a similar weakness, aiding your allies in landing a precise hit. The first ally that hits the target with a successful Strike deals additional precision damage equal to 2, and then the spell ends. AMP: damage is 1d4+1</t>
  </si>
  <si>
    <t>You glimpse a loose scale, a seam in a foe's armor, or a similar weakness, aiding your allies in landing a precise hit. The first ally that hits the target with a successful Strike deals additional precision damage equal to 3, and then the spell ends. AMP: damage is 1d4+1.</t>
  </si>
  <si>
    <t>You glimpse a loose scale, a seam in a foe's armor, or a similar weakness, aiding your allies in landing a precise hit. The first ally that hits the target with a successful Strike deals additional precision damage equal to 4, and then the spell ends. AMP: damage is 2d4+2.</t>
  </si>
  <si>
    <t>You glimpse a loose scale, a seam in a foe's armor, or a similar weakness, aiding your allies in landing a precise hit. The first ally that hits the target with a successful Strike deals additional precision damage equal to 5, and then the spell ends. AMP: damage is 2d4+2.</t>
  </si>
  <si>
    <t>You glimpse a loose scale, a seam in a foe's armor, or a similar weakness, aiding your allies in landing a precise hit. The first ally that hits the target with a successful Strike deals additional precision damage equal to 6, and then the spell ends. AMP: damage is 3d4+3.</t>
  </si>
  <si>
    <t>You glimpse a loose scale, a seam in a foe's armor, or a similar weakness, aiding your allies in landing a precise hit. The first ally that hits the target with a successful Strike deals additional precision damage equal to 7, and then the spell ends. AMP: damage is 3d4+3.</t>
  </si>
  <si>
    <t>You glimpse a loose scale, a seam in a foe's armor, or a similar weakness, aiding your allies in landing a precise hit. The first ally that hits the target with a successful Strike deals additional precision damage equal to 8, and then the spell ends. AMP: damage is 4d4+4.</t>
  </si>
  <si>
    <t>You glimpse a loose scale, a seam in a foe's armor, or a similar weakness, aiding your allies in landing a precise hit. The first ally that hits the target with a successful Strike deals additional precision damage equal to 9, and then the spell ends. AMP: damage is 4d4+4.</t>
  </si>
  <si>
    <t>You glimpse a loose scale, a seam in a foe's armor, or a similar weakness, aiding your allies in landing a precise hit. The first ally that hits the target with a successful Strike deals additional precision damage equal to 10, and then the spell ends. AMP: damage is 5d4+5.</t>
  </si>
  <si>
    <t>You glimpse a loose scale, a seam in a foe's armor, or a similar weakness, aiding your allies in landing a precise hit. The first ally that hits the target with a successful Strike deals additional precision damage equal to 11, and then the spell ends. AMP: damage is 5d4+5.</t>
  </si>
  <si>
    <t>Imaginary Weapon</t>
  </si>
  <si>
    <t>You create a simple weapon of force. On hit you deal 1d8 +[spell ability mod] of your choice of bludgeoning or slashing damage. On a critical hit you can detonaye your weapon to push the target back 10ft. AMP: you create multiple weapons, allowing you to make 2 attacks, each against a different creature (MAP increases after both attacks are made).</t>
  </si>
  <si>
    <t>You create a simple weapon of force. On hit you deal 2d8 +[spell ability mod] of your choice of bludgeoning or slashing damage. On a critical hit you can detonaye your weapon to push the target back 10ft. AMP: you create multiple weapons, allowing you to make 2 attacks, each against a different creature (MAP increases after both attacks are made). These weapons deal 3d8 +[spell ability mod]</t>
  </si>
  <si>
    <t>You create a simple weapon of force. On hit you deal 3d8 +[spell ability mod] of your choice of bludgeoning or slashing damage. On a critical hit you can detonaye your weapon to push the target back 10ft. AMP: you create multiple weapons, allowing you to make 2 attacks, each against a different creature (MAP increases after both attacks are made). These weapons deal 5d8 +[spell ability mod]</t>
  </si>
  <si>
    <t>You create a simple weapon of force. On hit you deal 4d8 +[spell ability mod] of your choice of bludgeoning or slashing damage. On a critical hit you can detonaye your weapon to push the target back 10ft. AMP: you create multiple weapons, allowing you to make 2 attacks, each against a different creature (MAP increases after both attacks are made). These weapons deal 7d8 +[spell ability mod]</t>
  </si>
  <si>
    <t>You create a simple weapon of force. On hit you deal 5d8 +[spell ability mod] of your choice of bludgeoning or slashing damage. On a critical hit you can detonaye your weapon to push the target back 10ft. AMP: you create multiple weapons, allowing you to make 2 attacks, each against a different creature (MAP increases after both attacks are made). These weapons deal 9d8 +[spell ability mod]</t>
  </si>
  <si>
    <t>You create a simple weapon of force. On hit you deal 6d8 +[spell ability mod] of your choice of bludgeoning or slashing damage. On a critical hit you can detonaye your weapon to push the target back 10ft. AMP: you create multiple weapons, allowing you to make 2 attacks, each against a different creature (MAP increases after both attacks are made). These weapons deal 11d8 +[spell ability mod]</t>
  </si>
  <si>
    <t>You create a simple weapon of force. On hit you deal 7d8 +[spell ability mod] of your choice of bludgeoning or slashing damage. On a critical hit you can detonaye your weapon to push the target back 10ft. AMP: you create multiple weapons, allowing you to make 2 attacks, each against a different creature (MAP increases after both attacks are made). These weapons deal 13d8 +[spell ability mod]</t>
  </si>
  <si>
    <t>You create a simple weapon of force. On hit you deal 8d8 +[spell ability mod] of your choice of bludgeoning or slashing damage. On a critical hit you can detonaye your weapon to push the target back 10ft. AMP: you create multiple weapons, allowing you to make 2 attacks, each against a different creature (MAP increases after both attacks are made). These weapons deal 15d8 +[spell ability mod]</t>
  </si>
  <si>
    <t>You create a simple weapon of force. On hit you deal 9d8 +[spell ability mod] of your choice of bludgeoning or slashing damage. On a critical hit you can detonaye your weapon to push the target back 10ft. AMP: you create multiple weapons, allowing you to make 2 attacks, each against a different creature (MAP increases after both attacks are made). These weapons deal 17d8 +[spell ability mod]</t>
  </si>
  <si>
    <t>You create a simple weapon of force. On hit you deal 10d8 +[spell ability mod] of your choice of bludgeoning or slashing damage. On a critical hit you can detonaye your weapon to push the target back 10ft. AMP: you create multiple weapons, allowing you to make 2 attacks, each against a different creature (MAP increases after both attacks are made). These weapons deal 19d8 +[spell ability mod]</t>
  </si>
  <si>
    <t>Inspire Competence</t>
  </si>
  <si>
    <t>1 ally</t>
  </si>
  <si>
    <t>Your encouragement inspires your ally to succeed. This counts as preping Aid, regardless of circumstances. When using the Aid reaction, you can roll Performance instead of normal skill check (on a failure, you get a success instead. If you are legendary in Performance, you automatically critically succeed). DM may determine some skills (such as sneaking) are not benifeted by music.</t>
  </si>
  <si>
    <t>Inspire Courage</t>
  </si>
  <si>
    <t>60ft emanation</t>
  </si>
  <si>
    <t>Animal Companion Name</t>
  </si>
  <si>
    <t>You inspire your allies with words or tunes of encouragement. You and all allies in the area gain a +1 status bonus to attack rolls, damage rolls, and saves against fear effects.</t>
  </si>
  <si>
    <t>Nudge Fate</t>
  </si>
  <si>
    <t>You give fate a nudge. Once during the duration, when the target fails an attack roll, skill check, or saving throw and a +1 status bonus would turn a critical failure into a failure, or failure into a success, you grant the target a +1 status bonus to the check retroactively, changing the outcome appropriately. The spell ends; then immune for 1 minute.</t>
  </si>
  <si>
    <t>9th Lv</t>
  </si>
  <si>
    <t>Specialization</t>
  </si>
  <si>
    <t>Pact Broker</t>
  </si>
  <si>
    <t>Young</t>
  </si>
  <si>
    <t>You offer to broker a pact of peace. If the target peacefully, you take a –1 status to Deception checks to Lie. If they refuse and use a hostile action, they make a save. If they accepted the offer and use a hostile action, they must make a save (one degree worse). Immune for 1 minute. Fail: -1 status to attack and damage; Crit Fail: -2 to attack and damage.</t>
  </si>
  <si>
    <t>Reinforce Eidolon</t>
  </si>
  <si>
    <t>You reinforce your eidolon's defenses. Your eidolon gains a +1 status bonus to AC and saving throws, plus resistance to all damage equal to half the spell's level. Your eidolon can benefit from either boost eidolon or reinforce eidolon, but not both; if you cast one the other fades.</t>
  </si>
  <si>
    <t>Shroud of Night</t>
  </si>
  <si>
    <t>You shroud the target in a veil of night, blanketing their eyes in darkness. Willing allies can choose which result it gets without rolling (to negate light blindness). Target becomes immune for 1 minute. Success - unaffected; Fail - creatures become concealed unless target has darkvision.</t>
  </si>
  <si>
    <t>Silver's Refrain</t>
  </si>
  <si>
    <t>You replicate parts of a legendary song. Weapons and unarmed attack by allies in the area count as silvered. The spell attempts to counteract any dimension door cast by a devil in the area.</t>
  </si>
  <si>
    <t>#147</t>
  </si>
  <si>
    <t>Song of Strength</t>
  </si>
  <si>
    <t>You bolster your allies' physical strength. You and your allies gain a +1 status bonus to Athletics checks and to their DCs against Athletics skill actions such as Disarm, Shove, and Trip. SPECIAL: if you know the Inspire Heroics spell, you can use that composition to grant the bonus of Inspire Courage, or Inspire Defense</t>
  </si>
  <si>
    <t>Spirit Object</t>
  </si>
  <si>
    <t>Using a sliver of Baba Yaga's power, you bring an object of upto 1 bulk to life. Using an action to cast this spell causes it to sprout chicken legs and stride upto 25ft to a space within range. If you spent two actions casting this spell, you then make a melee spell attack for it. On hit, dealing 1d4 +[spell ability mod] bludge, pierc, or slashing damage based on object.</t>
  </si>
  <si>
    <t>Horse</t>
  </si>
  <si>
    <t>Using a sliver of Baba Yaga's power, you bring an object of upto 2 bulk to life. Using an action to cast this spell causes it to sprout chicken legs and stride upto 25ft to a space within range. If you spent two actions casting this spell, you then make a melee spell attack for it. On hit, dealing 2d4 +[spell ability mod] bludge, pierc, or slashing damage based on object.</t>
  </si>
  <si>
    <t>Using a sliver of Baba Yaga's power, you bring an object of upto 3 bulk to life. Using an action to cast this spell causes it to sprout chicken legs and stride upto 25ft to a space within range. If you spent two actions casting this spell, you then make a melee spell attack for it. On hit, dealing 3d4 +[spell ability mod] bludge, pierc, or slashing damage based on object.</t>
  </si>
  <si>
    <t>Using a sliver of Baba Yaga's power, you bring an object of upto 4 bulk to life. Using an action to cast this spell causes it to sprout chicken legs and stride upto 25ft to a space within range. If you spent two actions casting this spell, you then make a melee spell attack for it. On hit, dealing 4d4 +[spell ability mod] bludge, pierc, or slashing damage based on object.</t>
  </si>
  <si>
    <t>Using a sliver of Baba Yaga's power, you bring an object of upto 5 bulk to life. Using an action to cast this spell causes it to sprout chicken legs and stride upto 25ft to a space within range. If you spent two actions casting this spell, you then make a melee spell attack for it. On hit, dealing 5d4 +[spell ability mod] bludge, pierc, or slashing damage based on object.</t>
  </si>
  <si>
    <t>Using a sliver of Baba Yaga's power, you bring an object of upto 6 bulk to life. Using an action to cast this spell causes it to sprout chicken legs and stride upto 25ft to a space within range. If you spent two actions casting this spell, you then make a melee spell attack for it. On hit, dealing 6d4 +[spell ability mod] bludge, pierc, or slashing damage based on object.</t>
  </si>
  <si>
    <t>Using a sliver of Baba Yaga's power, you bring an object of upto 7 bulk to life. Using an action to cast this spell causes it to sprout chicken legs and stride upto 25ft to a space within range. If you spent two actions casting this spell, you then make a melee spell attack for it. On hit, dealing 7d4 +[spell ability mod] bludge, pierc, or slashing damage based on object.</t>
  </si>
  <si>
    <t>Using a sliver of Baba Yaga's power, you bring an object of upto 8 bulk to life. Using an action to cast this spell causes it to sprout chicken legs and stride upto 25ft to a space within range. If you spent two actions casting this spell, you then make a melee spell attack for it. On hit, dealing 8d4 +[spell ability mod] bludge, pierc, or slashing damage based on object.</t>
  </si>
  <si>
    <t>Species</t>
  </si>
  <si>
    <t>Using a sliver of Baba Yaga's power, you bring an object of upto 9 bulk to life. Using an action to cast this spell causes it to sprout chicken legs and stride upto 25ft to a space within range. If you spent two actions casting this spell, you then make a melee spell attack for it. On hit, dealing 9d4 +[spell ability mod] bludge, pierc, or slashing damage based on object.</t>
  </si>
  <si>
    <t>Using a sliver of Baba Yaga's power, you bring an object of upto 10 bulk to life. Using an action to cast this spell causes it to sprout chicken legs and stride upto 25ft to a space within range. If you spent two actions casting this spell, you then make a melee spell attack for it. On hit, dealing 10d4 +[spell ability mod] bludge, pierc, or slashing damage based on object.</t>
  </si>
  <si>
    <t>Legends</t>
  </si>
  <si>
    <t>Stroke the Heart</t>
  </si>
  <si>
    <t>Intense fervor fills the target creature, empowering their blows. The target gains a +2 status bonus to damage rolls. Once this spell ends, the target becomes temporarily immune for 1 minute.</t>
  </si>
  <si>
    <t>Intense fervor fills the target creature, empowering their blows. The target gains a +3 status bonus to damage rolls. Once this spell ends, the target becomes temporarily immune for 1 minute.</t>
  </si>
  <si>
    <t>Intense fervor fills the target creature, empowering their blows. The target gains a +4 status bonus to damage rolls. Once this spell ends, the target becomes temporarily immune for 1 minute.</t>
  </si>
  <si>
    <t>Intense fervor fills the target creature, empowering their blows. The target gains a +5 status bonus to damage rolls. Once this spell ends, the target becomes temporarily immune for 1 minute.</t>
  </si>
  <si>
    <t>Intense fervor fills the target creature, empowering their blows. The target gains a +6 status bonus to damage rolls. Once this spell ends, the target becomes temporarily immune for 1 minute.</t>
  </si>
  <si>
    <t>Telekinetic Rend</t>
  </si>
  <si>
    <t>2 5ft bursts</t>
  </si>
  <si>
    <t>You create a violent axis of motion, dealing 1d6 damage of slashing or bludgeoning to creatures in the areas. A large creature in both areas only takes damage once. AMP: you deal 1d6 bludgeoning and 1d6 slashing to creaturs in the area. If they critically fail the save they are also stunned 1.</t>
  </si>
  <si>
    <t>You create a violent axis of motion, dealing 2d6 damage of slashing or bludgeoning to creatures in the areas. A large creature in both areas only takes damage once. AMP: you deal 2d6 bludgeoning and 2d6 slashing to creaturs in the area. If they critically fail the save they are also stunned 1.</t>
  </si>
  <si>
    <t>You create a violent axis of motion, dealing 3d6 damage of slashing or bludgeoning to creatures in the areas. A large creature in both areas only takes damage once. AMP: you deal 3d6 bludgeoning and 3d6 slashing to creaturs in the area. If they critically fail the save they are also stunned 1.</t>
  </si>
  <si>
    <t>You create a violent axis of motion, dealing 4d6 damage of slashing or bludgeoning to creatures in the areas. A large creature in both areas only takes damage once. AMP: you deal 4d6 bludgeoning and 4d6 slashing to creaturs in the area. If they critically fail the save they are also stunned 1.</t>
  </si>
  <si>
    <t>You create a violent axis of motion, dealing 5d6 damage of slashing or bludgeoning to creatures in the areas. A large creature in both areas only takes damage once. AMP: you deal 5d6 bludgeoning and 5d6 slashing to creaturs in the area. If they critically fail the save they are also stunned 1.</t>
  </si>
  <si>
    <t>Thermal Stasis</t>
  </si>
  <si>
    <t>The same abilities that let you raise or lower thermal energy also let you keep it at a safe medium. The target gains resistance 2 against fire damage and resistance 2 against cold damage. AMP: duration 1 min</t>
  </si>
  <si>
    <t>The same abilities that let you raise or lower thermal energy also let you keep it at a safe medium. The target gains resistance 4 against fire damage and resistance 2 against cold damage. AMP: duration 1 min</t>
  </si>
  <si>
    <t>The same abilities that let you raise or lower thermal energy also let you keep it at a safe medium. The target gains resistance 6 against fire damage and resistance 2 against cold damage. AMP: duration 1 min</t>
  </si>
  <si>
    <t>The same abilities that let you raise or lower thermal energy also let you keep it at a safe medium. The target gains resistance 8 against fire damage and resistance 2 against cold damage. AMP: duration 1 min</t>
  </si>
  <si>
    <t>The same abilities that let you raise or lower thermal energy also let you keep it at a safe medium. The target gains resistance 10 against fire damage and resistance 2 against cold damage. AMP: duration 1 min</t>
  </si>
  <si>
    <t>The same abilities that let you raise or lower thermal energy also let you keep it at a safe medium. The target gains resistance 12 against fire damage and resistance 2 against cold damage. AMP: duration 1 min</t>
  </si>
  <si>
    <t>The same abilities that let you raise or lower thermal energy also let you keep it at a safe medium. The target gains resistance 14 against fire damage and resistance 2 against cold damage. AMP: duration 1 min</t>
  </si>
  <si>
    <t>The same abilities that let you raise or lower thermal energy also let you keep it at a safe medium. The target gains resistance 16 against fire damage and resistance 2 against cold damage. AMP: duration 1 min</t>
  </si>
  <si>
    <t>The same abilities that let you raise or lower thermal energy also let you keep it at a safe medium. The target gains resistance 18 against fire damage and resistance 2 against cold damage. AMP: duration 1 min</t>
  </si>
  <si>
    <t>The same abilities that let you raise or lower thermal energy also let you keep it at a safe medium. The target gains resistance 20 against fire damage and resistance 2 against cold damage. AMP: duration 1 min</t>
  </si>
  <si>
    <t>Wilding Word</t>
  </si>
  <si>
    <t>With a few words you convince 1 animal, fungus, or plant that you are a kindred spirit, so it shouldnt harm you. It is then immune 1 min. Success - target takes -2 status penalty to attack and skill checks that would harm you; Fail - as success, also becomes sickened 1 each time it damages you; Crit Fail - as fail, but instead sickened 2.</t>
  </si>
  <si>
    <t>Inspire Defense</t>
  </si>
  <si>
    <t>Inspiring your allies to protect themselves, you and all allies in the area gain a +1 status bonus to AC and saving throws, as well as resistance 1 to physical damage.</t>
  </si>
  <si>
    <t>Inspiring your allies to protect themselves, you and all allies in the area gain a +1 status bonus to AC and saving throws, as well as resistance 2 to physical damage.</t>
  </si>
  <si>
    <t>Inspiring your allies to protect themselves, you and all allies in the area gain a +1 status bonus to AC and saving throws, as well as resistance 3 to physical damage.</t>
  </si>
  <si>
    <t>Inspiring your allies to protect themselves, you and all allies in the area gain a +1 status bonus to AC and saving throws, as well as resistance 4 to physical damage.</t>
  </si>
  <si>
    <t>Inspiring your allies to protect themselves, you and all allies in the area gain a +1 status bonus to AC and saving throws, as well as resistance 5 to physical damage.</t>
  </si>
  <si>
    <t>Triple Time</t>
  </si>
  <si>
    <t>You dance a lively tempo, speeding your allies' movement. You and allies in the area gain a +10ft status bonus to all speeds for 1 round.</t>
  </si>
  <si>
    <t>Astral Rain</t>
  </si>
  <si>
    <t>5ft cube</t>
  </si>
  <si>
    <t>With a thought made real, the area is filled with verious blades, dealing 2d4+ [spellcasting ability mod] bludgeoning or piecing damage to any creature in the area, or that enters the area before your next turn. AMP: becomes a 5ft burst, [S] 1min, during the first sustain each round move the burst upto 20ft.</t>
  </si>
  <si>
    <t>With a thought made real, the area is filled with verious blades, dealing 3d4+ [spellcasting ability mod] bludgeoning or piecing damage to any creature in the area, or that enters the area before your next turn. AMP: becomes a 5ft burst, [S] 1min, during the first sustain each round move the burst upto 20ft.</t>
  </si>
  <si>
    <t>With a thought made real, the area is filled with verious blades, dealing 4d4+ [spellcasting ability mod] bludgeoning or piecing damage to any creature in the area, or that enters the area before your next turn. AMP: becomes a 5ft burst, [S] 1min, during the first sustain each round move the burst upto 20ft.</t>
  </si>
  <si>
    <t>With a thought made real, the area is filled with verious blades, dealing 5d4+ [spellcasting ability mod] bludgeoning or piecing damage to any creature in the area, or that enters the area before your next turn. AMP: becomes a 5ft burst, [S] 1min, during the first sustain each round move the burst upto 20ft.</t>
  </si>
  <si>
    <t>With a thought made real, the area is filled with verious blades, dealing 6d4+ [spellcasting ability mod] bludgeoning or piecing damage to any creature in the area, or that enters the area before your next turn. AMP: becomes a 5ft burst, [S] 1min, during the first sustain each round move the burst upto 20ft.</t>
  </si>
  <si>
    <t>With a thought made real, the area is filled with verious blades, dealing 7d4+ [spellcasting ability mod] bludgeoning or piecing damage to any creature in the area, or that enters the area before your next turn. AMP: becomes a 5ft burst, [S] 1min, during the first sustain each round move the burst upto 20ft.</t>
  </si>
  <si>
    <t>With a thought made real, the area is filled with verious blades, dealing 8d4+ [spellcasting ability mod] bludgeoning or piecing damage to any creature in the area, or that enters the area before your next turn. AMP: becomes a 5ft burst, [S] 1min, during the first sustain each round move the burst upto 20ft.</t>
  </si>
  <si>
    <t>With a thought made real, the area is filled with verious blades, dealing 9d4+ [spellcasting ability mod] bludgeoning or piecing damage to any creature in the area, or that enters the area before your next turn. AMP: becomes a 5ft burst, [S] 1min, during the first sustain each round move the burst upto 20ft.</t>
  </si>
  <si>
    <t>Dirge of Doom</t>
  </si>
  <si>
    <t>30ft emanation</t>
  </si>
  <si>
    <t>Foes within the area are frightened 1. They can't reduce their frightened value below 1 while they remain in the area.</t>
  </si>
  <si>
    <t>Entropic Wheel</t>
  </si>
  <si>
    <t>Stockpiling thermal energy when you deal cold or fire damage, a wheel begins to spin. When you cast the spell, the wheel has one mote, and gains another each time you use a cold or fire effect once per turn, upto a maximum of 3. When you cast a fire spell the target takes cold damage equal to the number of motes, while cold spells deal extra fire. AMP: when casting the spell, and any time it would gain a mote, the wheel gains 2 instead.</t>
  </si>
  <si>
    <t>Stockpiling thermal energy when you deal cold or fire damage, a wheel begins to spin. When you cast the spell, the wheel has one mote, and gains another each time you use a cold or fire effect once per turn, upto a maximum of 4. When you cast a fire spell the target takes cold damage equal to the number of motes, while cold spells deal extra fire. AMP: when casting the spell, and any time it would gain a mote, the wheel gains 2 instead.</t>
  </si>
  <si>
    <t>Stockpiling thermal energy when you deal cold or fire damage, a wheel begins to spin. When you cast the spell, the wheel has one mote, and gains another each time you use a cold or fire effect once per turn, upto a maximum of 5. When you cast a fire spell the target takes cold damage equal to the number of motes, while cold spells deal extra fire. AMP: when casting the spell, and any time it would gain a mote, the wheel gains 2 instead.</t>
  </si>
  <si>
    <t>Stockpiling thermal energy when you deal cold or fire damage, a wheel begins to spin. When you cast the spell, the wheel has one mote, and gains another each time you use a cold or fire effect once per turn, upto a maximum of 6. When you cast a fire spell the target takes cold damage equal to the number of motes, while cold spells deal extra fire. AMP: when casting the spell, and any time it would gain a mote, the wheel gains 2 instead.</t>
  </si>
  <si>
    <t>Stockpiling thermal energy when you deal cold or fire damage, a wheel begins to spin. When you cast the spell, the wheel has one mote, and gains another each time you use a cold or fire effect once per turn, upto a maximum of 7. When you cast a fire spell the target takes cold damage equal to the number of motes, while cold spells deal extra fire. AMP: when casting the spell, and any time it would gain a mote, the wheel gains 2 instead.</t>
  </si>
  <si>
    <t>Stockpiling thermal energy when you deal cold or fire damage, a wheel begins to spin. When you cast the spell, the wheel has one mote, and gains another each time you use a cold or fire effect once per turn, upto a maximum of 8. When you cast a fire spell the target takes cold damage equal to the number of motes, while cold spells deal extra fire. AMP: when casting the spell, and any time it would gain a mote, the wheel gains 2 instead.</t>
  </si>
  <si>
    <t>Stockpiling thermal energy when you deal cold or fire damage, a wheel begins to spin. When you cast the spell, the wheel has one mote, and gains another each time you use a cold or fire effect once per turn, upto a maximum of 9. When you cast a fire spell the target takes cold damage equal to the number of motes, while cold spells deal extra fire. AMP: when casting the spell, and any time it would gain a mote, the wheel gains 2 instead.</t>
  </si>
  <si>
    <t>Stockpiling thermal energy when you deal cold or fire damage, a wheel begins to spin. When you cast the spell, the wheel has one mote, and gains another each time you use a cold or fire effect once per turn, upto a maximum of 10. When you cast a fire spell the target takes cold damage equal to the number of motes, while cold spells deal extra fire. AMP: when casting the spell, and any time it would gain a mote, the wheel gains 2 instead.</t>
  </si>
  <si>
    <t>Ghostly Shift</t>
  </si>
  <si>
    <t>Your body becomes insubstantial as you partilly phase out, gaining resistance 2 to all damage (except force). AMP: You are insubstantial enough that you can pass through creatures. Once each round when you use movement to freely pass through one creature's space and deal 2d6 force (basic Fort), but cant end your turn there.</t>
  </si>
  <si>
    <t>Your body becomes insubstantial as you partilly phase out, gaining resistance 3 to all damage (except force). AMP: You are insubstantial enough that you can pass through creatures. Once each round when you use movement to freely pass through one creature's space and deal 2d6 force (basic Fort), but cant end your turn there.</t>
  </si>
  <si>
    <t>Your body becomes insubstantial as you partilly phase out, gaining resistance 4 to all damage (except force). AMP: You are insubstantial enough that you can pass through creatures. Once each round when you use movement to freely pass through one creature's space and deal 3d6 force (basic Fort), but cant end your turn there.</t>
  </si>
  <si>
    <t>Your body becomes insubstantial as you partilly phase out, gaining resistance 5 to all damage (except force). AMP: You are insubstantial enough that you can pass through creatures. Once each round when you use movement to freely pass through one creature's space and deal 3d6 force (basic Fort), but cant end your turn there.</t>
  </si>
  <si>
    <t>Your body becomes insubstantial as you partilly phase out, gaining resistance 6 to all damage (except force). AMP: You are insubstantial enough that you can pass through creatures. Once each round when you use movement to freely pass through one creature's space and deal 4d6 force (basic Fort), but cant end your turn there.</t>
  </si>
  <si>
    <t>Your body becomes insubstantial as you partilly phase out, gaining resistance 7 to all damage (except force). AMP: You are insubstantial enough that you can pass through creatures. Once each round when you use movement to freely pass through one creature's space and deal 4d6 force (basic Fort), but cant end your turn there.</t>
  </si>
  <si>
    <t>Your body becomes insubstantial as you partilly phase out, gaining resistance 8 to all damage (except force). AMP: You are insubstantial enough that you can pass through creatures. Once each round when you use movement to freely pass through one creature's space and deal 5d6 force (basic Fort), but cant end your turn there.</t>
  </si>
  <si>
    <t>Your body becomes insubstantial as you partilly phase out, gaining resistance 9 to all damage (except force). AMP: You are insubstantial enough that you can pass through creatures. Once each round when you use movement to freely pass through one creature's space and deal 5d6 force (basic Fort), but cant end your turn there.</t>
  </si>
  <si>
    <t>Omnidirectional Scan</t>
  </si>
  <si>
    <t>Your mind spreading out, Seeking the entire area. You grant aid to one ally's attack against the target enemy, even if they are concealed/hidden. If you take the Aid reaction you can use your spell attack modifier. A critical fail becomes a fail. AMP: You learn which saving throw of the enemy is highest and lowest, and all allies within 30ft gain a +1 bonus to attack and damage. If you aid these bonuses become +2 (+3 on crit, +4 if legendary)</t>
  </si>
  <si>
    <t>Shatter Mind</t>
  </si>
  <si>
    <t>15ft cone</t>
  </si>
  <si>
    <t>You telepathically assail the minds of your foes, dealing 2d4+ [spell ability mod] mental damage to all enemies in the area. AMP: the area increases to a 30ft cone or a 60ft cone, and damage dice are d10s. Creatures that fail are stupefied 1 until your next turn (or stupefied 2 on crit fail).</t>
  </si>
  <si>
    <t>You telepathically assail the minds of your foes, dealing 3d4+ [spell ability mod] mental damage to all enemies in the area. AMP: the area increases to a 30ft cone or a 60ft cone, and damage dice are d10s. Creatures that fail are stupefied 1 until your next turn (or stupefied 2 on crit fail).</t>
  </si>
  <si>
    <t>You telepathically assail the minds of your foes, dealing 4d4+ [spell ability mod] mental damage to all enemies in the area. AMP: the area increases to a 30ft cone or a 60ft cone, and damage dice are d10s. Creatures that fail are stupefied 1 until your next turn (or stupefied 2 on crit fail).</t>
  </si>
  <si>
    <t>You telepathically assail the minds of your foes, dealing 5d4+ [spell ability mod] mental damage to all enemies in the area. AMP: the area increases to a 30ft cone or a 60ft cone, and damage dice are d10s. Creatures that fail are stupefied 1 until your next turn (or stupefied 2 on crit fail).</t>
  </si>
  <si>
    <t>You telepathically assail the minds of your foes, dealing 6d4+ [spell ability mod] mental damage to all enemies in the area. AMP: the area increases to a 30ft cone or a 60ft cone, and damage dice are d10s. Creatures that fail are stupefied 1 until your next turn (or stupefied 2 on crit fail).</t>
  </si>
  <si>
    <t>You telepathically assail the minds of your foes, dealing 7d4+ [spell ability mod] mental damage to all enemies in the area. AMP: the area increases to a 30ft cone or a 60ft cone, and damage dice are d10s. Creatures that fail are stupefied 1 until your next turn (or stupefied 2 on crit fail).</t>
  </si>
  <si>
    <t>You telepathically assail the minds of your foes, dealing 8d4+ [spell ability mod] mental damage to all enemies in the area. AMP: the area increases to a 30ft cone or a 60ft cone, and damage dice are d10s. Creatures that fail are stupefied 1 until your next turn (or stupefied 2 on crit fail).</t>
  </si>
  <si>
    <t>You telepathically assail the minds of your foes, dealing 9d4+ [spell ability mod] mental damage to all enemies in the area. AMP: the area increases to a 30ft cone or a 60ft cone, and damage dice are d10s. Creatures that fail are stupefied 1 until your next turn (or stupefied 2 on crit fail).</t>
  </si>
  <si>
    <t>Song of Marching</t>
  </si>
  <si>
    <t>[S] 1hour</t>
  </si>
  <si>
    <t>You maintain a brisk performance that keeps allies on the move. You and your allies in the area can Hustle for the spell's duration, doubling your travel speed. You and your allies then become temporarily immune for 1 day.</t>
  </si>
  <si>
    <t>You maintain a brisk performance that keeps allies on the move for 2 hours. You and your allies in the area can Hustle for the spell's duration, doubling your travel speed. You and your allies then become temporarily immune for 1 day.</t>
  </si>
  <si>
    <t>You maintain a brisk performance that keeps allies on the move for 4 hours. You and your allies in the area can Hustle for the spell's duration, doubling your travel speed. You and your allies then become temporarily immune for 1 day.</t>
  </si>
  <si>
    <t>Vector Screen</t>
  </si>
  <si>
    <t>Familiar Name</t>
  </si>
  <si>
    <t>5ft square</t>
  </si>
  <si>
    <t>A transparent screen of telekinetic energy that stops small projectiles. Creatures can move through, but physical ammunition from ranged attacks (arrow, bolt, sling) are stopped. Bigger ammunition (javalins) take a -2 circumstance penality, bigger ammunition are unaffected. AMP: duration 1 min, casting Telekinetic Projectile once when spell ends.</t>
  </si>
  <si>
    <t>A transparent screen of telekinetic energy 10ft wide that stops small projectiles. Creatures can move through, but physical ammunition from ranged attacks (arrow, bolt, sling) are stopped. Bigger ammunition (javalins) take a -2 circumstance penality, bigger ammunition are unaffected. AMP: duration 1 min, casting Telekinetic Projectile once when spell ends.</t>
  </si>
  <si>
    <t>A transparent screen of telekinetic energy 10ft wide that stops small projectiles. Creatures can move through, but physical ammunition from ranged attacks (arrow, bolt, sling) are stopped. Bigger ammunition (javalins) and spell attacks take a -2 circumstance penality, bigger ammunition are unaffected. Screen grants cover to spell AoE. AMP: duration 1 min, casting Telekinetic Projectile once when spell ends.</t>
  </si>
  <si>
    <t>Contagious Idea</t>
  </si>
  <si>
    <t>Upto 2 creatures</t>
  </si>
  <si>
    <t>You implant a thought into the target, then the same thought can spread to another within 30ft of the original thats not you. Pleasant Thoughts grant 5 temp hp for 1min; Terrifying Thoughts (Will) - Crit success - immune 1 min; Success - frightened 1, immune 1min; Fail - fright 2; Crit Fail - fright 3. AMP: third target, twice temp hp from pleasent thought.</t>
  </si>
  <si>
    <t>You implant a thought into the target, then the same thought can spread to another within 30ft of the original thats not you. Pleasant Thoughts grant 6 temp hp for 1min; Terrifying Thoughts (Will) - Crit success - immune 1 min; Success - frightened 1, immune 1min; Fail - fright 2; Crit Fail - fright 3. AMP: third target, twice temp hp from pleasent thought.</t>
  </si>
  <si>
    <t>You implant a thought into the target, then the same thought can spread to another within 30ft of the original thats not you. Pleasant Thoughts grant 7 temp hp for 1min; Terrifying Thoughts (Will) - Crit success - immune 1 min; Success - frightened 1, immune 1min; Fail - fright 2; Crit Fail - fright 3. AMP: third target, twice temp hp from pleasent thought.</t>
  </si>
  <si>
    <t>You implant a thought into the target, then the same thought can spread to another within 30ft of the original thats not you. Pleasant Thoughts grant 8 temp hp for 1min; Terrifying Thoughts (Will) - Crit success - immune 1 min; Success - frightened 1, immune 1min; Fail - fright 2; Crit Fail - fright 3. AMP: third target, twice temp hp from pleasent thought.</t>
  </si>
  <si>
    <t>You implant a thought into the target, then the same thought can spread to another within 30ft of the original thats not you. Pleasant Thoughts grant 9 temp hp for 1min; Terrifying Thoughts (Will) - Crit success - immune 1 min; Success - frightened 1, immune 1min; Fail - fright 2; Crit Fail - fright 3. AMP: third target, twice temp hp from pleasent thought.</t>
  </si>
  <si>
    <t>You implant a thought into the target, then the same thought can spread to another within 30ft of the original thats not you. Pleasant Thoughts grant 10 temp hp for 1min; Terrifying Thoughts (Will) - Crit success - immune 1 min; Success - frightened 1, immune 1min; Fail - fright 2; Crit Fail - fright 3. AMP: third target, twice temp hp from pleasent thought.</t>
  </si>
  <si>
    <t>Dancing Blade</t>
  </si>
  <si>
    <t>1 creatures</t>
  </si>
  <si>
    <t>You animate a weapon to duel your foes. When you cast a spell, and Sustain choose one: Strike - spell attack, dealing 2d6+ [spell ability mod] damage determined by weapon on hit; Change Partners - you change the weapon's target to a new target within 30ft. AMP: damage is d10s; Guard - Target has +2 AC bonus against melee attacks; Push - spell attack instead of athletics to push target.</t>
  </si>
  <si>
    <t>You animate a weapon to duel your foes. When you cast a spell, and Sustain choose one: Strike - spell attack, dealing 3d6+ [spell ability mod] damage determined by weapon on hit; Change Partners - you change the weapon's target to a new target within 30ft. AMP: damage is d10s; Guard - Target has +2 AC bonus against melee attacks; Push - spell attack instead of athletics to push target.</t>
  </si>
  <si>
    <t>You animate a weapon to duel your foes. When you cast a spell, and Sustain choose one: Strike - spell attack, dealing 4d6+ [spell ability mod] damage determined by weapon on hit; Change Partners - you change the weapon's target to a new target within 30ft. AMP: damage is d10s; Guard - Target has +2 AC bonus against melee attacks; Push - spell attack instead of athletics to push target.</t>
  </si>
  <si>
    <t>You animate a weapon to duel your foes. When you cast a spell, and Sustain choose one: Strike - spell attack, dealing 5d6+ [spell ability mod] damage determined by weapon on hit; Change Partners - you change the weapon's target to a new target within 30ft. AMP: damage is d10s; Guard - Target has +2 AC bonus against melee attacks; Push - spell attack instead of athletics to push target.</t>
  </si>
  <si>
    <t>You animate a weapon to duel your foes. When you cast a spell, and Sustain choose one: Strike - spell attack, dealing 6d6+ [spell ability mod] damage determined by weapon on hit; Change Partners - you change the weapon's target to a new target within 30ft. AMP: damage is d10s; Guard - Target has +2 AC bonus against melee attacks; Push - spell attack instead of athletics to push target.</t>
  </si>
  <si>
    <t>You animate a weapon to duel your foes. When you cast a spell, and Sustain choose one: Strike - spell attack, dealing 7d6+ [spell ability mod] damage determined by weapon on hit; Change Partners - you change the weapon's target to a new target within 30ft. AMP: damage is d10s; Guard - Target has +2 AC bonus against melee attacks; Push - spell attack instead of athletics to push target.</t>
  </si>
  <si>
    <t>Foresee the Path</t>
  </si>
  <si>
    <t>Perception</t>
  </si>
  <si>
    <t>Looking into the future, you glean the enemy movements. Make a perception check against target's Will DC, Deception DC, or simular, afterwhitch the target is immune for 1min. Crit Success - target ally gains Attack of Opportunity, or gains a +2 bonus to AoO if it already has simular; Success - as crit success, but bonus is +1; Fail - no effect. AMP: Each Sustain target a new ally, Fail: as success.</t>
  </si>
  <si>
    <t>Hologram Cage</t>
  </si>
  <si>
    <t>20ft cube</t>
  </si>
  <si>
    <t>A cube of woven light, shedding 10ft of bright light. The cube blocks sight looking in, but not out. You can only have one casting active at a time. AMP: The walls of light have Force woven in, each 10ft panel has an AC of 10, Hardness 10, HP 20. Walls can not pass through a creature.</t>
  </si>
  <si>
    <t>A cube of woven light, shedding 10ft of bright light. The cube blocks sight looking in, but not out. You can only have one casting active at a time. AMP: The walls of light have Force woven in, each 10ft panel has an AC of 10, Hardness 12, HP 24. Walls can not pass through a creature.</t>
  </si>
  <si>
    <t>A 25ft cube of woven light within 80ft, shedding 10ft of bright light. The cube blocks sight looking in, but not out. You can only have one casting active at a time. AMP: The walls of light have Force woven in, each 10ft panel has an AC of 10, Hardness 14, HP 28. Walls can not pass through a creature.</t>
  </si>
  <si>
    <t>A 25ft cube of woven light within 80ft, shedding 10ft of bright light. The cube blocks sight looking in, but not out. You can only have one casting active at a time. AMP: The walls of light have Force woven in, each 10ft panel has an AC of 10, Hardness 16, HP 32. Walls can not pass through a creature.</t>
  </si>
  <si>
    <t>A 25ft cube of woven light within 80ft, shedding 10ft of bright light. The cube blocks sight looking in, but not out. You can only have one casting active at a time. AMP: The walls of light have Force woven in, each 10ft panel has an AC of 10, Hardness 18, HP 36. Walls can not pass through a creature.</t>
  </si>
  <si>
    <t>A 25ft cube of woven light within 80ft, shedding 10ft of bright light. The cube blocks sight looking in, but not out. You can only have one casting active at a time. AMP: The walls of light have Force woven in, each 10ft panel has an AC of 10, Hardness 20, HP 40. Walls can not pass through a creature.</t>
  </si>
  <si>
    <t>House of Imaginary Walls</t>
  </si>
  <si>
    <t>Tiny</t>
  </si>
  <si>
    <t>You mime creating an invisible 10ft by 10ft wall. The wall is solid to all creatures that dont disbelieve it, even incorporeal creatures. Creatures that disbelieve are immune for 1 min. You and allies can believe the wall, to climb it. Wall doesnt block creatures that didnt see you cast, has an AC of 10, Hardness 10, HP 20</t>
  </si>
  <si>
    <t>You mime creating an invisible 10ft by 10ft wall. The wall is solid to all creatures that dont disbelieve it, even incorporeal creatures. Creatures that disbelieve are immune for 1 min. You and allies can believe the wall, to climb it. Wall doesnt block creatures that didnt see you cast, has an AC of 10, Hardness 10, HP 22</t>
  </si>
  <si>
    <t>You mime creating an invisible 10ft by 10ft wall. The wall is solid to all creatures that dont disbelieve it, even incorporeal creatures. Creatures that disbelieve are immune for 1 min. You and allies can believe the wall, to climb it. Wall doesnt block creatures that didnt see you cast, has an AC of 10, Hardness 14, HP 28</t>
  </si>
  <si>
    <t>You mime creating an invisible 10ft by 10ft wall. The wall is solid to all creatures that dont disbelieve it, even incorporeal creatures. Creatures that disbelieve are immune for 1 min. You and allies can believe the wall, to climb it. Wall doesnt block creatures that didnt see you cast, has an AC of 10, Hardness 16, HP 32</t>
  </si>
  <si>
    <t>You mime creating an invisible 10ft by 10ft wall. The wall is solid to all creatures that dont disbelieve it, even incorporeal creatures. Creatures that disbelieve are immune for 1 min. You and allies can believe the wall, to climb it. Wall doesnt block creatures that didnt see you cast, has an AC of 10, Hardness 18, HP 36</t>
  </si>
  <si>
    <t>You mime creating an invisible 10ft by 10ft wall. The wall is solid to all creatures that dont disbelieve it, even incorporeal creatures. Creatures that disbelieve are immune for 1 min. You and allies can believe the wall, to climb it. Wall doesnt block creatures that didnt see you cast, has an AC of 10, Hardness 20, HP 40</t>
  </si>
  <si>
    <t>Redistribute Potential</t>
  </si>
  <si>
    <t>2 adjacent 5ft squares</t>
  </si>
  <si>
    <t>Other Notes:</t>
  </si>
  <si>
    <t>By shunting heat from one area to another, you deal 4d4 damage. Choose which square deals cold damage by having its heat stolen, and the other  dealing fire damage. Failed save against cold becomes clumsy 1 from numbness, other becoming enfeebled 1 from heatstroke, lasting until the start of your next turn. AMP: 10ft bursts, 6d6 damage, and condition lasts 1min.</t>
  </si>
  <si>
    <t>By shunting heat from one area to another, you deal 5d4 damage. Choose which square deals cold damage by having its heat stolen, and the other  dealing fire damage. Failed save against cold becomes clumsy 1 from numbness, other becoming enfeebled 1 from heatstroke, lasting until the start of your next turn. AMP: 10ft bursts, 8d6 damage, and condition lasts 1min.</t>
  </si>
  <si>
    <t>By shunting heat from one area to another, you deal 6d4 damage. Choose which square deals cold damage by having its heat stolen, and the other  dealing fire damage. Failed save against cold becomes clumsy 1 from numbness, other becoming enfeebled 1 from heatstroke, lasting until the start of your next turn. AMP: 10ft bursts, 10d6 damage, and condition lasts 1min.</t>
  </si>
  <si>
    <t>By shunting heat from one area to another, you deal 7d4 damage. Choose which square deals cold damage by having its heat stolen, and the other  dealing fire damage. Failed save against cold becomes clumsy 1 from numbness, other becoming enfeebled 1 from heatstroke, lasting until the start of your next turn. AMP: 10ft bursts, 12d6 damage, and condition lasts 1min.</t>
  </si>
  <si>
    <t>By shunting heat from one area to another, you deal 8d4 damage. Choose which square deals cold damage by having its heat stolen, and the other  dealing fire damage. Failed save against cold becomes clumsy 1 from numbness, other becoming enfeebled 1 from heatstroke, lasting until the start of your next turn. AMP: 10ft bursts, 14d6 damage, and condition lasts 1min.</t>
  </si>
  <si>
    <t>By shunting heat from one area to another, you deal 9d4 damage. Choose which square deals cold damage by having its heat stolen, and the other  dealing fire damage. Failed save against cold becomes clumsy 1 from numbness, other becoming enfeebled 1 from heatstroke, lasting until the start of your next turn. AMP: 10ft bursts, 16d6 damage, and condition lasts 1min.</t>
  </si>
  <si>
    <t>Tesseract Tunnel</t>
  </si>
  <si>
    <t>10th Lv</t>
  </si>
  <si>
    <t>Racing from point to point, you create a portal. Creating a portal in your current space and then Stride, creating another where you end your movement. Until next turn any creature can enter the first portal as apart of a move action. You can only have 1 portal at a time. AMP: create second portal within movement range, and choose to immeadately teleport there. Travel through portal is two ways. Duration 1min.</t>
  </si>
  <si>
    <t>Allegro</t>
  </si>
  <si>
    <t>1 willing creature</t>
  </si>
  <si>
    <t>You perform rapidly, speeding up your ally. The ally becomes quickened and can use the additional action to Strike, Stride, or Step.</t>
  </si>
  <si>
    <t>Acidic Burst</t>
  </si>
  <si>
    <t>5ft burst</t>
  </si>
  <si>
    <t>Create a shell of acid that bursts outward dealing 2d6 acid damage.</t>
  </si>
  <si>
    <t>Create a shell of acid that bursts outward dealing 4d6 acid damage.</t>
  </si>
  <si>
    <t>Create a shell of acid that bursts outward dealing 6d6 acid damage.</t>
  </si>
  <si>
    <t>Create a shell of acid that bursts outward dealing 8d6 acid damage.</t>
  </si>
  <si>
    <t>Create a shell of acid that bursts outward dealing 10d6 acid damage.</t>
  </si>
  <si>
    <t>Create a shell of acid that bursts outward dealing 12d6 acid damage.</t>
  </si>
  <si>
    <t>Create a shell of acid that bursts outward dealing 14d6 acid damage.</t>
  </si>
  <si>
    <t>Create a shell of acid that bursts outward dealing 16d6 acid damage.</t>
  </si>
  <si>
    <t>Create a shell of acid that bursts outward dealing 18d6 acid damage.</t>
  </si>
  <si>
    <t>Create a shell of acid that bursts outward dealing 20d6 acid damage.</t>
  </si>
  <si>
    <t>Gods &amp; Magic</t>
  </si>
  <si>
    <t>Admonishing Ray</t>
  </si>
  <si>
    <t>A bludgeoning ray that doesnt cause lasting harm. A strong punch or slap that deals 2d6 bluedgeoning damage.</t>
  </si>
  <si>
    <t>A bludgeoning ray that doesnt cause lasting harm. A strong punch or slap that deals 4d6 bluedgeoning damage.</t>
  </si>
  <si>
    <t>A bludgeoning ray that doesnt cause lasting harm. A strong punch or slap that deals 6d6 bluedgeoning damage.</t>
  </si>
  <si>
    <t>A bludgeoning ray that doesnt cause lasting harm. A strong punch or slap that deals 8d6 bluedgeoning damage.</t>
  </si>
  <si>
    <t>A bludgeoning ray that doesnt cause lasting harm. A strong punch or slap that deals 10d6 bluedgeoning damage.</t>
  </si>
  <si>
    <t>A bludgeoning ray that doesnt cause lasting harm. A strong punch or slap that deals 12d6 bluedgeoning damage.</t>
  </si>
  <si>
    <t>A bludgeoning ray that doesnt cause lasting harm. A strong punch or slap that deals 14d6 bluedgeoning damage.</t>
  </si>
  <si>
    <t>A bludgeoning ray that doesnt cause lasting harm. A strong punch or slap that deals 16d6 bluedgeoning damage.</t>
  </si>
  <si>
    <t>A bludgeoning ray that doesnt cause lasting harm. A strong punch or slap that deals 18d6 bluedgeoning damage.</t>
  </si>
  <si>
    <t>A bludgeoning ray that doesnt cause lasting harm. A strong punch or slap that deals 20d6 bluedgeoning damage.</t>
  </si>
  <si>
    <t>arcane, divine</t>
  </si>
  <si>
    <t>#158</t>
  </si>
  <si>
    <t>Agitate</t>
  </si>
  <si>
    <t>Send the target into overdrive, forcing them to Stride, Fly, or Swim at least once on their turn or take 2d8 mental damage. On successful Will save duration lasts 1 round. On failed save duration lasts 2 rounds. On Critical fail duration becomes 4 rounds.</t>
  </si>
  <si>
    <t>Send the target into overdrive, forcing them to Stride, Fly, or Swim at least once on their turn or take 4d8 mental damage. On successful Will save duration lasts 1 round. On failed save duration lasts 2 rounds. On Critical fail duration becomes 4 rounds.</t>
  </si>
  <si>
    <t>Send the target into overdrive, forcing them to Stride, Fly, or Swim at least once on their turn or take 6d8 mental damage. On successful Will save duration lasts 1 round. On failed save duration lasts 2 rounds. On Critical fail duration becomes 4 rounds.</t>
  </si>
  <si>
    <t>Send the target into overdrive, forcing them to Stride, Fly, or Swim at least once on their turn or take 8d8 mental damage. On successful Will save duration lasts 1 round. On failed save duration lasts 2 rounds. On Critical fail duration becomes 4 rounds.</t>
  </si>
  <si>
    <t>Send the target into overdrive, forcing them to Stride, Fly, or Swim at least once on their turn or take 10d8 mental damage. On successful Will save duration lasts 1 round. On failed save duration lasts 2 rounds. On Critical fail duration becomes 4 rounds.</t>
  </si>
  <si>
    <t>Send the target into overdrive, forcing them to Stride, Fly, or Swim at least once on their turn or take 12d8 mental damage. On successful Will save duration lasts 1 round. On failed save duration lasts 2 rounds. On Critical fail duration becomes 4 rounds1.</t>
  </si>
  <si>
    <t>Send the target into overdrive, forcing them to Stride, Fly, or Swim at least once on their turn or take 14d8 mental damage. On successful Will save duration lasts 1 round. On failed save duration lasts 2 rounds. On Critical fail duration becomes 4 rounds.</t>
  </si>
  <si>
    <t>Send the target into overdrive, forcing them to Stride, Fly, or Swim at least once on their turn or take 16d8 mental damage. On successful Will save duration lasts 1 round. On failed save duration lasts 2 rounds. On Critical fail duration becomes 4 rounds.</t>
  </si>
  <si>
    <t>Send the target into overdrive, forcing them to Stride, Fly, or Swim at least once on their turn or take 18d8 mental damage. On successful Will save duration lasts 1 round. On failed save duration lasts 2 rounds. On Critical fail duration becomes 4 rounds.</t>
  </si>
  <si>
    <t>Send the target into overdrive, forcing them to Stride, Fly, or Swim at least once on their turn or take 20d8 mental damage. On successful Will save duration lasts 1 round. On failed save duration lasts 2 rounds. On Critical fail duration becomes 4 rounds.</t>
  </si>
  <si>
    <t>Air Bubble</t>
  </si>
  <si>
    <t xml:space="preserve">If a creature is in an enviroment where it can not breath you create an air bubble around their head, allowing them to breath normally. This spell ends instantly if the target returns to an enviroment where it can breath normally. </t>
  </si>
  <si>
    <t>arcane, divine, primal</t>
  </si>
  <si>
    <t>Airburst</t>
  </si>
  <si>
    <t>A blast of wind that pushes everything away from you. Objects of upto 1 bulk are pushed back 5 feet. All creatures within the area must make a Fort save. On success target has a a -2 status penalty to reactions until end of your turn. On a failure, as success, but target is also pushed 5ft away. Critical failure results in being pushed back 5ft and cant use reactions until end of your turn.</t>
  </si>
  <si>
    <t>A blast of wind that pushes everything away from you within a 10ft emination. Objects of upto 1 bulk are pushed back 10 feet. All creatures within the area must make a Fort save. On success target has a a -2 status penalty to reactions until end of your turn. On a failure, as success, but target is also pushed 10ft away. Critical failure results in being pushed back 10ft and cant use reactions until end of your turn.</t>
  </si>
  <si>
    <t>#169</t>
  </si>
  <si>
    <t>Alarm</t>
  </si>
  <si>
    <t>10min</t>
  </si>
  <si>
    <t>20ft burst</t>
  </si>
  <si>
    <t>8 hours</t>
  </si>
  <si>
    <t>Using a silver bell worth 3gp you ward an area against creatures size small or larger. Creatures with password you set do not trigger alarm, or can make a Stealth check against your spell DC to not trigger. Triggering the alarm will result in your choice of mental pings, or auditory pings that allows nearby sleeping creatures to make a DC 15 Perception check. Both types of pings will wake you up instantly.</t>
  </si>
  <si>
    <t>Using a silver bell worth 3gp you ward an area against creatures size small or larger that match any description you give while casting the spell. Creatures with password you set do not trigger alarm, or can make a Stealth check against your spell DC to not trigger. Triggering the alarm will result in your choice of mental pings, or auditory pings that allows nearby sleeping creatures to make a DC 15 Perception check. Both types of pings will wake you up instantly.</t>
  </si>
  <si>
    <t>Animal Allies</t>
  </si>
  <si>
    <t>Summons tiny, ordinary animals from the enviroment, such as insects, birds, or fish to lash out at nearby foes. The animals deal 3d4 piercing damage.</t>
  </si>
  <si>
    <t>Summons tiny, ordinary animals from the enviroment, such as insects, birds, or fish to lash out at nearby foes. The animals deal 6d4 piercing damage.</t>
  </si>
  <si>
    <t>Summons tiny, ordinary animals from the enviroment, such as insects, birds, or fish to lash out at nearby foes. The animals deal 9d4 piercing damage.</t>
  </si>
  <si>
    <t>Summons tiny, ordinary animals from the enviroment, such as insects, birds, or fish to lash out at nearby foes. The animals deal 12d4 piercing damage.</t>
  </si>
  <si>
    <t>Summons tiny, ordinary animals from the enviroment, such as insects, birds, or fish to lash out at nearby foes. The animals deal 15d4 piercing damage.</t>
  </si>
  <si>
    <t>Summons tiny, ordinary animals from the enviroment, such as insects, birds, or fish to lash out at nearby foes. The animals deal 18d4 piercing damage.</t>
  </si>
  <si>
    <t>Summons tiny, ordinary animals from the enviroment, such as insects, birds, or fish to lash out at nearby foes. The animals deal 21d4 piercing damage.</t>
  </si>
  <si>
    <t>Summons tiny, ordinary animals from the enviroment, such as insects, birds, or fish to lash out at nearby foes. The animals deal 24d4 piercing damage.</t>
  </si>
  <si>
    <t>Summons tiny, ordinary animals from the enviroment, such as insects, birds, or fish to lash out at nearby foes. The animals deal 27d4 piercing damage.</t>
  </si>
  <si>
    <t>Summons tiny, ordinary animals from the enviroment, such as insects, birds, or fish to lash out at nearby foes. The animals deal 30d4 piercing damage.</t>
  </si>
  <si>
    <t>Animate Dead</t>
  </si>
  <si>
    <t>ACTIONS, REACTIONS, &amp; ACTIVITIES</t>
  </si>
  <si>
    <t>You magically summon a corpse or skeleton filled with necromatic life. You summon an creature whose level is -1 with the undead trait. This creature gains the summoned trait.</t>
  </si>
  <si>
    <t>You magically summon a corpse or skeleton filled with necromatic life. You summon an creature whose level is upto 1 with the undead trait. This creature gains the summoned trait.</t>
  </si>
  <si>
    <t>You magically summon a corpse or skeleton filled with necromatic life. You summon an creature whose level is upto 2 with the undead trait. This creature gains the summoned trait.</t>
  </si>
  <si>
    <t>You magically summon a corpse or skeleton filled with necromatic life. You summon an creature whose level is upto 3 with the undead trait. This creature gains the summoned trait.</t>
  </si>
  <si>
    <t>You magically summon a corpse or skeleton filled with necromatic life. You summon an creature whose level is upto 5 with the undead trait. This creature gains the summoned trait.</t>
  </si>
  <si>
    <t>You magically summon a corpse or skeleton filled with necromatic life. You summon an creature whose level is upto 7 with the undead trait. This creature gains the summoned trait.</t>
  </si>
  <si>
    <t>You magically summon a corpse or skeleton filled with necromatic life. You summon an creature whose level is upto 11 with the undead trait. This creature gains the summoned trait.</t>
  </si>
  <si>
    <t>You magically summon a corpse or skeleton filled with necromatic life. You summon an creature whose level is upto 13 with the undead trait. This creature gains the summoned trait.</t>
  </si>
  <si>
    <t>You magically summon a corpse or skeleton filled with necromatic life. You summon an creature whose level is upto 15 with the undead trait. This creature gains the summoned trait.</t>
  </si>
  <si>
    <t>Animate Rope</t>
  </si>
  <si>
    <t>50ft of rope-like object</t>
  </si>
  <si>
    <t>You cause a length of rope or simular non-living object to animate. Give it two commands on awakening, and another command on sustaining. Bind (attack against reflex): Reducing speed by 10ft until they escape against spell DC. Coil: form a tidy stack. Crawl: Move one end 10ft across any surface. Knot: Forms a study knot. Loop: Forms a sturdy loop on one or both ends. Tie: Rope ties itself around a willing creature or object. Undo: The rope undoes one knot, tie, or bind.</t>
  </si>
  <si>
    <t>You cause a 100ft length of rope or simular non-living object to animate within 150ft. Give it two commands on awakening, and another command on sustaining. Bind (attack against reflex): Reducing speed by 10ft until they escape against spell DC. Coil: form a tidy stack. Crawl: Move one end 10ft across any surface. Knot: Forms a study knot. Loop: Forms a sturdy loop on one or both ends. Tie: Rope ties itself around a willing creature or object. Undo: The rope undoes one knot, tie, or bind.</t>
  </si>
  <si>
    <t>You cause a 150ft length of rope or simular non-living object to animate within 200ft. Give it two commands on awakening, and another command on sustaining. Bind (attack against reflex): Reducing speed by 10ft until they escape against spell DC. Coil: form a tidy stack. Crawl: Move one end 10ft across any surface. Knot: Forms a study knot. Loop: Forms a sturdy loop on one or both ends. Tie: Rope ties itself around a willing creature or object. Undo: The rope undoes one knot, tie, or bind.</t>
  </si>
  <si>
    <t>You cause a 200ft length of rope or simular non-living object to animate within 250ft. Give it two commands on awakening, and another command on sustaining. Bind (attack against reflex): Reducing speed by 10ft until they escape against spell DC. Coil: form a tidy stack. Crawl: Move one end 10ft across any surface. Knot: Forms a study knot. Loop: Forms a sturdy loop on one or both ends. Tie: Rope ties itself around a willing creature or object. Undo: The rope undoes one knot, tie, or bind.</t>
  </si>
  <si>
    <t>You cause a 250ft length of rope or simular non-living object to animate within 300ft. Give it two commands on awakening, and another command on sustaining. Bind (attack against reflex): Reducing speed by 10ft until they escape against spell DC. Coil: form a tidy stack. Crawl: Move one end 10ft across any surface. Knot: Forms a study knot. Loop: Forms a sturdy loop on one or both ends. Tie: Rope ties itself around a willing creature or object. Undo: The rope undoes one knot, tie, or bind.</t>
  </si>
  <si>
    <t>Ant Haul</t>
  </si>
  <si>
    <t>You enhance target creature to more easily carry 3 bulk before becoming encombered, and a max encumberance increase of 6</t>
  </si>
  <si>
    <t>You enhance target creature to more easily carry 3 bulk before becoming encombered, and a max encumberance increase of 7</t>
  </si>
  <si>
    <t>You enhance target creature to more easily carry 3 bulk before becoming encombered, and a max encumberance increase of 8</t>
  </si>
  <si>
    <t>You enhance target creature to more easily carry 3 bulk before becoming encombered, and a max encumberance increase of 9</t>
  </si>
  <si>
    <t>You enhance target creature to more easily carry 3 bulk before becoming encombered, and a max encumberance increase of 10</t>
  </si>
  <si>
    <t>You enhance target creature to more easily carry 3 bulk before becoming encombered, and a max encumberance increase of 11</t>
  </si>
  <si>
    <t>You enhance target creature to more easily carry 3 bulk before becoming encombered, and a max encumberance increase of 12</t>
  </si>
  <si>
    <t>You enhance target creature to more easily carry 3 bulk before becoming encombered, and a max encumberance increase of 13</t>
  </si>
  <si>
    <t>You enhance target creature to more easily carry 3 bulk before becoming encombered, and a max encumberance increase of 14</t>
  </si>
  <si>
    <t>You enhance target creature to more easily carry 3 bulk before becoming encombered, and a max encumberance increase of 15</t>
  </si>
  <si>
    <t>Anticipate Peril</t>
  </si>
  <si>
    <t>Brief foresight grants target a +1 status bonus to its next initiative roll, after which the spell ends.</t>
  </si>
  <si>
    <t>Brief foresight grants target a +2 status bonus to its next initiative roll, after which the spell ends.</t>
  </si>
  <si>
    <t>Brief foresight grants target a +3 status bonus to its next initiative roll, after which the spell ends.</t>
  </si>
  <si>
    <t>Brief foresight grants target a +4 status bonus to its next initiative roll, after which the spell ends.</t>
  </si>
  <si>
    <t>Bane</t>
  </si>
  <si>
    <t>Filling the minds of enemies with doubt they recieve a -1 status penalty to attack rolls if they fail their save. Starting after the turn you cast this spell you can use a single action to increase its emanation radius by 5ft. Bane can counteract bless.</t>
  </si>
  <si>
    <t>Befuddle</t>
  </si>
  <si>
    <t>Sowing seeds of confusion the target's actions and thoughts become muddied. On a successful save target is clumsy 1 and stupefied 1. On a failure target is clumsy 2 and stupefied 2. On a critical failure target is clumsy 3, stupefied 3, and confused.</t>
  </si>
  <si>
    <t>Biting Words</t>
  </si>
  <si>
    <t xml:space="preserve">Entwining your words with magic you are capable of using your voice like a weapon. As a single action you are capable of shouting to deal 2d6 sonic damage. The magic ends after your third attack. </t>
  </si>
  <si>
    <t xml:space="preserve">Entwining your words with magic you are capable of using your voice like a weapon. As a single action you are capable of shouting to deal 4d6 sonic damage. The magic ends after your third attack. </t>
  </si>
  <si>
    <t xml:space="preserve">Entwining your words with magic you are capable of using your voice like a weapon. As a single action you are capable of shouting to deal 6d6 sonic damage. The magic ends after your third attack. </t>
  </si>
  <si>
    <t xml:space="preserve">Entwining your words with magic you are capable of using your voice like a weapon. As a single action you are capable of shouting to deal 8d6 sonic damage. The magic ends after your third attack. </t>
  </si>
  <si>
    <t xml:space="preserve">Entwining your words with magic you are capable of using your voice like a weapon. As a single action you are capable of shouting to deal 10d6 sonic damage. The magic ends after your third attack. </t>
  </si>
  <si>
    <t xml:space="preserve">Entwining your words with magic you are capable of using your voice like a weapon. As a single action you are capable of shouting to deal 12d6 sonic damage. The magic ends after your third attack. </t>
  </si>
  <si>
    <t xml:space="preserve">Entwining your words with magic you are capable of using your voice like a weapon. As a single action you are capable of shouting to deal 14d6 sonic damage. The magic ends after your third attack. </t>
  </si>
  <si>
    <t xml:space="preserve">Entwining your words with magic you are capable of using your voice like a weapon. As a single action you are capable of shouting to deal 16d6 sonic damage. The magic ends after your third attack. </t>
  </si>
  <si>
    <t xml:space="preserve">Entwining your words with magic you are capable of using your voice like a weapon. As a single action you are capable of shouting to deal 18d6 sonic damage. The magic ends after your third attack. </t>
  </si>
  <si>
    <t xml:space="preserve">Entwining your words with magic you are capable of using your voice like a weapon. As a single action you are capable of shouting to deal 20d6 sonic damage. The magic ends after your third attack. </t>
  </si>
  <si>
    <t>Bless</t>
  </si>
  <si>
    <t>You bless your allies to gain a +1 status bonus to attack rolls. Once per turn after casting this spell you can spend a single action to increase the emanation radius by 5ft. Bless can counteract Bane.</t>
  </si>
  <si>
    <t>Breadcrumbs</t>
  </si>
  <si>
    <t>Protects the target from going astray by knowing where they have been. The target leaves behind a glittering trail that lasts for 1 hour, but fails to show what direction the target is traveling.</t>
  </si>
  <si>
    <t>Protects the target from going astray by knowing where they have been. The target leaves behind a glittering trail that lasts for 8 hours, but fails to show what direction the target is traveling.</t>
  </si>
  <si>
    <t>Protects the target from going astray by knowing where they have been. The target leaves behind a glittering trail that lasts for 1 day, but fails to show what direction the target is traveling.</t>
  </si>
  <si>
    <t>Low-light vision</t>
  </si>
  <si>
    <t>Buffeting Winds</t>
  </si>
  <si>
    <t>A quick burst of wind that is kind to the living and harmful against undead. Living creatures take 2d4 nonlethal bludgeoning damage, while undead creatures in this area take the same damage without the nonlethal trait, and on a failed save are knocked back 5ft. Undead are pushed back 10ft on a critical fail.</t>
  </si>
  <si>
    <t>A quick burst of wind that is kind to the living and harmful against undead. Living creatures take 4d4 nonlethal bludgeoning damage, while undead creatures in this area take the same damage without the nonlethal trait, and on a failed save are knocked back 5ft. Undead are pushed back 10ft on a critical fail.</t>
  </si>
  <si>
    <t>A quick burst of wind that is kind to the living and harmful against undead. Living creatures take 6d4 nonlethal bludgeoning damage, while undead creatures in this area take the same damage without the nonlethal trait, and on a failed save are knocked back 5ft. Undead are pushed back 10ft on a critical fail.</t>
  </si>
  <si>
    <t>A quick burst of wind that is kind to the living and harmful against undead. Living creatures take 8d4 nonlethal bludgeoning damage, while undead creatures in this area take the same damage without the nonlethal trait, and on a failed save are knocked back 5ft. Undead are pushed back 10ft on a critical fail.</t>
  </si>
  <si>
    <t>A quick burst of wind that is kind to the living and harmful against undead. Living creatures take 10d4 nonlethal bludgeoning damage, while undead creatures in this area take the same damage without the nonlethal trait, and on a failed save are knocked back 5ft. Undead are pushed back 10ft on a critical fail.</t>
  </si>
  <si>
    <t>A quick burst of wind that is kind to the living and harmful against undead. Living creatures take 12d4 nonlethal bludgeoning damage, while undead creatures in this area take the same damage without the nonlethal trait, and on a failed save are knocked back 5ft. Undead are pushed back 10ft on a critical fail.</t>
  </si>
  <si>
    <t>A quick burst of wind that is kind to the living and harmful against undead. Living creatures take 14d4 nonlethal bludgeoning damage, while undead creatures in this area take the same damage without the nonlethal trait, and on a failed save are knocked back 5ft. Undead are pushed back 10ft on a critical fail.</t>
  </si>
  <si>
    <t>A quick burst of wind that is kind to the living and harmful against undead. Living creatures take 16d4 nonlethal bludgeoning damage, while undead creatures in this area take the same damage without the nonlethal trait, and on a failed save are knocked back 5ft. Undead are pushed back 10ft on a critical fail.</t>
  </si>
  <si>
    <t>A quick burst of wind that is kind to the living and harmful against undead. Living creatures take 18d4 nonlethal bludgeoning damage, while undead creatures in this area take the same damage without the nonlethal trait, and on a failed save are knocked back 5ft. Undead are pushed back 10ft on a critical fail.</t>
  </si>
  <si>
    <t>A quick burst of wind that is kind to the living and harmful against undead. Living creatures take 20d4 nonlethal bludgeoning damage, while undead creatures in this area take the same damage without the nonlethal trait, and on a failed save are knocked back 5ft. Undead are pushed back 10ft on a critical fail.</t>
  </si>
  <si>
    <t>Knights of Lastwall</t>
  </si>
  <si>
    <t>Burning Hands</t>
  </si>
  <si>
    <t>A gout of flame deals 2d6 fire damage to all within its reach.</t>
  </si>
  <si>
    <t>A gout of flame deals 4d6 fire damage to all within its reach.</t>
  </si>
  <si>
    <t>A gout of flame deals 6d6 fire damage to all within its reach.</t>
  </si>
  <si>
    <t>A gout of flame deals 8d6 fire damage to all within its reach.</t>
  </si>
  <si>
    <t>A gout of flame deals 10d6 fire damage to all within its reach.</t>
  </si>
  <si>
    <t>A gout of flame deals 12d6 fire damage to all within its reach.</t>
  </si>
  <si>
    <t>A gout of flame deals 14d6 fire damage to all within its reach.</t>
  </si>
  <si>
    <t>A gout of flame deals 16d6 fire damage to all within its reach.</t>
  </si>
  <si>
    <t>A gout of flame deals 18d6 fire damage to all within its reach.</t>
  </si>
  <si>
    <t>A gout of flame deals 20d6 fire damage to all within its reach.</t>
  </si>
  <si>
    <t>Charm</t>
  </si>
  <si>
    <t>You become amazing in the target's eyes. Target has a +4 penalty if you recently tried to harm them. Target is not garenteed to know about the charm unless being friendly towards you is out of character. Crit Success: unaffected, aware of charm. Success: unaffacted, unaware of charm. Fail: Target becomes friendly, or better. Crit Fail: Target becomes helpful, and can not take hostile actions against you.</t>
  </si>
  <si>
    <t>You become amazing in the target's eyes for a day. Target has a +4 penalty if you recently tried to harm them. Target is not garenteed to know about the charm unless being friendly towards you is out of character. Crit Success: unaffected, aware of charm. Success: unaffacted, unaware of charm. Fail: Target becomes friendly, or better. Crit Fail: Target becomes helpful, and can not take hostile actions against you.</t>
  </si>
  <si>
    <t>You become amazing in the eyes of upto 10 people for a day. Target has a +4 penalty if you recently tried to harm them. Target is not garenteed to know about the charm unless being friendly towards you is out of character. Crit Success: unaffected, aware of charm. Success: unaffacted, unaware of charm. Fail: Target becomes friendly, or better. Crit Fail: Target becomes helpful, and can not take hostile actions against you.</t>
  </si>
  <si>
    <t>Chilling Spray</t>
  </si>
  <si>
    <t>A burst of cold coats the targets in a layer of frost, dealing 2d4 cold damage. Failure results in a -5ft speed penalty for 2 rounds in addition to damage. Critical failure results in target having a -10ft speed penalty for 2 rounds.</t>
  </si>
  <si>
    <t>A burst of cold coats the targets in a layer of frost, dealing 4d4 cold damage. Failure results in a -5ft speed penalty for 2 rounds in addition to damage. Critical failure results in target having a -10ft speed penalty for 2 rounds.</t>
  </si>
  <si>
    <t>A burst of cold coats the targets in a layer of frost, dealing 6d4 cold damage. Failure results in a -5ft speed penalty for 2 rounds in addition to damage. Critical failure results in target having a -10ft speed penalty for 2 rounds.</t>
  </si>
  <si>
    <t>A burst of cold coats the targets in a layer of frost, dealing 8d4 cold damage. Failure results in a -5ft speed penalty for 2 rounds in addition to damage. Critical failure results in target having a -10ft speed penalty for 2 rounds.</t>
  </si>
  <si>
    <t>A burst of cold coats the targets in a layer of frost, dealing 10d4 cold damage. Failure results in a -5ft speed penalty for 2 rounds in addition to damage. Critical failure results in target having a -10ft speed penalty for 2 rounds.</t>
  </si>
  <si>
    <t>A burst of cold coats the targets in a layer of frost, dealing 12d4 cold damage. Failure results in a -5ft speed penalty for 2 rounds in addition to damage. Critical failure results in target having a -10ft speed penalty for 2 rounds.</t>
  </si>
  <si>
    <t>A burst of cold coats the targets in a layer of frost, dealing 14d4 cold damage. Failure results in a -5ft speed penalty for 2 rounds in addition to damage. Critical failure results in target having a -10ft speed penalty for 2 rounds.</t>
  </si>
  <si>
    <t>A burst of cold coats the targets in a layer of frost, dealing 16d4 cold damage. Failure results in a -5ft speed penalty for 2 rounds in addition to damage. Critical failure results in target having a -10ft speed penalty for 2 rounds.</t>
  </si>
  <si>
    <t>A burst of cold coats the targets in a layer of frost, dealing 18d4 cold damage. Failure results in a -5ft speed penalty for 2 rounds in addition to damage. Critical failure results in target having a -10ft speed penalty for 2 rounds.</t>
  </si>
  <si>
    <t>A burst of cold coats the targets in a layer of frost, dealing 20d4 cold damage. Failure results in a -5ft speed penalty for 2 rounds in addition to damage. Critical failure results in target having a -10ft speed penalty for 2 rounds.</t>
  </si>
  <si>
    <t>Color Spray</t>
  </si>
  <si>
    <t>A swirl of colors may leave the target's blind. On a successful save target is dazzled for 1 round. Failure results in stunned 1, blinded for 1 round, and dazzled for 1 minute. Critical failure results in target being stunned for 1 round, and blinded for 1 minute.</t>
  </si>
  <si>
    <t>Command</t>
  </si>
  <si>
    <t>Commanding the target to do a simple command, you can make them approach, run away, drop what its holding, fall prone, or stand in place. Target can not take reactions or delay turn. Failing their save requires them to spend a single action doing what you ask. On a critical failure target must use its entire turn.</t>
  </si>
  <si>
    <t>Commanding upto 10 targets to do a simple command, you can make them approach, run away, drop what its holding, fall prone, or stand in place. Target can not take reactions or delay turn. Failing their save requires them to spend a single action doing what you ask. On a critical failure target must use its entire turn.</t>
  </si>
  <si>
    <t>Concordant Choir</t>
  </si>
  <si>
    <t>A dangerious reverberating sound that gets more powerful the with more actions. Single action: single target takes 1d4 sonic. Two actions: 2d4 sonic damage to all creatures within a 10ft burst. Three actions: same as two actions, but with a 30ft burst.</t>
  </si>
  <si>
    <t>A dangerious reverberating sound that gets more powerful the with more actions. Single action: single target takes 2d4 sonic. Two actions: 4d4 sonic damage to all creatures within a 10ft burst. Three actions: same as two actions, but with a 30ft burst.</t>
  </si>
  <si>
    <t>A dangerious reverberating sound that gets more powerful the with more actions. Single action: single target takes 3d4 sonic. Two actions: 6d4 sonic damage to all creatures within a 10ft burst. Three actions: same as two actions, but with a 30ft burst.</t>
  </si>
  <si>
    <t>A dangerious reverberating sound that gets more powerful the with more actions. Single action: single target takes 4d4 sonic. Two actions: 8d4 sonic damage to all creatures within a 10ft burst. Three actions: same as two actions, but with a 30ft burst.</t>
  </si>
  <si>
    <t>A dangerious reverberating sound that gets more powerful the with more actions. Single action: single target takes 5d4 sonic. Two actions: 10d4 sonic damage to all creatures within a 10ft burst. Three actions: same as two actions, but with a 30ft burst.</t>
  </si>
  <si>
    <t>A dangerious reverberating sound that gets more powerful the with more actions. Single action: single target takes 6d4 sonic. Two actions: 12d4 sonic damage to all creatures within a 10ft burst. Three actions: same as two actions, but with a 30ft burst.</t>
  </si>
  <si>
    <t>A dangerious reverberating sound that gets more powerful the with more actions. Single action: single target takes 7d4 sonic. Two actions: 14d4 sonic damage to all creatures within a 10ft burst. Three actions: same as two actions, but with a 30ft burst.</t>
  </si>
  <si>
    <t>A dangerious reverberating sound that gets more powerful the with more actions. Single action: single target takes 8d4 sonic. Two actions: 16d4 sonic damage to all creatures within a 10ft burst. Three actions: same as two actions, but with a 30ft burst.</t>
  </si>
  <si>
    <t>A dangerious reverberating sound that gets more powerful the with more actions. Single action: single target takes 9d4 sonic. Two actions: 18d4 sonic damage to all creatures within a 10ft burst. Three actions: same as two actions, but with a 30ft burst.</t>
  </si>
  <si>
    <t>A dangerious reverberating sound that gets more powerful the with more actions. Single action: single target takes 10d4 sonic. Two actions: 20d4 sonic damage to all creatures within a 10ft burst. Three actions: same as two actions, but with a 30ft burst.</t>
  </si>
  <si>
    <t>Create Water</t>
  </si>
  <si>
    <t>Cupping your hands 2 gallons of water flows forth. This water evaporates after 1 day if no one drinks it.</t>
  </si>
  <si>
    <t>Page</t>
  </si>
  <si>
    <t>Deja Vu</t>
  </si>
  <si>
    <t>2 rounds</t>
  </si>
  <si>
    <t>Looping the target's thoughts, you force the target to repeat its next actions. Any actions it takes on its next turn must be repeated on its following turn to the best of its abilities. Unrepeatable actions, such as killed creature or expended spells allows the target to choose its next action with a stupefied 1 affect.</t>
  </si>
  <si>
    <t>Detect Alignment</t>
  </si>
  <si>
    <t>30ft radius</t>
  </si>
  <si>
    <t>With glowing eyes, you can sense alignment. Choose chaotic, evil, good, or lawful. You detect either the presense or absense and nothing more, ignoring auras you are already aware of. Only potent creatures have an aura, you can only sense, undead, divine spellcasters, outer sphere beings, or creatures of 6th level or higher.</t>
  </si>
  <si>
    <t>With glowing eyes, you can sense alignment. Choose chaotic, evil, good, or lawful. You detect the strength and location of each aura, ignoring ones you are already aware of. Beings of level 6-10 have a faint aura, lv 11-15 have a moderate aura, lv 16-20 have a powerful aura, and anyone stronger is overwhelming. Undead, divine spellcasters, and outer sphere beings show up as one tier higher.</t>
  </si>
  <si>
    <t>Detect Poison</t>
  </si>
  <si>
    <t>1 creature or object</t>
  </si>
  <si>
    <t>You detect whether a creature is venomous, poisonous, poisoned, or simply poison. You can not detect multiple poisons or the type of poison. Lead and alcohol are considered poisons by this spell.</t>
  </si>
  <si>
    <t>You detect whether a creature is venomous, poisonous, poisoned, or simply poison. You can detect multiple poisons and know the type of poison. Lead and alcohol are considered poisons by this spell.</t>
  </si>
  <si>
    <t>Disrupting Weapons</t>
  </si>
  <si>
    <t>2 weapons</t>
  </si>
  <si>
    <t>Infusing upto 2 weapons with positive energy, the weapons deal an extra 1d4 positive damage to undead.</t>
  </si>
  <si>
    <t>Infusing upto 2 weapons with positive energy, the weapons deal an extra 2d4 positive damage to undead.</t>
  </si>
  <si>
    <t>Infusing upto 3 weapons with positive energy, the weapons deal an extra 3d4 positive damage to undead.</t>
  </si>
  <si>
    <t>Draw Ire</t>
  </si>
  <si>
    <t>Causing mental distress in the target you force them to strike you. You deal 1d10 mental damage to the creature and cause it to take a -1 status penalty to attacks that arent against you. On success target takes half damage and spells last 1 round. On failure target takes full penalties. Critical failure results in double damage and a -2 penalty to attacks.</t>
  </si>
  <si>
    <t>Causing mental distress in the target you force them to strike you. You deal 2d10 mental damage to the creature and cause it to take a -1 status penalty to attacks that arent against you. On success target takes half damage and spells last 1 round. On failure target takes full penalties. Critical failure results in double damage and a -2 penalty to attacks.</t>
  </si>
  <si>
    <t>Causing mental distress in the target you force them to strike you. You deal 3d10 mental damage to the creature and cause it to take a -1 status penalty to attacks that arent against you. On success target takes half damage and spells last 1 round. On failure target takes full penalties. Critical failure results in double damage and a -2 penalty to attacks.</t>
  </si>
  <si>
    <t>Causing mental distress in the target you force them to strike you. You deal 4d10 mental damage to the creature and cause it to take a -1 status penalty to attacks that arent against you. On success target takes half damage and spells last 1 round. On failure target takes full penalties. Critical failure results in double damage and a -2 penalty to attacks.</t>
  </si>
  <si>
    <t>Causing mental distress in the target you force them to strike you. You deal 5d10 mental damage to the creature and cause it to take a -1 status penalty to attacks that arent against you. On success target takes half damage and spells last 1 round. On failure target takes full penalties. Critical failure results in double damage and a -2 penalty to attacks.</t>
  </si>
  <si>
    <t>Causing mental distress in the target you force them to strike you. You deal 6d10 mental damage to the creature and cause it to take a -1 status penalty to attacks that arent against you. On success target takes half damage and spells last 1 round. On failure target takes full penalties. Critical failure results in double damage and a -2 penalty to attacks.</t>
  </si>
  <si>
    <t>Causing mental distress in the target you force them to strike you. You deal 7d10 mental damage to the creature and cause it to take a -1 status penalty to attacks that arent against you. On success target takes half damage and spells last 1 round. On failure target takes full penalties. Critical failure results in double damage and a -2 penalty to attacks.</t>
  </si>
  <si>
    <t>Causing mental distress in the target you force them to strike you. You deal 8d10 mental damage to the creature and cause it to take a -1 status penalty to attacks that arent against you. On success target takes half damage and spells last 1 round. On failure target takes full penalties. Critical failure results in double damage and a -2 penalty to attacks.</t>
  </si>
  <si>
    <t>Causing mental distress in the target you force them to strike you. You deal 9d10 mental damage to the creature and cause it to take a -1 status penalty to attacks that arent against you. On success target takes half damage and spells last 1 round. On failure target takes full penalties. Critical failure results in double damage and a -2 penalty to attacks.</t>
  </si>
  <si>
    <t>Causing mental distress in the target you force them to strike you. You deal 10d10 mental damage to the creature and cause it to take a -1 status penalty to attacks that arent against you. On success target takes half damage and spells last 1 round. On failure target takes full penalties. Critical failure results in double damage and a -2 penalty to attacks.</t>
  </si>
  <si>
    <t>Echoing Weapon</t>
  </si>
  <si>
    <t>1 weapon</t>
  </si>
  <si>
    <t>A weapon ringing with the echo of its previous attacks. At the end of the wielder's turn it deals 1 sonic damage to an adjacent creature for each successful strike made this turn, to a max of 4 damage (4 strikes)</t>
  </si>
  <si>
    <t>A weapon ringing with the echo of its previous attacks. At the end of the wielder's turn it deals 2 sonic damage to an adjacent creature for each successful strike made this turn, to a max of 8 damage (4 strikes)</t>
  </si>
  <si>
    <t>A weapon ringing with the echo of its previous attacks. At the end of the wielder's turn it deals 3 sonic damage to an adjacent creature for each successful strike made this turn, to a max of 12 damage (4 strikes)</t>
  </si>
  <si>
    <t>A weapon ringing with the echo of its previous attacks. At the end of the wielder's turn it deals 4 sonic damage to an adjacent creature for each successful strike made this turn, to a max of 16 damage (4 strikes)</t>
  </si>
  <si>
    <t>A weapon ringing with the echo of its previous attacks. At the end of the wielder's turn it deals 5 sonic damage to an adjacent creature for each successful strike made this turn, to a max of 20 damage (4 strikes)</t>
  </si>
  <si>
    <t>Endure</t>
  </si>
  <si>
    <t>Invigorating the target creature helps them push forward by granting them 5 temporary hit points.</t>
  </si>
  <si>
    <t>Invigorating the target creature helps them push forward by granting them 10 temporary hit points.</t>
  </si>
  <si>
    <t>Invigorating the target creature helps them push forward by granting them 15 temporary hit points.</t>
  </si>
  <si>
    <t>Invigorating the target creature helps them push forward by granting them 20 temporary hit points.</t>
  </si>
  <si>
    <t>Invigorating the target creature helps them push forward by granting them 25 temporary hit points.</t>
  </si>
  <si>
    <t>Invigorating the target creature helps them push forward by granting them 30 temporary hit points.</t>
  </si>
  <si>
    <t>Invigorating the target creature helps them push forward by granting them 35 temporary hit points.</t>
  </si>
  <si>
    <t>Invigorating the target creature helps them push forward by granting them 40 temporary hit points.</t>
  </si>
  <si>
    <t>Invigorating the target creature helps them push forward by granting them 45 temporary hit points.</t>
  </si>
  <si>
    <t>Invigorating the target creature helps them push forward by granting them 50 temporary hit points.</t>
  </si>
  <si>
    <t>Exchange Image</t>
  </si>
  <si>
    <t>Varies</t>
  </si>
  <si>
    <t>You trade appearences with the target. Willing or unconsious creatures automatically crit fail the save. On a successful save you trade appearences with the target for 1 minute as if by casting the Illusory Disguise spell. Failure results in above, only the duration is one hour or until dismissed. Critical failure results in duration of the spell being 24 hours.</t>
  </si>
  <si>
    <t>Fear</t>
  </si>
  <si>
    <t>You plant fear in the target. On a Successful save target becomes frightened 1. On a failed save the target becomes frightened 2. Critical failure results in frightened 3 and fleeing for 1 round. Frightened decreases by 1 at the end their turn.</t>
  </si>
  <si>
    <t>You plant fear in upto 5 target. On a Successful save target becomes frightened 1. On a failed save the target becomes frightened 2. Critical failure results in frightened 3 and fleeing for 1 round. Frightened decreases by 1 at the end their turn.</t>
  </si>
  <si>
    <t>Feather Fall</t>
  </si>
  <si>
    <t>Calling upon the winds you save a creature from falling. Their slow falls to 60ft per round and they do no take fall damage if they land while the spell is in effect. If the target is still falling when the spell ends the time spent under the effects of this spell are not added to final damage calculations,</t>
  </si>
  <si>
    <t>Fleet Step</t>
  </si>
  <si>
    <t>You gain a +30ft status bonus to your movement speed.</t>
  </si>
  <si>
    <t>Floating Disk</t>
  </si>
  <si>
    <t>Your magic creates a magical 2ft diameter disk adjacent to you where it follows 5ft behind you. The disk is capable of holding 5 bulk worth of objects so long as they can fit or be balanced on top of the disk. The spell automatically ends if a creature tries to ride it, if the disk is overloaded, if anyone tries to lift the disk, or if you move more than 30ft away.</t>
  </si>
  <si>
    <t>Forced Mercy</t>
  </si>
  <si>
    <t>You soften the targets blows, giving their attacks the nonlethal trait and any persistant bleed damage they inflict is reduced to 0. This does not give the -2 circumstance penalty that nonlethal attacks with a lethal weapon would give. On a successful save the effect lasts for 1 round. On a failure the target is affected by 1d4 rounds. A critical failure or willing targets are affected for 1 minute.</t>
  </si>
  <si>
    <t>You soften the blows of upto 8 creatures within 100ft, giving their attacks the nonlethal trait and any persistant bleed damage they inflict is reduced to 0. This does not give the -2 circumstance penalty that nonlethal attacks with a lethal weapon would give. On a successful save the effect lasts for 1 round. On a failure the target is affected by 1d4 rounds. A critical failure or willing targets are affected for 1 minute.</t>
  </si>
  <si>
    <t>Friendfetch</t>
  </si>
  <si>
    <t>Upto 2 allies</t>
  </si>
  <si>
    <t>Using telekinetic strands you drag a willing target directly towards you using forced movement. They stop moving in the closest unoccupied space to you in their path.</t>
  </si>
  <si>
    <t>Goblin Pox</t>
  </si>
  <si>
    <t>You inflict goblin pox, an irritating rash. Success sickened 1. Failure goblin pox stage 1. Crit failure goblin pox stage 2. Goblin pox and goblin dogs are immune. 
Stage 1: sickened 1 (1 round); Stage 2: sickened 1 and slowed 1 (1 round); Stage 3: sickened 1 and the creature can't reduce its sickened value below 1 (1 day)</t>
  </si>
  <si>
    <t>Gravitational Pull</t>
  </si>
  <si>
    <t>Altering gravity you pull the target 10ft towards you, knocking them prone on a critical failure. As a single action this spell targets one creature. Using two actions the target is pulled 20ft closer. Using a full turn you can target upto 5 creatures.</t>
  </si>
  <si>
    <t>Grease</t>
  </si>
  <si>
    <t>4 connected squares</t>
  </si>
  <si>
    <t>Reflex or Acrobatics</t>
  </si>
  <si>
    <t>Coating an area on the ground forces creatures in that area or moving into that area to make a save or fall prone. Creatures that use the step or crawl action are immune. Alternative you may target a single item of upto 1 bulk. An item covered in grease requires a save to pick up, and a held object gives a -2 penalty to all checks made to use that item. If the target object is currently being held they may make a save, covering the object in grease on a failure, and dropping it outright on a critical failure.</t>
  </si>
  <si>
    <t>Grim Tendrils</t>
  </si>
  <si>
    <t>30ft line</t>
  </si>
  <si>
    <t>Tendrils of darkness curl out of your fingers and race through the air, dealing 2d4 negative damage and 1 persistant damage to all living creatures in the area. A critical failure on the save results in double damage and double persistant damage.</t>
  </si>
  <si>
    <t>Tendrils of darkness curl out of your fingers and race through the air, dealing 4d4 negative damage and 2 persistant damage to all living creatures in the area. A critical failure on the save results in double damage and double persistant damage.</t>
  </si>
  <si>
    <t>Tendrils of darkness curl out of your fingers and race through the air, dealing 6d4 negative damage and 3 persistant damage to all living creatures in the area. A critical failure on the save results in double damage and double persistant damage.</t>
  </si>
  <si>
    <t>Tendrils of darkness curl out of your fingers and race through the air, dealing 8d4 negative damage and 4 persistant damage to all living creatures in the area. A critical failure on the save results in double damage and double persistant damage.</t>
  </si>
  <si>
    <t>Tendrils of darkness curl out of your fingers and race through the air, dealing 10d4 negative damage and 5 persistant damage to all living creatures in the area. A critical failure on the save results in double damage and double persistant damage.</t>
  </si>
  <si>
    <t>Tendrils of darkness curl out of your fingers and race through the air, dealing 12d4 negative damage and 6 persistant damage to all living creatures in the area. A critical failure on the save results in double damage and double persistant damage.</t>
  </si>
  <si>
    <t>Tendrils of darkness curl out of your fingers and race through the air, dealing 14d4 negative damage and 7 persistant damage to all living creatures in the area. A critical failure on the save results in double damage and double persistant damage.</t>
  </si>
  <si>
    <t>Tendrils of darkness curl out of your fingers and race through the air, dealing 16d4 negative damage and 8 persistant damage to all living creatures in the area. A critical failure on the save results in double damage and double persistant damage.</t>
  </si>
  <si>
    <t>Tendrils of darkness curl out of your fingers and race through the air, dealing 18d4 negative damage and 9 persistant damage to all living creatures in the area. A critical failure on the save results in double damage and double persistant damage.</t>
  </si>
  <si>
    <t>Tendrils of darkness curl out of your fingers and race through the air, dealing 20d4 negative damage and 10 persistant damage to all living creatures in the area. A critical failure on the save results in double damage and double persistant damage.</t>
  </si>
  <si>
    <t>Gritty Wheeze</t>
  </si>
  <si>
    <t>Exhailing grit and sand you deal 2d4 bludgeoning damage to all creatures in the area. Water and plant creatures treat their save as one degree less. Failure on the save results in full damage and dazzeled for 1 round. Critical failure results in double damage and target is dazzeled for 1 minute.</t>
  </si>
  <si>
    <t>Exhailing grit and sand you deal 4d4 bludgeoning damage to all creatures in the area. Water and plant creatures treat their save as one degree less. Failure on the save results in full damage and dazzeled for 1 round. Critical failure results in double damage and target is dazzeled for 1 minute.</t>
  </si>
  <si>
    <t>Exhailing grit and sand you deal 6d4 bludgeoning damage to all creatures in the area. Water and plant creatures treat their save as one degree less. Failure on the save results in full damage and dazzeled for 1 round. Critical failure results in double damage and target is dazzeled for 1 minute.</t>
  </si>
  <si>
    <t>Exhailing grit and sand you deal 8d4 bludgeoning damage to all creatures in the area. Water and plant creatures treat their save as one degree less. Failure on the save results in full damage and dazzeled for 1 round. Critical failure results in double damage and target is dazzeled for 1 minute.</t>
  </si>
  <si>
    <t>Exhailing grit and sand you deal 10d4 bludgeoning damage to all creatures in the area. Water and plant creatures treat their save as one degree less. Failure on the save results in full damage and dazzeled for 1 round. Critical failure results in double damage and target is dazzeled for 1 minute.</t>
  </si>
  <si>
    <t>Exhailing grit and sand you deal 12d4 bludgeoning damage to all creatures in the area. Water and plant creatures treat their save as one degree less. Failure on the save results in full damage and dazzeled for 1 round. Critical failure results in double damage and target is dazzeled for 1 minute.</t>
  </si>
  <si>
    <t>Exhailing grit and sand you deal 14d4 bludgeoning damage to all creatures in the area. Water and plant creatures treat their save as one degree less. Failure on the save results in full damage and dazzeled for 1 round. Critical failure results in double damage and target is dazzeled for 1 minute.</t>
  </si>
  <si>
    <t>Exhailing grit and sand you deal 16d4 bludgeoning damage to all creatures in the area. Water and plant creatures treat their save as one degree less. Failure on the save results in full damage and dazzeled for 1 round. Critical failure results in double damage and target is dazzeled for 1 minute.</t>
  </si>
  <si>
    <t>Exhailing grit and sand you deal 18d4 bludgeoning damage to all creatures in the area. Water and plant creatures treat their save as one degree less. Failure on the save results in full damage and dazzeled for 1 round. Critical failure results in double damage and target is dazzeled for 1 minute.</t>
  </si>
  <si>
    <t>Exhailing grit and sand you deal 20d4 bludgeoning damage to all creatures in the area. Water and plant creatures treat their save as one degree less. Failure on the save results in full damage and dazzeled for 1 round. Critical failure results in double damage and target is dazzeled for 1 minute.</t>
  </si>
  <si>
    <t>Threshold of Knowledge</t>
  </si>
  <si>
    <t>Gust of Wind</t>
  </si>
  <si>
    <t>Long Rest</t>
  </si>
  <si>
    <t>60ft line</t>
  </si>
  <si>
    <t>A gust of wind from your hand extinguishes small non-magical fires, disperses fog and mist, blows light bulk objects around and pushes larger objects. Large and smaller creatures in the area or moving into the area must make a save. On a success they can not move against the wind. On a failure target is knocked prone. On a critical failure, or failure if the target is flying, they are pushed back 30ft, knocked prone, and take 2d6 bludgeoning damage.</t>
  </si>
  <si>
    <t>Harm</t>
  </si>
  <si>
    <t>Channeling negative energy to deal 1d8 negative damage to living creatures. If the target is undead they heal the same amount of HP. A single action casting has a range of touch. Casting the spell using 2 actions increase range to 30ft and damage/healing by 8. Spending a full turn casting this spell affects all creatures within 30ft of you.</t>
  </si>
  <si>
    <t>Channeling negative energy to deal 2d8 negative damage to living creatures. If the target is undead they heal the same amount of HP. A single action casting has a range of touch. Casting the spell using 2 actions increase range to 30ft and damage/healing by 16. Spending a full turn casting this spell affects all creatures within 30ft of you.</t>
  </si>
  <si>
    <t>Channeling negative energy to deal 3d8 negative damage to living creatures. If the target is undead they heal the same amount of HP. A single action casting has a range of touch. Casting the spell using 2 actions increase range to 30ft and damage/healing by 24. Spending a full turn casting this spell affects all creatures within 30ft of you.</t>
  </si>
  <si>
    <t>Channeling negative energy to deal 4d8 negative damage to living creatures. If the target is undead they heal the same amount of HP. A single action casting has a range of touch. Casting the spell using 2 actions increase range to 30ft and damage/healing by 32. Spending a full turn casting this spell affects all creatures within 30ft of you.</t>
  </si>
  <si>
    <t>Channeling negative energy to deal 5d8 negative damage to living creatures. If the target is undead they heal the same amount of HP. A single action casting has a range of touch. Casting the spell using 2 actions increase range to 30ft and damage/healing by 40. Spending a full turn casting this spell affects all creatures within 30ft of you.</t>
  </si>
  <si>
    <t>Channeling negative energy to deal 6d8 negative damage to living creatures. If the target is undead they heal the same amount of HP. A single action casting has a range of touch. Casting the spell using 2 actions increase range to 30ft and damage/healing by 48. Spending a full turn casting this spell affects all creatures within 30ft of you.</t>
  </si>
  <si>
    <t>Channeling negative energy to deal 7d8 negative damage to living creatures. If the target is undead they heal the same amount of HP. A single action casting has a range of touch. Casting the spell using 2 actions increase range to 30ft and damage/healing by 56. Spending a full turn casting this spell affects all creatures within 30ft of you.</t>
  </si>
  <si>
    <t>Channeling negative energy to deal 8d8 negative damage to living creatures. If the target is undead they heal the same amount of HP. A single action casting has a range of touch. Casting the spell using 2 actions increase range to 30ft and damage/healing by 64. Spending a full turn casting this spell affects all creatures within 30ft of you.</t>
  </si>
  <si>
    <t>Channeling negative energy to deal 9d8 negative damage to living creatures. If the target is undead they heal the same amount of HP. A single action casting has a range of touch. Casting the spell using 2 actions increase range to 30ft and damage/healing by 71. Spending a full turn casting this spell affects all creatures within 30ft of you.</t>
  </si>
  <si>
    <t>Channeling negative energy to deal 10d8 negative damage to living creatures. If the target is undead they heal the same amount of HP. A single action casting has a range of touch. Casting the spell using 2 actions increase range to 30ft and damage/healing by 80. Spending a full turn casting this spell affects all creatures within 30ft of you.</t>
  </si>
  <si>
    <t>Heal</t>
  </si>
  <si>
    <t>Channeling positive energy you heal 1d8 hp to a living creatures. If the target is undead they take the same amount of healing as damage with a save. A single action casting has a range of touch. Casting the spell using 2 actions increase range to 30ft and damage/healing by 8. Spending a full turn casting this spell affects all creatures within 30ft of you.</t>
  </si>
  <si>
    <t>Channeling positive energy you heal 2d8 hp to a living creatures. If the target is undead they take the same amount of healing as damage with a save. A single action casting has a range of touch. Casting the spell using 2 actions increase range to 30ft and damage/healing by 16. Spending a full turn casting this spell affects all creatures within 30ft of you.</t>
  </si>
  <si>
    <t>Channeling positive energy you heal 3d8 hp to a living creatures. If the target is undead they take the same amount of healing as damage with a save. A single action casting has a range of touch. Casting the spell using 2 actions increase range to 30ft and damage/healing by 24. Spending a full turn casting this spell affects all creatures within 30ft of you.</t>
  </si>
  <si>
    <t>Channeling positive energy you heal 4d8 hp to a living creatures. If the target is undead they take the same amount of healing as damage with a save. A single action casting has a range of touch. Casting the spell using 2 actions increase range to 30ft and damage/healing by 32. Spending a full turn casting this spell affects all creatures within 30ft of you.</t>
  </si>
  <si>
    <t>Channeling positive energy you heal 5d8 hp to a living creatures. If the target is undead they take the same amount of healing as damage with a save. A single action casting has a range of touch. Casting the spell using 2 actions increase range to 30ft and damage/healing by 40. Spending a full turn casting this spell affects all creatures within 30ft of you.</t>
  </si>
  <si>
    <t>Channeling positive energy you heal 6d8 hp to a living creatures. If the target is undead they take the same amount of healing as damage with a save. A single action casting has a range of touch. Casting the spell using 2 actions increase range to 30ft and damage/healing by 48. Spending a full turn casting this spell affects all creatures within 30ft of you.</t>
  </si>
  <si>
    <t>Channeling positive energy you heal 7d8 hp to a living creatures. If the target is undead they take the same amount of healing as damage with a save. A single action casting has a range of touch. Casting the spell using 2 actions increase range to 30ft and damage/healing by 56. Spending a full turn casting this spell affects all creatures within 30ft of you.</t>
  </si>
  <si>
    <t>Channeling positive energy you heal 8d8 hp to a living creatures. If the target is undead they take the same amount of healing as damage with a save. A single action casting has a range of touch. Casting the spell using 2 actions increase range to 30ft and damage/healing by 64. Spending a full turn casting this spell affects all creatures within 30ft of you.</t>
  </si>
  <si>
    <t>Channeling positive energy you heal 9d8 hp to a living creatures. If the target is undead they take the same amount of healing as damage with a save. A single action casting has a range of touch. Casting the spell using 2 actions increase range to 30ft and damage/healing by 71. Spending a full turn casting this spell affects all creatures within 30ft of you.</t>
  </si>
  <si>
    <t>Channeling positive energy you heal 10d8 hp to a living creatures. If the target is undead they take the same amount of healing as damage with a save. A single action casting has a range of touch. Casting the spell using 2 actions increase range to 30ft and damage/healing by 80. Spending a full turn casting this spell affects all creatures within 30ft of you.</t>
  </si>
  <si>
    <t>Horizon Thunder Sphere</t>
  </si>
  <si>
    <t>You strike out to deal 3d6 electric damage, target is dazzled for 1 round on a crit. 2 actions casts for a 30ft range. Full turn casting has a range of 60ft and target takes half damage on a miss. The spell can be delayed until your next turn, for 2 full turns casting that results in an explosion; regardless of hit all creatures within 10ft of the target must make a basic Reflex save or take 2d6 electric damage. After which you spark for 1 minute, all attempts to melee attack or touch you deals 1 electric damage.</t>
  </si>
  <si>
    <t>You strike out to deal 5d6 electric damage, target is dazzled for 1 round on a crit. 2 actions casts for a 30ft range. Full turn casting has a range of 60ft and target takes half damage on a miss. The spell can be delayed until your next turn, for 2 full turns casting that results in an explosion; regardless of hit all creatures within 10ft of the target must make a basic Reflex save or take 4d6 electric damage. After which you spark for 1 minute, all attempts to melee attack or touch you deals 2 electric damage.</t>
  </si>
  <si>
    <t>You strike out to deal 7d6 electric damage, target is dazzled for 1 round on a crit. 2 actions casts for a 30ft range. Full turn casting has a range of 60ft and target takes half damage on a miss. The spell can be delayed until your next turn, for 2 full turns casting that results in an explosion; regardless of hit all creatures within 10ft of the target must make a basic Reflex save or take 6d6 electric damage. After which you spark for 1 minute, all attempts to melee attack or touch you deals 3 electric damage.</t>
  </si>
  <si>
    <t>You strike out to deal 9d6 electric damage, target is dazzled for 1 round on a crit. 2 actions casts for a 30ft range. Full turn casting has a range of 60ft and target takes half damage on a miss. The spell can be delayed until your next turn, for 2 full turns casting that results in an explosion; regardless of hit all creatures within 10ft of the target must make a basic Reflex save or take 8d6 electric damage. After which you spark for 1 minute, all attempts to melee attack or touch you deals 4 electric damage.</t>
  </si>
  <si>
    <t>You strike out to deal 11d6 electric damage, target is dazzled for 1 round on a crit. 2 actions casts for a 30ft range. Full turn casting has a range of 60ft and target takes half damage on a miss. The spell can be delayed until your next turn, for 2 full turns casting that results in an explosion; regardless of hit all creatures within 10ft of the target must make a basic Reflex save or take 10d6 electric damage. After which you spark for 1 minute, all attempts to melee attack or touch you deals 5 electric damage.</t>
  </si>
  <si>
    <t>You strike out to deal 13d6 electric damage, target is dazzled for 1 round on a crit. 2 actions casts for a 30ft range. Full turn casting has a range of 60ft and target takes half damage on a miss. The spell can be delayed until your next turn, for 2 full turns casting that results in an explosion; regardless of hit all creatures within 10ft of the target must make a basic Reflex save or take 12d6 electric damage. After which you spark for 1 minute, all attempts to melee attack or touch you deals 6 electric damage.</t>
  </si>
  <si>
    <t>You strike out to deal 15d6 electric damage, target is dazzled for 1 round on a crit. 2 actions casts for a 30ft range. Full turn casting has a range of 60ft and target takes half damage on a miss. The spell can be delayed until your next turn, for 2 full turns casting that results in an explosion; regardless of hit all creatures within 10ft of the target must make a basic Reflex save or take 14d6 electric damage. After which you spark for 1 minute, all attempts to melee attack or touch you deals 7 electric damage.</t>
  </si>
  <si>
    <t>You strike out to deal 17d6 electric damage, target is dazzled for 1 round on a crit. 2 actions casts for a 30ft range. Full turn casting has a range of 60ft and target takes half damage on a miss. The spell can be delayed until your next turn, for 2 full turns casting that results in an explosion; regardless of hit all creatures within 10ft of the target must make a basic Reflex save or take 16d6 electric damage. After which you spark for 1 minute, all attempts to melee attack or touch you deals 8 electric damage.</t>
  </si>
  <si>
    <t>You strike out to deal 19d6 electric damage, target is dazzled for 1 round on a crit. 2 actions casts for a 30ft range. Full turn casting has a range of 60ft and target takes half damage on a miss. The spell can be delayed until your next turn, for 2 full turns casting that results in an explosion; regardless of hit all creatures within 10ft of the target must make a basic Reflex save or take 18d6 electric damage. After which you spark for 1 minute, all attempts to melee attack or touch you deals 9 electric damage.</t>
  </si>
  <si>
    <t>You strike out to deal 21d6 electric damage, target is dazzled for 1 round on a crit. 2 actions casts for a 30ft range. Full turn casting has a range of 60ft and target takes half damage on a miss. The spell can be delayed until your next turn, for 2 full turns casting that results in an explosion; regardless of hit all creatures within 10ft of the target must make a basic Reflex save or take 20d6 electric damage. After which you spark for 1 minute, all attempts to melee attack or touch you deals 10 electric damage.</t>
  </si>
  <si>
    <t>Hydraulic Push</t>
  </si>
  <si>
    <t>A blast of water deals 3d6 and knocks target back 5ft. A critical hit pushes back target by 10ft.</t>
  </si>
  <si>
    <t>A blast of water deals 5d6 and knocks target back 5ft. A critical hit pushes back target by 10ft.</t>
  </si>
  <si>
    <t>A blast of water deals 7d6 and knocks target back 5ft. A critical hit pushes back target by 10ft.</t>
  </si>
  <si>
    <t>A blast of water deals 9d6 and knocks target back 5ft. A critical hit pushes back target by 10ft.</t>
  </si>
  <si>
    <t>A blast of water deals 11d6 and knocks target back 5ft. A critical hit pushes back target by 10ft.</t>
  </si>
  <si>
    <t>A blast of water deals 13d6 and knocks target back 5ft. A critical hit pushes back target by 10ft.</t>
  </si>
  <si>
    <t>A blast of water deals 15d6 and knocks target back 5ft. A critical hit pushes back target by 10ft.</t>
  </si>
  <si>
    <t>A blast of water deals 17d6 and knocks target back 5ft. A critical hit pushes back target by 10ft.</t>
  </si>
  <si>
    <t>A blast of water deals 19d6 and knocks target back 5ft. A critical hit pushes back target by 10ft.</t>
  </si>
  <si>
    <t>A blast of water deals 21d6 and knocks target back 5ft. A critical hit pushes back target by 10ft.</t>
  </si>
  <si>
    <t>Ill Omen</t>
  </si>
  <si>
    <t>you strike the target with misfortune. On a save failure the target has misfortune and must roll twice and take the lower roll on their next attack or skill check. On a critical failure the target has misfortune on every attack or skill check until the end of the duration.</t>
  </si>
  <si>
    <t>Illusory Disguise</t>
  </si>
  <si>
    <t xml:space="preserve">Using magic you are capable of altering your appearence and hiding your identity. Your new appearence can vary within 6 inches and 50 pounds of yourself normally, granting you a +4 status bonus to hiding your identity using Deception (adding your level even if you are untrained). </t>
  </si>
  <si>
    <t>Using magic you are capable of altering your appearence and hiding your identity. Your new appearence can vary within 6 inches and 50 pounds of yourself normally, granting you a +4 status bonus to hiding your identity using Deception (adding your level even if you are untrained). Your voice and smell now magically disguises itself to suit your new appearence in addition to visual deception.</t>
  </si>
  <si>
    <t>Using magic you are capable of altering your appearence and hiding your identity. Your new appearence can vary within 6 inches and 50 pounds of yourself normally, capable of becoming someone specific, granting you a +4 status bonus to hiding your identity using Deception (adding your level even if you are untrained). Your voice and smell now magically disguises itself to suit your new appearence in addition to visual deception.</t>
  </si>
  <si>
    <t>Illusory Object</t>
  </si>
  <si>
    <t>500ft</t>
  </si>
  <si>
    <t>Creating a stationary illusion that fits within the area, and does not produce sound or smell. Any creature that touches the object or uses the Seek action can attempt to disbelieve the illusion.</t>
  </si>
  <si>
    <t>Creating a stationary illusion that fits within the area for 1 hour. The illusion generates the appropriate sounds, smells, and even feeling when touched. Any creature that touches the object or uses the Seek action can attempt to disbelieve the illusion.</t>
  </si>
  <si>
    <t>Creating a stationary illusion that fits within the area and doesnt dispel naturally, having an unlimited duration. The illusion generates the appropriate sounds, smells, and even feeling when touched. Any creature that touches the object or uses the Seek action can attempt to disbelieve the illusion.</t>
  </si>
  <si>
    <t>Imprint Message</t>
  </si>
  <si>
    <t>Unlimited</t>
  </si>
  <si>
    <t>Projecting psychic vibrations into an object you can implant words or emotions into it. Any spell that would look into the history of the target object will see the implanted message as if it is apart of the object's history. If the Read Aura spell is cast at a higher level then Imprint Message the target learns the object was magically modified.</t>
  </si>
  <si>
    <t>Invisible Item</t>
  </si>
  <si>
    <t>2 object</t>
  </si>
  <si>
    <t>An object you touch becomes invisible, making it undetected to all creatures. A successful Find the Target action results in the object only being hidden to the seeker. Any hostile actions made with the object will end the invisibility at the end of the action. Invisible weapons do not gain any advantages to attacks, but invisible ammunition will not give away the shooter.</t>
  </si>
  <si>
    <t>An object you touch becomes invisible, making it undetected to all creatures for 1 day. A successful Find the Target action results in the object only being hidden to the seeker. Any hostile actions made with the object will end the invisibility at the end of the action. Invisible weapons do not gain any advantages to attacks, but invisible ammunition will not give away the shooter.</t>
  </si>
  <si>
    <t>An object you touch becomes invisible, making it undetected to all creatures forever. A successful Find the Target action results in the object only being hidden to the seeker. Any hostile actions made with the object will end the invisibility at the end of the action. Invisible weapons do not gain any advantages to attacks, but invisible ammunition will not give away the shooter.</t>
  </si>
  <si>
    <t>Item Facade</t>
  </si>
  <si>
    <t>3 object</t>
  </si>
  <si>
    <t xml:space="preserve">An object no more than 10ft cube in size alters its appearence to be perfectly pristene in condition or decrepit and shobby. A creature that interacts with the item can attempt to disbelieve the illusion. </t>
  </si>
  <si>
    <t xml:space="preserve">An object no more than 10ft cube in size alters its appearence to be perfectly pristene in condition or decrepit and shobby for the next 24 hours. A creature that interacts with the item can attempt to disbelieve the illusion. </t>
  </si>
  <si>
    <t>Other</t>
  </si>
  <si>
    <t xml:space="preserve">An object no more than 10ft cube in size alters its appearence to be perfectly pristene in condition or decrepit and shobby. The illusion now has an unlimited duration. A creature that interacts with the item can attempt to disbelieve the illusion. </t>
  </si>
  <si>
    <t>Jump</t>
  </si>
  <si>
    <t>Filling your legs with strength you can jump 30ft in any direction. If you do not land within a space within 30ft you fall after using your next action.</t>
  </si>
  <si>
    <t>Filling the target you touch's legs with strength they can jump 30ft in any direction using the Leap action. This effect lasts for 1 minute. If they do not land within a space within 30ft they fall after using their next action.</t>
  </si>
  <si>
    <t>Juvenile Companion</t>
  </si>
  <si>
    <t>Companion</t>
  </si>
  <si>
    <t>Your companian transforms into its juvenile form, such as a cub, foal, kitten, puppy, or piglet. The target appears harmless as they become size tiny. Reach is reduced to 0ft, and speed is halved (min 5ft). The target gains weakness 5 to physical damage. This spell ends if the target uses a hostile action or doesnt have a juvenile form.</t>
  </si>
  <si>
    <t>Your companian transforms into its juvenile form, such as a cub, foal, kitten, puppy, or piglet, for 1 hour. The target appears harmless as they become size tiny. Reach is reduced to 0ft, and speed is halved (min 5ft). The target gains weakness 5 to physical damage. This spell ends if the target uses a hostile action or doesnt have a juvenile form.</t>
  </si>
  <si>
    <t>Kinetic Ram</t>
  </si>
  <si>
    <t>1 or more</t>
  </si>
  <si>
    <t>Gathering connectic energy you attempt to push back a target by 10ft (20ft on a critical failure). A single action results in the range being 15ft. 2 actions results in the range being 30ft and the target is pushed double the distance (getting knocked prone and takes 1d6 bludgening damage on a critical failure). Full turn results in the spell being a 5ft emanation.</t>
  </si>
  <si>
    <t>Liberating Command</t>
  </si>
  <si>
    <t>Calling out a liberating cry you urge an ally to break free from being held in place. The target can immeadately use their reaction to attempt to escape from any Grabbed, Immobilized, or Restrained effect.</t>
  </si>
  <si>
    <t>Lock</t>
  </si>
  <si>
    <t>1st LEVEL SPELLS</t>
  </si>
  <si>
    <t>1 lock or latch</t>
  </si>
  <si>
    <t>Creating a magically enforced lock you set the DC to open the lock as your spell DC +4 against all thievery or athletic checks to open the lock. Any combination or key that previously opened the lock ceases to do so, but grants a +4 circumstance bonus when used to attempt to open the lock. Once the lock is opened the spell ends, or whenever you dismiss it. As an action you can open the lock without ending the spell.</t>
  </si>
  <si>
    <t>Magically reinforced a lock you set the DC to open the lock as your spell DC +4 against all thievery or athletic checks to open the lock. Any combination or key that previously opened the lock ceases to do so, but grants a +4 circumstance bonus when used to attempt to open the lock. Once the lock is opened the spell ends, or whenever you dismiss it. As an action you can open the lock without ending the spell. The spell duration becomes unlimited if supplied with 6gp.</t>
  </si>
  <si>
    <t>Longstrider</t>
  </si>
  <si>
    <t>You increase your movement speed by 10ft.</t>
  </si>
  <si>
    <t>You increase your movement speed by 10ft for 8 hours.</t>
  </si>
  <si>
    <t>FAMILIAR ABILITIES - CORE</t>
  </si>
  <si>
    <t>Lose The Path</t>
  </si>
  <si>
    <t>A Striding Creature</t>
  </si>
  <si>
    <t>Your surround the target is subtly moving illusions to redirect their path. After casting the target is immune to this spell for 1 hour. On a save failure the target treats all squares as difficult terrain. On a critical failure the target moves as if difficult terrain and you choose their direction, avoiding obviously dangerious terrain.</t>
  </si>
  <si>
    <t>Mage Armor</t>
  </si>
  <si>
    <t>Warding yourself in magical energy you get a +1 item bonus to AC with a max Dex mod of +5. While wearing Mage Armor you use your unarmored proficiency to calculate AC.</t>
  </si>
  <si>
    <t>Warding yourself in magical energy you get a +1 item bonus to AC with a max Dex mod of +5. Gain a +1 to all saving throws with this armor. While wearing Mage Armor you use your unarmored proficiency to calculate AC.</t>
  </si>
  <si>
    <t>Warding yourself in magical energy you get a +2 item bonus to AC with a max Dex mod of +5. Gain a +1 to all saving throws with this armor. While wearing Mage Armor you use your unarmored proficiency to calculate AC.</t>
  </si>
  <si>
    <t>Warding yourself in magical energy you get a +2 item bonus to AC with a max Dex mod of +5. Gain a +2 to all saving throws with this armor. While wearing Mage Armor you use your unarmored proficiency to calculate AC.</t>
  </si>
  <si>
    <t>Warding yourself in magical energy you get a +3 item bonus to AC with a max Dex mod of +5. Gain a +3 to all saving throws with this armor. While wearing Mage Armor you use your unarmored proficiency to calculate AC.</t>
  </si>
  <si>
    <t>Magic Aura</t>
  </si>
  <si>
    <t>MAGIC ITEM SPELLS</t>
  </si>
  <si>
    <t>1 object of 3 bulk</t>
  </si>
  <si>
    <t>Altering the item's aura you can make nonmagical items appear magical and magical items non. You can give an item the aura of a magical item twice the level of the spell's casting, or under the effects of a spell at the same level or lower than Magic Aura. The Detect Magic or Read Aura spell must be at the same level or higher to see past the illusion.</t>
  </si>
  <si>
    <t>Altering the item or person's aura you can make nonmagical items appear magical and magical items non. You can give an item the aura of a magical item twice the level of the spell's casting, or under the effects of a spell at the same level or lower than Magic Aura. The Detect Magic or Read Aura spell must be at the same level or higher to see past the illusion.</t>
  </si>
  <si>
    <t>Magic Fang</t>
  </si>
  <si>
    <t>MASTER ABILITIES</t>
  </si>
  <si>
    <t>You cause a willing creature's unarmed attacks to shine with primal energy, becoming a +1 striking unarmed attack. If the target's attacks dont already have it, they gain +1 item bonus to attack rolls and increase the number of damage dice to two if it only had one.</t>
  </si>
  <si>
    <t>Magic Missile</t>
  </si>
  <si>
    <t>Any creature</t>
  </si>
  <si>
    <t>You create a dart of force that automatically hits a single target, dealing 1d4+1 force damage. With each additional action spent casting increase the darts summoned by 1. A dart can hit any target you choose, and multiple darts hitting the same target combine damage before apply resistance or weakness.</t>
  </si>
  <si>
    <t>You create darts of force that each automatically hits a single target, dealing 1d4+1 force damage. With each action spent casting increase the darts summoned by 2. A dart can hit any target you choose, and multiple darts hitting the same target combine damage before apply resistance or weakness.</t>
  </si>
  <si>
    <t>You create darts of force that each automatically hits a single target, dealing 1d4+1 force damage. With each action spent casting increase the darts summoned by 3. A dart can hit any target you choose, and multiple darts hitting the same target combine damage before apply resistance or weakness.</t>
  </si>
  <si>
    <t>You create darts of force that each automatically hits a single target, dealing 1d4+1 force damage. With each action spent casting increase the darts summoned by 4. A dart can hit any target you choose, and multiple darts hitting the same target combine damage before apply resistance or weakness.</t>
  </si>
  <si>
    <t>You create darts of force that each automatically hits a single target, dealing 1d4+1 force damage. With each action spent casting increase the darts summoned by 5. A dart can hit any target you choose, and multiple darts hitting the same target combine damage before apply resistance or weakness.</t>
  </si>
  <si>
    <t>You create darts of force that each automatically hits a single target, dealing 1d4+1 force damage. With each action spent casting increase the darts summoned by 6. A dart can hit any target you choose, and multiple darts hitting the same target combine damage before apply resistance or weakness.</t>
  </si>
  <si>
    <t>You create darts of force that each automatically hits a single target, dealing 1d4+1 force damage. With each action spent casting increase the darts summoned by 7. A dart can hit any target you choose, and multiple darts hitting the same target combine damage before apply resistance or weakness.</t>
  </si>
  <si>
    <t>You create darts of force that each automatically hits a single target, dealing 1d4+1 force damage. With each action spent casting increase the darts summoned by 8. A dart can hit any target you choose, and multiple darts hitting the same target combine damage before apply resistance or weakness.</t>
  </si>
  <si>
    <t>You create darts of force that each automatically hits a single target, dealing 1d4+1 force damage. With each action spent casting increase the darts summoned by 9. A dart can hit any target you choose, and multiple darts hitting the same target combine damage before apply resistance or weakness.</t>
  </si>
  <si>
    <t>You create darts of force that each automatically hits a single target, dealing 1d4+1 force damage. With each action spent casting increase the darts summoned by 10. A dart can hit any target you choose, and multiple darts hitting the same target combine damage before apply resistance or weakness.</t>
  </si>
  <si>
    <t>Magic Stone</t>
  </si>
  <si>
    <t>Prepared</t>
  </si>
  <si>
    <t>It gains a swim Speed of 25 feet or a land Speed of 25 feet if it already has a swim Speed.</t>
  </si>
  <si>
    <t>3 non-magical stones</t>
  </si>
  <si>
    <t>You touch a stone, granting it the +1, striking, dusruptin, and sling bullet, property to be used by you or your allies. The stone can only be used once before crumbling to dust, but in that time will deal 2d6 bludgening damage on hit, and an additional 1d6 positive against undead.</t>
  </si>
  <si>
    <t>It gains a fly Speed of 25 feet.</t>
  </si>
  <si>
    <t>Magic Weapon</t>
  </si>
  <si>
    <t>1 willing object</t>
  </si>
  <si>
    <t>A weapon wielded by you or an ally glimmers with magic, becoming a +1 striking weapon, gaining a +1 item bonus to attack rolls and increases the number of damage dice to two.</t>
  </si>
  <si>
    <r>
      <rPr>
        <rFont val="Verdana"/>
        <color theme="1"/>
        <sz val="9.0"/>
      </rPr>
      <t xml:space="preserve">You can prepare an additional cantrip, or if you have a repertoire, instead designate a cantrip to add to your repertoire. 
</t>
    </r>
    <r>
      <rPr>
        <rFont val="Verdana"/>
        <color theme="1"/>
        <sz val="9.0"/>
        <u/>
      </rPr>
      <t>Requirements</t>
    </r>
    <r>
      <rPr>
        <rFont val="Verdana"/>
        <color theme="1"/>
        <sz val="9.0"/>
      </rPr>
      <t xml:space="preserve">: Access to cantrips. </t>
    </r>
  </si>
  <si>
    <t>Mending</t>
  </si>
  <si>
    <t>Item DC</t>
  </si>
  <si>
    <t>Object of light bulk</t>
  </si>
  <si>
    <t>Repairing a non-magical item, you restore 5 hit points to the target, possibly removing the broken condition. This does not restrore lost pieces.</t>
  </si>
  <si>
    <t>Uses</t>
  </si>
  <si>
    <t>Repairing a non-magical item of upto 1 bulk, you restore 10 hit points to the target, possibly removing the broken condition. This does not restrore lost pieces.</t>
  </si>
  <si>
    <t>Repairing a magical item of upto 1 bulk or non-magical item of 2 bulk, you restore 15 hit points to the target, possibly removing the broken condition. This does not restrore lost pieces.</t>
  </si>
  <si>
    <t>Repairing a magical item of upto 1 bulk or non-magical item of 2 bulk, you restore 20 hit points to the target, possibly removing the broken condition. This does not restrore lost pieces.</t>
  </si>
  <si>
    <t>Repairing a magical item of upto 1 bulk or non-magical item of 2 bulk, you restore 25 hit points to the target, possibly removing the broken condition. This does not restrore lost pieces.</t>
  </si>
  <si>
    <t>Repairing a magical item of upto 1 bulk or non-magical item of 2 bulk, you restore 30 hit points to the target, possibly removing the broken condition. This does not restrore lost pieces.</t>
  </si>
  <si>
    <t>Repairing a magical item of upto 1 bulk or non-magical item of 2 bulk, you restore 35 hit points to the target, possibly removing the broken condition. This does not restrore lost pieces.</t>
  </si>
  <si>
    <t>Repairing a magical item of upto 1 bulk or non-magical item of 2 bulk, you restore 40 hit points to the target, possibly removing the broken condition. This does not restrore lost pieces.</t>
  </si>
  <si>
    <t>Repairing a magical item of upto 1 bulk or non-magical item of 2 bulk, you restore 45 hit points to the target, possibly removing the broken condition. This does not restrore lost pieces.</t>
  </si>
  <si>
    <t>Repairing a magical item of upto 1 bulk or non-magical item of 2 bulk, you restore 50 hit points to the target, possibly removing the broken condition. This does not restrore lost pieces.</t>
  </si>
  <si>
    <t>Message Rune</t>
  </si>
  <si>
    <t>5 min.</t>
  </si>
  <si>
    <t>Flat surface</t>
  </si>
  <si>
    <t>Recording a message upto 5 minutes long and place the rune on a flat surface. The rune's appearence is up to you but is visible to everyone and can not be smaller than 2 inches wide. You can set a trigger, so that any creature who meets the criteria will hear the message played in their mind. You are aware when someone attivates the trigger.</t>
  </si>
  <si>
    <t>Mindlink</t>
  </si>
  <si>
    <t>Amphibious</t>
  </si>
  <si>
    <t>You link your mind with a willing creature and instantly share information that would otherwise take 10 minutes to communicate.</t>
  </si>
  <si>
    <t>Mud Pit</t>
  </si>
  <si>
    <t>Flier</t>
  </si>
  <si>
    <t>15ft burst</t>
  </si>
  <si>
    <t>Cantrip Connection</t>
  </si>
  <si>
    <t>Thick, clinging mud covers the ground, 1 foot deep. This mud is difficult terrain.</t>
  </si>
  <si>
    <t>Necromancer's Generosity</t>
  </si>
  <si>
    <t>Undead Minion</t>
  </si>
  <si>
    <t>Channeling negative energy you strengthen your undead minion. The target regains 1d8+4 HP, and gains a +2 status bonus against positive effects for the duration.</t>
  </si>
  <si>
    <t>Channeling negative energy you strengthen your undead minion. The target regains 2d8+8 HP, and gains a +2 status bonus against positive effects for the duration.</t>
  </si>
  <si>
    <t>Channeling negative energy you strengthen your undead minion. The target regains 3d8+12 HP, and gains a +2 status bonus against positive effects for the duration.</t>
  </si>
  <si>
    <t>Channeling negative energy you strengthen your undead minion. The target regains 4d8+16 HP, and gains a +2 status bonus against positive effects for the duration.</t>
  </si>
  <si>
    <t>It gains a burrow Speed of 5 feet, allowing it to dig Tiny holes.</t>
  </si>
  <si>
    <t>Channeling negative energy you strengthen your undead minion. The target regains 5d8+20 HP, and gains a +2 status bonus against positive effects for the duration.</t>
  </si>
  <si>
    <t>Channeling negative energy you strengthen your undead minion. The target regains 6d8+24 HP, and gains a +2 status bonus against positive effects for the duration.</t>
  </si>
  <si>
    <t>Channeling negative energy you strengthen your undead minion. The target regains 7d8+28 HP, and gains a +2 status bonus against positive effects for the duration.</t>
  </si>
  <si>
    <t>Channeling negative energy you strengthen your undead minion. The target regains 8d8+32 HP, and gains a +2 status bonus against positive effects for the duration.</t>
  </si>
  <si>
    <t>Channeling negative energy you strengthen your undead minion. The target regains 9d8+36 HP, and gains a +2 status bonus against positive effects for the duration.</t>
  </si>
  <si>
    <t>Channeling negative energy you strengthen your undead minion. The target regains 10d8+40 HP, and gains a +2 status bonus against positive effects for the duration.</t>
  </si>
  <si>
    <t>Negate Aroma</t>
  </si>
  <si>
    <r>
      <rPr>
        <rFont val="Verdana"/>
        <color theme="1"/>
        <sz val="9.0"/>
      </rPr>
      <t xml:space="preserve">It can understand and speak with animals of the same species.
</t>
    </r>
    <r>
      <rPr>
        <rFont val="Verdana"/>
        <color theme="1"/>
        <sz val="9.0"/>
        <u/>
      </rPr>
      <t>Requirements</t>
    </r>
    <r>
      <rPr>
        <rFont val="Verdana"/>
        <color theme="1"/>
        <sz val="9.0"/>
      </rPr>
      <t>: Animal familiar, Speech ability, and you must be at least 6th level.</t>
    </r>
  </si>
  <si>
    <t xml:space="preserve">You remove all smell from a willing target. The target can no longer be detected by smell, even if the perciever as a precise scent, although may notice the complete lack of smell. If the target has any special abilties that work via its smell, those are also negated for the duration. </t>
  </si>
  <si>
    <t xml:space="preserve">You remove all smells from upto 10 willing targets within 30ft. The target can no longer be detected by smell, even if the perciever as a precise scent, although may notice the complete lack of smell. If the target has any special abilties that work via its smell, those are also negated for the duration. </t>
  </si>
  <si>
    <t xml:space="preserve">You remove all smells from upto 10 willing  targets within 30ft. The target can no longer be detected by smell, even if the perciever as a precise scent, although may notice the complete lack of smell. If the target has any special abilties that work via its smell, those are also negated for the duration. </t>
  </si>
  <si>
    <t>Nettleskin</t>
  </si>
  <si>
    <r>
      <rPr>
        <rFont val="Verdana"/>
        <color theme="1"/>
        <sz val="9.0"/>
      </rPr>
      <t xml:space="preserve">Your familiar grows extra infused reagents on or in its body. You gain an additional batch of infused reagents. 
</t>
    </r>
    <r>
      <rPr>
        <rFont val="Verdana"/>
        <color theme="1"/>
        <sz val="9.0"/>
        <u/>
      </rPr>
      <t>Requirements</t>
    </r>
    <r>
      <rPr>
        <rFont val="Verdana"/>
        <color theme="1"/>
        <sz val="9.0"/>
      </rPr>
      <t xml:space="preserve">: Infused reagents ability. </t>
    </r>
  </si>
  <si>
    <t>Thorns sprout from your body without damaging your clothes. Any melee attacks that hit you deal 1d4 piercing damage to the attacker. Each time damage is delt in this manner the duration of the spell decreases by 1 round.</t>
  </si>
  <si>
    <t>Thorns sprout from your body without damaging your clothes. Any melee attacks that hit you deal 2d4 piercing damage to the attacker. Each time damage is delt in this manner the duration of the spell decreases by 1 round.</t>
  </si>
  <si>
    <t>Thorns sprout from your body without damaging your clothes. Any melee attacks that hit you deal 3d4 piercing damage to the attacker. Each time damage is delt in this manner the duration of the spell decreases by 1 round.</t>
  </si>
  <si>
    <t>Thorns sprout from your body without damaging your clothes. Any melee attacks that hit you deal 4d4 piercing damage to the attacker. Each time damage is delt in this manner the duration of the spell decreases by 1 round.</t>
  </si>
  <si>
    <t>Thorns sprout from your body without damaging your clothes. Any melee attacks that hit you deal 5d4 piercing damage to the attacker. Each time damage is delt in this manner the duration of the spell decreases by 1 round.</t>
  </si>
  <si>
    <t>Thorns sprout from your body without damaging your clothes. Any melee attacks that hit you deal 6d4 piercing damage to the attacker. Each time damage is delt in this manner the duration of the spell decreases by 1 round.</t>
  </si>
  <si>
    <t>Thorns sprout from your body without damaging your clothes. Any melee attacks that hit you deal 7d4 piercing damage to the attacker. Each time damage is delt in this manner the duration of the spell decreases by 1 round.</t>
  </si>
  <si>
    <t>Thorns sprout from your body without damaging your clothes. Any melee attacks that hit you deal 8d4 piercing damage to the attacker. Each time damage is delt in this manner the duration of the spell decreases by 1 round.</t>
  </si>
  <si>
    <t>Thorns sprout from your body without damaging your clothes. Any melee attacks that hit you deal 9d4 piercing damage to the attacker. Each time damage is delt in this manner the duration of the spell decreases by 1 round.</t>
  </si>
  <si>
    <t>Thorns sprout from your body without damaging your clothes. Any melee attacks that hit you deal 10d4 piercing damage to the attacker. Each time damage is delt in this manner the duration of the spell decreases by 1 round.</t>
  </si>
  <si>
    <t>Noxious Vapors</t>
  </si>
  <si>
    <t>10ft burst</t>
  </si>
  <si>
    <t>Emiting toxic smoke you hide yourself and deal 1d6 poison damage to others in the smoke. All those in the smoke are concealed, and creatures that critically fail the saving throw become sickened 1.</t>
  </si>
  <si>
    <t>Emiting toxic smoke you hide yourself and deal 2d6 poison damage to others in the smoke. All those in the smoke are concealed, and creatures that critically fail the saving throw become sickened 1.</t>
  </si>
  <si>
    <t>Emiting toxic smoke you hide yourself and deal 3d6 poison damage to others in the smoke. All those in the smoke are concealed, and creatures that critically fail the saving throw become sickened 1.</t>
  </si>
  <si>
    <t>Burrower</t>
  </si>
  <si>
    <t>Emiting toxic smoke you hide yourself and deal 4d6 poison damage to others in the smoke. All those in the smoke are concealed, and creatures that critically fail the saving throw become sickened 1.</t>
  </si>
  <si>
    <t>Emiting toxic smoke you hide yourself and deal 5d6 poison damage to others in the smoke. All those in the smoke are concealed, and creatures that critically fail the saving throw become sickened 1.</t>
  </si>
  <si>
    <t>Emiting toxic smoke you hide yourself and deal 6d6 poison damage to others in the smoke. All those in the smoke are concealed, and creatures that critically fail the saving throw become sickened 1.</t>
  </si>
  <si>
    <t>Emiting toxic smoke you hide yourself and deal 7d6 poison damage to others in the smoke. All those in the smoke are concealed, and creatures that critically fail the saving throw become sickened 1.</t>
  </si>
  <si>
    <t>Emiting toxic smoke you hide yourself and deal 8d6 poison damage to others in the smoke. All those in the smoke are concealed, and creatures that critically fail the saving throw become sickened 1.</t>
  </si>
  <si>
    <t>Emiting toxic smoke you hide yourself and deal 9d6 poison damage to others in the smoke. All those in the smoke are concealed, and creatures that critically fail the saving throw become sickened 1.</t>
  </si>
  <si>
    <t>Emiting toxic smoke you hide yourself and deal 10d6 poison damage to others in the smoke. All those in the smoke are concealed, and creatures that critically fail the saving throw become sickened 1.</t>
  </si>
  <si>
    <t>Nudge the Odds</t>
  </si>
  <si>
    <t>By bestowing yourself luck you recieve a +1 status bonus to Games Lore checks when gambling, and critical failures are count as failures. When casting this spell a facial feature shines golden determined by the DM, and can not be hidden by magical means (recall check to know the spell). While the spell is too short to Earn Income, many view this spell as cheating.</t>
  </si>
  <si>
    <t>Kinspeech</t>
  </si>
  <si>
    <t>By bestowing yourself luck you recieve a +1 status bonus to Games Lore checks when gambling for a day, and critical failures are count as failures. When casting this spell a facial feature shines golden determined by the DM, and can not be hidden by magical means (recall check to know the spell). Many view this spell as cheating.</t>
  </si>
  <si>
    <t>Object Reading</t>
  </si>
  <si>
    <t>You learn information from an emotional event that happened to the object within the past week, determined by DM. Multiple castings give multiple events but it is possible to narrow in on a single event to gain extra information.</t>
  </si>
  <si>
    <t>You learn information from an emotional event that happened to the object within the past month, determined by DM. Multiple castings give multiple events but it is possible to narrow in on a single event to gain extra information.</t>
  </si>
  <si>
    <t>You learn information from an emotional event that happened to the object within the past year, determined by DM. Multiple castings give multiple events but it is possible to narrow in on a single event to gain extra information.</t>
  </si>
  <si>
    <t>You learn information from an emotional event that happened to the object within the past decade, determined by DM. Multiple castings give multiple events but it is possible to narrow in on a single event to gain extra information.</t>
  </si>
  <si>
    <t>Extra Reagents</t>
  </si>
  <si>
    <t>You learn information from an emotional event that happened to the object within the past century, determined by DM. Multiple castings give multiple events but it is possible to narrow in on a single event to gain extra information.</t>
  </si>
  <si>
    <t>You learn information from an emotional event that happened to the object at some point in its history, determined by DM. Multiple castings give multiple events but it is possible to narrow in on a single event to gain extra information.</t>
  </si>
  <si>
    <t>Pass Without Trace</t>
  </si>
  <si>
    <t>Obscuring your tracks you make them harder to follow. Gain either a +4 status bonus to the DC to track you, or the DC is your spell save DC, which ever result is higher.</t>
  </si>
  <si>
    <t>Obscuring your tracks you make them harder to follow for 8 hours. Gain either a +4 status bonus to the DC to track you, or the DC is your spell save DC, which ever result is higher.</t>
  </si>
  <si>
    <t>Obscuring tracks of 10 creatures within 20ft of you make them harder to follow for 8 hours. Gain either a +4 status bonus to the DC to track you, or the DC is your spell save DC, which ever result is higher.</t>
  </si>
  <si>
    <t>Penumbral Shroud</t>
  </si>
  <si>
    <t>It gains a climb Speed of 25 feet.</t>
  </si>
  <si>
    <t>Enveloping a creature in darkness they perceive light as one step lower (bright light becomes dim light), and gain a +1 status bonus to saving throws against light effects. Unwilling creatures can make a save, being completely unaffected on a critical success and on a success are affected for 1 round.</t>
  </si>
  <si>
    <r>
      <rPr>
        <rFont val="Verdana"/>
        <color theme="1"/>
        <sz val="9.0"/>
      </rPr>
      <t xml:space="preserve">It can use your Quick Alchemy action. This has the same cost and requirement as if you used it.
</t>
    </r>
    <r>
      <rPr>
        <rFont val="Verdana"/>
        <color theme="1"/>
        <sz val="9.0"/>
        <u/>
      </rPr>
      <t>Requirements</t>
    </r>
    <r>
      <rPr>
        <rFont val="Verdana"/>
        <color theme="1"/>
        <sz val="9.0"/>
      </rPr>
      <t xml:space="preserve">: Manual Dexterity ability, Quick Alchemy, same space. </t>
    </r>
  </si>
  <si>
    <t>Personal Rain Cloud</t>
  </si>
  <si>
    <t>A tiny raincloud begins following the target, always staying 1 arms length overhead is space permits. The target will always stay wet, and gain fire resistance 2. A creature weak to water takes damage equal to their weakness at the end of each turn. A reflex save can be made each turn to avoid the rain.</t>
  </si>
  <si>
    <t>A tiny raincloud begins following the target, always staying 1 arms length overhead is space permits. The target will always stay wet, and gain fire resistance 4. A creature weak to water takes damage equal to their weakness at the end of each turn. A reflex save can be made each turn to avoid the rain.</t>
  </si>
  <si>
    <t>A tiny raincloud begins following the target, always staying 1 arms length overhead is space permits. The target will always stay wet, and gain fire resistance 6. A creature weak to water takes damage equal to their weakness at the end of each turn. A reflex save can be made each turn to avoid the rain.</t>
  </si>
  <si>
    <r>
      <rPr>
        <rFont val="Verdana"/>
        <color theme="1"/>
        <sz val="9.0"/>
      </rPr>
      <t xml:space="preserve">Once per day, your familiar can use 2 actions with the concentrate trait to regain 1 Focus Point, up to your usual maximum 
</t>
    </r>
    <r>
      <rPr>
        <rFont val="Verdana"/>
        <color theme="1"/>
        <sz val="9.0"/>
        <u/>
      </rPr>
      <t>Requirements</t>
    </r>
    <r>
      <rPr>
        <rFont val="Verdana"/>
        <color theme="1"/>
        <sz val="9.0"/>
      </rPr>
      <t xml:space="preserve">: Focus pool. </t>
    </r>
  </si>
  <si>
    <t>A tiny raincloud begins following the target, always staying 1 arms length overhead is space permits. The target will always stay wet, and gain fire resistance 8. A creature weak to water takes damage equal to their weakness at the end of each turn. A reflex save can be made each turn to avoid the rain.</t>
  </si>
  <si>
    <t>A tiny raincloud begins following the target, always staying 1 arms length overhead is space permits. The target will always stay wet, and gain fire resistance 10. A creature weak to water takes damage equal to their weakness at the end of each turn. A reflex save can be made each turn to avoid the rain.</t>
  </si>
  <si>
    <t>A tiny raincloud begins following the target, always staying 1 arms length overhead is space permits. The target will always stay wet, and gain fire resistance 12. A creature weak to water takes damage equal to their weakness at the end of each turn. A reflex save can be made each turn to avoid the rain.</t>
  </si>
  <si>
    <t>A tiny raincloud begins following the target, always staying 1 arms length overhead is space permits. The target will always stay wet, and gain fire resistance 14. A creature weak to water takes damage equal to their weakness at the end of each turn. A reflex save can be made each turn to avoid the rain.</t>
  </si>
  <si>
    <t>A tiny raincloud begins following the target, always staying 1 arms length overhead is space permits. The target will always stay wet, and gain fire resistance 16. A creature weak to water takes damage equal to their weakness at the end of each turn. A reflex save can be made each turn to avoid the rain.</t>
  </si>
  <si>
    <t>A tiny raincloud begins following the target, always staying 1 arms length overhead is space permits. The target will always stay wet, and gain fire resistance 18. A creature weak to water takes damage equal to their weakness at the end of each turn. A reflex save can be made each turn to avoid the rain.</t>
  </si>
  <si>
    <t>A tiny raincloud begins following the target, always staying 1 arms length overhead is space permits. The target will always stay wet, and gain fire resistance 20. A creature weak to water takes damage equal to their weakness at the end of each turn. A reflex save can be made each turn to avoid the rain.</t>
  </si>
  <si>
    <t>#151</t>
  </si>
  <si>
    <t>Pest Form</t>
  </si>
  <si>
    <t>You become a tiny animal such as a cat, insect, lizard, or rat. The form is up to you but does not affect size or stats. In this form you cant make strikes, have the animal trait, and the following apply: AC is 15+[Lv]; Speed 20ft; Weakness 5 to physical damage; Low light vision and imprecise scent 30ft; Acrobatic and Stealth modifier is +10 (unless your mod is higher); Athletics mod is -4</t>
  </si>
  <si>
    <t>You become a tiny animal such as a cat, insect, lizard, or rat. The form is up to you but does not affect size or stats. In this form you cant make strikes, have the animal trait, and the following apply: AC is 15+[Lv]; Speed 20ft; Weakness 5 to physical damage; Low light vision and imprecise scent 30ft; Acrobatic and Stealth modifier is +10 (unless your mod is higher); Athletics mod is -5</t>
  </si>
  <si>
    <t>You become a tiny animal such as a cat, insect, lizard, or rat. The form is up to you but does not affect size or stats. In this form you cant make strikes, have the animal trait, and the following apply: AC is 15+[Lv]; Speed 20ft; Weakness 5 to physical damage; Low light vision and imprecise scent 30ft; Acrobatic and Stealth modifier is +10 (unless your mod is higher); Athletics mod is -6</t>
  </si>
  <si>
    <t>Climber</t>
  </si>
  <si>
    <t>You become a tiny animal such as a cat, insect, lizard, or bird. The form is up to you but does not affect size or stats. In this form you cant make strikes, have the animal trait, and the following apply: AC is 15+[Lv]; Fly Speed 20ft; Weakness 5 to physical damage; Low light vision and imprecise scent 30ft; Acrobatic and Stealth modifier is +10 (unless your mod is higher); Athletics mod is -7</t>
  </si>
  <si>
    <t>You become a tiny animal such as a cat, insect, lizard, or bird. The form is up to you but does not affect size or stats. In this form you cant make strikes, have the animal trait, and the following apply: AC is 15+[Lv]; Fly Speed 20ft; Weakness 5 to physical damage; Low light vision and imprecise scent 30ft; Acrobatic and Stealth modifier is +10 (unless your mod is higher); Athletics mod is -8</t>
  </si>
  <si>
    <t>You become a tiny animal such as a cat, insect, lizard, or bird. The form is up to you but does not affect size or stats. In this form you cant make strikes, have the animal trait, and the following apply: AC is 15+[Lv]; Fly Speed 20ft; Weakness 5 to physical damage; Low light vision and imprecise scent 30ft; Acrobatic and Stealth modifier is +10 (unless your mod is higher); Athletics mod is -9</t>
  </si>
  <si>
    <t>You become a tiny animal such as a cat, insect, lizard, or bird. The form is up to you but does not affect size or stats. In this form you cant make strikes, have the animal trait, and the following apply: AC is 15+[Lv]; Fly Speed 20ft; Weakness 5 to physical damage; Low light vision and imprecise scent 30ft; Acrobatic and Stealth modifier is +10 (unless your mod is higher); Athletics mod is -10</t>
  </si>
  <si>
    <t>You become a tiny animal such as a cat, insect, lizard, or bird. The form is up to you but does not affect size or stats. In this form you cant make strikes, have the animal trait, and the following apply: AC is 15+[Lv]; Fly Speed 20ft; Weakness 5 to physical damage; Low light vision and imprecise scent 30ft; Acrobatic and Stealth modifier is +10 (unless your mod is higher); Athletics mod is -11</t>
  </si>
  <si>
    <t>You become a tiny animal such as a cat, insect, lizard, or bird. The form is up to you but does not affect size or stats. In this form you cant make strikes, have the animal trait, and the following apply: AC is 15+[Lv]; Fly Speed 20ft; Weakness 5 to physical damage; Low light vision and imprecise scent 30ft; Acrobatic and Stealth modifier is +10 (unless your mod is higher); Athletics mod is -12</t>
  </si>
  <si>
    <t>You become a tiny animal such as a cat, insect, lizard, or bird. The form is up to you but does not affect size or stats. In this form you cant make strikes, have the animal trait, and the following apply: AC is 15+[Lv]; Fly Speed 20ft; Weakness 5 to physical damage; Low light vision and imprecise scent 30ft; Acrobatic and Stealth modifier is +10 (unless your mod is higher); Athletics mod is -13</t>
  </si>
  <si>
    <t>Pet Cache</t>
  </si>
  <si>
    <t>Lab Assistant</t>
  </si>
  <si>
    <t>Minion</t>
  </si>
  <si>
    <t>You pull your animal companion or familiar into a pocket dimension big enough for its comfort. Only the companian and its clothes are allowed into the space, where it has enough food, water, and air to sustain the animal for the duration. At the end of the duration or when dismissed your companian reappears in the nearest unoccupied space.</t>
  </si>
  <si>
    <t>Phantom Pain</t>
  </si>
  <si>
    <t>Familiar Focus</t>
  </si>
  <si>
    <t>Illusory pain wracks the target, dealing 2d4 mental damage and 1d4 persistant mental damage. On a successful save full initial damage is applied and the spell ends. On a failure the target takes full damage (initial and persistant), and in addition becomes sickened 1. The spell ends when the target is no longer sickened. Critical failure is same as failure but the target is sickened 2.</t>
  </si>
  <si>
    <t>Illusory pain wracks the target, dealing 4d4 mental damage and 2d4 persistant mental damage. On a successful save full initial damage is applied and the spell ends. On a failure the target takes full damage (initial and persistant), and in addition becomes sickened 1. The spell ends when the target is no longer sickened. Critical failure is same as failure but the target is sickened 2.</t>
  </si>
  <si>
    <t>Illusory pain wracks the target, dealing 6d4 mental damage and 3d4 persistant mental damage. On a successful save full initial damage is applied and the spell ends. On a failure the target takes full damage (initial and persistant), and in addition becomes sickened 1. The spell ends when the target is no longer sickened. Critical failure is same as failure but the target is sickened 2.</t>
  </si>
  <si>
    <t>Illusory pain wracks the target, dealing 8d4 mental damage and 4d4 persistant mental damage. On a successful save full initial damage is applied and the spell ends. On a failure the target takes full damage (initial and persistant), and in addition becomes sickened 1. The spell ends when the target is no longer sickened. Critical failure is same as failure but the target is sickened 2.</t>
  </si>
  <si>
    <t>Illusory pain wracks the target, dealing 10d4 mental damage and 5d4 persistant mental damage. On a successful save full initial damage is applied and the spell ends. On a failure the target takes full damage (initial and persistant), and in addition becomes sickened 1. The spell ends when the target is no longer sickened. Critical failure is same as failure but the target is sickened 2.</t>
  </si>
  <si>
    <t>Illusory pain wracks the target, dealing 12d4 mental damage and 6d4 persistant mental damage. On a successful save full initial damage is applied and the spell ends. On a failure the target takes full damage (initial and persistant), and in addition becomes sickened 1. The spell ends when the target is no longer sickened. Critical failure is same as failure but the target is sickened 2.</t>
  </si>
  <si>
    <t>Illusory pain wracks the target, dealing 14d4 mental damage and 7d4 persistant mental damage. On a successful save full initial damage is applied and the spell ends. On a failure the target takes full damage (initial and persistant), and in addition becomes sickened 1. The spell ends when the target is no longer sickened. Critical failure is same as failure but the target is sickened 2.</t>
  </si>
  <si>
    <t>Illusory pain wracks the target, dealing 16d4 mental damage and 8d4 persistant mental damage. On a successful save full initial damage is applied and the spell ends. On a failure the target takes full damage (initial and persistant), and in addition becomes sickened 1. The spell ends when the target is no longer sickened. Critical failure is same as failure but the target is sickened 2.</t>
  </si>
  <si>
    <t>Illusory pain wracks the target, dealing 18d4 mental damage and 9d4 persistant mental damage. On a successful save full initial damage is applied and the spell ends. On a failure the target takes full damage (initial and persistant), and in addition becomes sickened 1. The spell ends when the target is no longer sickened. Critical failure is same as failure but the target is sickened 2.</t>
  </si>
  <si>
    <t>Illusory pain wracks the target, dealing 20d4 mental damage and 10d4 persistant mental damage. On a successful save full initial damage is applied and the spell ends. On a failure the target takes full damage (initial and persistant), and in addition becomes sickened 1. The spell ends when the target is no longer sickened. Critical failure is same as failure but the target is sickened 2.</t>
  </si>
  <si>
    <t>Current Save Type:</t>
  </si>
  <si>
    <t>Pocket Library</t>
  </si>
  <si>
    <t>Fort</t>
  </si>
  <si>
    <t>24 hours</t>
  </si>
  <si>
    <t>By summing forth a collection of books you are able to gain a +1 status bonus on Recall Knowledge checks for a skill in which you are at least trained. You can not critically fail this check, and if the information was on a creature you gain additional information. Once you gain the spells benifits it ends.</t>
  </si>
  <si>
    <t>It can use up to two of its limbs as if they were hands to use manipulate actions.</t>
  </si>
  <si>
    <t>By summing forth a collection of books you are able to gain a +2 status bonus on Recall Knowledge checks for a skill in which you are at least trained. You can not critically fail this check, and if the information was on a creature you gain additional information. Once you gain the spells benifits twice it ends, and both checks must be the same skill.</t>
  </si>
  <si>
    <t>By summing forth a collection of books you are able to gain a +3 status bonus on Recall Knowledge checks for a skill in which you are at least trained. You can not critically fail this check, and if the information was on a creature you gain additional information. Once you gain the spells benifits three times it ends, and all checks must be the same skill.</t>
  </si>
  <si>
    <t>By summing forth a collection of books you are able to gain a +4 status bonus on Recall Knowledge checks for a skill in which you are at least trained. You can not critically fail this check, and if the information was on a creature you gain additional information. Once you gain the spells benifits four times it ends, and all checks must be the same skill.</t>
  </si>
  <si>
    <t>If your familiar would be reduced to 0 HP by damage, as a reaction (concentrate), you can take the damage instead. However, special effects still apply to your familiar.</t>
  </si>
  <si>
    <t>Protection</t>
  </si>
  <si>
    <t>Choose one type of save. It takes no damage when it succeeds at that type of save; this doesn’t prevent effects other than damage.</t>
  </si>
  <si>
    <t>Warding the target you grant them a +1 armor class and saving throws against one of the following alignments: Chaotic, Evil, Good, or Lawful. This bonus becomes a +3 against mind control and summoned creature's of the chosen alignment.</t>
  </si>
  <si>
    <t>Protector Tree</t>
  </si>
  <si>
    <t>A medium tree grows within an unoccupied square within range. It has an AC of 10 and HP of 10. If an ally is adjacent and takes damage the tree interposes its branches to take the damage first. Any additinal damage hits the original target. The tree is not large enough to impede movement through its square, and if it survives the spell's duration it continues to grow as a nonmagical tree.</t>
  </si>
  <si>
    <t>A medium tree grows within an unoccupied square within range. It has an AC of 10 and HP of 20. If an ally is adjacent and takes damage the tree interposes its branches to take the damage first. Any additinal damage hits the original target. The tree is not large enough to impede movement through its square, and if it survives the spell's duration it continues to grow as a nonmagical tree.</t>
  </si>
  <si>
    <t>A medium tree grows within an unoccupied square within range. It has an AC of 10 and HP of 30. If an ally is adjacent and takes damage the tree interposes its branches to take the damage first. Any additinal damage hits the original target. The tree is not large enough to impede movement through its square, and if it survives the spell's duration it continues to grow as a nonmagical tree.</t>
  </si>
  <si>
    <t>A medium tree grows within an unoccupied square within range. It has an AC of 10 and HP of 40. If an ally is adjacent and takes damage the tree interposes its branches to take the damage first. Any additinal damage hits the original target. The tree is not large enough to impede movement through its square, and if it survives the spell's duration it continues to grow as a nonmagical tree.</t>
  </si>
  <si>
    <t>A medium tree grows within an unoccupied square within range. It has an AC of 10 and HP of 50. If an ally is adjacent and takes damage the tree interposes its branches to take the damage first. Any additinal damage hits the original target. The tree is not large enough to impede movement through its square, and if it survives the spell's duration it continues to grow as a nonmagical tree.</t>
  </si>
  <si>
    <t>A medium tree grows within an unoccupied square within range. It has an AC of 10 and HP of 60. If an ally is adjacent and takes damage the tree interposes its branches to take the damage first. Any additinal damage hits the original target. The tree is not large enough to impede movement through its square, and if it survives the spell's duration it continues to grow as a nonmagical tree.</t>
  </si>
  <si>
    <t>A medium tree grows within an unoccupied square within range. It has an AC of 10 and HP of 70. If an ally is adjacent and takes damage the tree interposes its branches to take the damage first. Any additinal damage hits the original target. The tree is not large enough to impede movement through its square, and if it survives the spell's duration it continues to grow as a nonmagical tree.</t>
  </si>
  <si>
    <t>A medium tree grows within an unoccupied square within range. It has an AC of 10 and HP of 80. If an ally is adjacent and takes damage the tree interposes its branches to take the damage first. Any additinal damage hits the original target. The tree is not large enough to impede movement through its square, and if it survives the spell's duration it continues to grow as a nonmagical tree.</t>
  </si>
  <si>
    <t>A medium tree grows within an unoccupied square within range. It has an AC of 10 and HP of 90. If an ally is adjacent and takes damage the tree interposes its branches to take the damage first. Any additinal damage hits the original target. The tree is not large enough to impede movement through its square, and if it survives the spell's duration it continues to grow as a nonmagical tree.</t>
  </si>
  <si>
    <t>A medium tree grows within an unoccupied square within range. It has an AC of 10 and HP of 100. If an ally is adjacent and takes damage the tree interposes its branches to take the damage first. Any additinal damage hits the original target. The tree is not large enough to impede movement through its square, and if it survives the spell's duration it continues to grow as a nonmagical tree.</t>
  </si>
  <si>
    <t>Pummeling Rubble</t>
  </si>
  <si>
    <t>A spray of rubble deals 2d4 bludgeoning damage to each creature in the area. On a failed save the creature takes full damage and is pushed 5ft back. On a critical failure the creature takes double damage and is pushed 10ft away.</t>
  </si>
  <si>
    <t>A spray of rubble deals 4d4 bludgeoning damage to each creature in the area. On a failed save the creature takes full damage and is pushed 5ft back. On a critical failure the creature takes double damage and is pushed 10ft away.</t>
  </si>
  <si>
    <t>A spray of rubble deals 6d4 bludgeoning damage to each creature in the area. On a failed save the creature takes full damage and is pushed 5ft back. On a critical failure the creature takes double damage and is pushed 10ft away.</t>
  </si>
  <si>
    <t>A spray of rubble deals 8d4 bludgeoning damage to each creature in the area. On a failed save the creature takes full damage and is pushed 5ft back. On a critical failure the creature takes double damage and is pushed 10ft away.</t>
  </si>
  <si>
    <t>A spray of rubble deals 10d4 bludgeoning damage to each creature in the area. On a failed save the creature takes full damage and is pushed 5ft back. On a critical failure the creature takes double damage and is pushed 10ft away.</t>
  </si>
  <si>
    <t>A spray of rubble deals 12d4 bludgeoning damage to each creature in the area. On a failed save the creature takes full damage and is pushed 5ft back. On a critical failure the creature takes double damage and is pushed 10ft away.</t>
  </si>
  <si>
    <t>A spray of rubble deals 14d4 bludgeoning damage to each creature in the area. On a failed save the creature takes full damage and is pushed 5ft back. On a critical failure the creature takes double damage and is pushed 10ft away.</t>
  </si>
  <si>
    <t>A spray of rubble deals 16d4 bludgeoning damage to each creature in the area. On a failed save the creature takes full damage and is pushed 5ft back. On a critical failure the creature takes double damage and is pushed 10ft away.</t>
  </si>
  <si>
    <t>A spray of rubble deals 18d4 bludgeoning damage to each creature in the area. On a failed save the creature takes full damage and is pushed 5ft back. On a critical failure the creature takes double damage and is pushed 10ft away.</t>
  </si>
  <si>
    <t>A spray of rubble deals 20d4 bludgeoning damage to each creature in the area. On a failed save the creature takes full damage and is pushed 5ft back. On a critical failure the creature takes double damage and is pushed 10ft away.</t>
  </si>
  <si>
    <t>Purify Food and Drink</t>
  </si>
  <si>
    <t>1 cubic ft of food</t>
  </si>
  <si>
    <t>Removing toxins and contaminations from target food and drink, you make it safe to consume. This spell doesnt prevent rot, spoilage, or future contamination. One cubic foot of liquid is 8 gallons.</t>
  </si>
  <si>
    <t>Purifying Icicle</t>
  </si>
  <si>
    <t>Channeling life energy into a forming icicle you deal 2d6 piercing, 1d6 cold, and if the target is undead 1d4 positive. A critical hit also reduces the target's speed by 10ft,</t>
  </si>
  <si>
    <t>Damage Avoidance</t>
  </si>
  <si>
    <t>Channeling life energy into a forming icicle you deal 3d6 piercing, 2d6 cold, and if the target is undead 2d4 positive. A critical hit also reduces the target's speed by 10ft,</t>
  </si>
  <si>
    <t>Channeling life energy into a forming icicle you deal 4d6 piercing, 3d6 cold, and if the target is undead 3d4 positive. A critical hit also reduces the target's speed by 10ft,</t>
  </si>
  <si>
    <t>Channeling life energy into a forming icicle you deal 5d6 piercing, 4d6 cold, and if the target is undead 4d4 positive. A critical hit also reduces the target's speed by 10ft,</t>
  </si>
  <si>
    <t>Channeling life energy into a forming icicle you deal 6d6 piercing, 5d6 cold, and if the target is undead 5d4 positive. A critical hit also reduces the target's speed by 10ft,</t>
  </si>
  <si>
    <t>Channeling life energy into a forming icicle you deal 7d6 piercing, 6d6 cold, and if the target is undead 6d4 positive. A critical hit also reduces the target's speed by 10ft,</t>
  </si>
  <si>
    <t>Channeling life energy into a forming icicle you deal 8d6 piercing, 7d6 cold, and if the target is undead 7d4 positive. A critical hit also reduces the target's speed by 10ft,</t>
  </si>
  <si>
    <t>Channeling life energy into a forming icicle you deal 9d6 piercing, 8d6 cold, and if the target is undead 8d4 positive. A critical hit also reduces the target's speed by 10ft,</t>
  </si>
  <si>
    <t>Channeling life energy into a forming icicle you deal 10d6 piercing, 9d6 cold, and if the target is undead 9d4 positive. A critical hit also reduces the target's speed by 10ft,</t>
  </si>
  <si>
    <t>Channeling life energy into a forming icicle you deal 11d6 piercing, 10d6 cold, and if the target is undead 10d4 positive. A critical hit also reduces the target's speed by 10ft,</t>
  </si>
  <si>
    <t>Putrefy Food and Drink</t>
  </si>
  <si>
    <t>You cause otherwise edible foot to rot and spoil instantly, and water becomes brackish and undrinkable. Holy water, unholy water, and similar signifficant food and drink are also  corrupted until they were made by a god of corruption. This spell has no effect on potions. 1 cubic ft of water is 8 gallons.</t>
  </si>
  <si>
    <t>You cause otherwise edible foot to rot and spoil instantly, and water becomes brackish and undrinkable. Holy water, unholy water, and similar signifficant food and drink are also  corrupted until they were made by a god of corruption. Alchemical elixirs can attempt a counteract check, or be spoiled. 1 cubic ft of water is 8 gallons.</t>
  </si>
  <si>
    <t>You cause otherwise edible foot to rot and spoil instantly, and water becomes brackish and undrinkable. Holy water, unholy water, and similar signifficant food and drink are also  corrupted until they were made by a god of corruption. Any potion targeted can attempt a counteract check, or be spoiled. 1 cubic ft of water is 8 gallons.</t>
  </si>
  <si>
    <t>Manual Dexterity</t>
  </si>
  <si>
    <t>Quick Sort</t>
  </si>
  <si>
    <t>200 objects</t>
  </si>
  <si>
    <t>Magically sort a group of light bulk objects into stalks or piles. The objects can be sorted by physical characteristics such as color or shape, or by notions such as dates, titles, and page numbers. On average the spell sorts 30 objects a round.</t>
  </si>
  <si>
    <t>Magically sort a group of light bulk objects into stalks or piles. The objects can be sorted by physical characteristics such as color or shape, or by notions such as dates, titles, and page numbers. On average the spell sorts 60 objects a round, to a max of 400.</t>
  </si>
  <si>
    <t>Magically sort a group of light bulk objects into stalks or piles. The objects can be sorted by physical characteristics such as color or shape, or by notions such as dates, titles, and page numbers. On average the spell sorts 120 objects a round, to a max of 800.</t>
  </si>
  <si>
    <t>Lifelink</t>
  </si>
  <si>
    <t>Ray of Enfeeblement</t>
  </si>
  <si>
    <t>Attack / Fortitude</t>
  </si>
  <si>
    <t>A ray that saps the foe's strength. On hit the target is affected, on a critical hit the target treats its save as one degree worse. On a successful save the target is enfeebled 1. Failure for enfeebled 2. Critical failure for enfeebled 3.</t>
  </si>
  <si>
    <t>Restyle</t>
  </si>
  <si>
    <t>It gains darkvision.</t>
  </si>
  <si>
    <t>1 piece of clothing</t>
  </si>
  <si>
    <t>Without altering the material or purpose of a piece of clothing you can change it to better fit your aesthetic. The texture, color, pattern, and other small parts of its design can all be altered by this spell even if the leather cloak will always be a leather cloak. This spell does not change the quality or craftsmenship.</t>
  </si>
  <si>
    <t>Sanctuary</t>
  </si>
  <si>
    <t>It gains scent (imprecise, 30 feet).</t>
  </si>
  <si>
    <t>You ward the target from enemy attacks until the target makes a hostile action. Any creature attempting to attack the target must make a will save. On a critical success the spell ends. On a Success the attack and any other actions this round can target the affected creature. On a failure the action is wasted and cant make another attempt to attack the target this turn. Critical failure results in wasted action and cant make another attack for the duration.</t>
  </si>
  <si>
    <t>Schadenfreude</t>
  </si>
  <si>
    <t>After you critically fail a saving throw, the smuggness of the foe that targeted you is increased. On a successful save the target recieves a -1 to perception checks and will saves for 1 round. Failure results in target stupified 1 for 1 round. Critical failure makes the target stupified 2 for 1 round and stunned 1.</t>
  </si>
  <si>
    <r>
      <rPr>
        <rFont val="Verdana"/>
        <color theme="1"/>
        <sz val="9.0"/>
      </rPr>
      <t xml:space="preserve">You gain one additional spell slot at least 3 levels lower than your highest-level spell slot. 
</t>
    </r>
    <r>
      <rPr>
        <rFont val="Verdana"/>
        <color theme="1"/>
        <sz val="9.0"/>
        <u/>
      </rPr>
      <t>Requirements</t>
    </r>
    <r>
      <rPr>
        <rFont val="Verdana"/>
        <color theme="1"/>
        <sz val="9.0"/>
      </rPr>
      <t>: 4th-level spell slots.</t>
    </r>
  </si>
  <si>
    <t>Scouring Sand</t>
  </si>
  <si>
    <t>A blast of sand uproots plants smaller than a tree and blinds creatures. Counteract the entangle spell and other plant based effects and terrain, allowing removel to terrain plants using a single interact action. Any creature in the area must make a save, becomign dazzeled 1 on a failure until it spends an action getting sand out of its eyes. Critical failure results in the creature being blinded for its next action.</t>
  </si>
  <si>
    <t>A blast of sand uproots plants smaller than a tree and blinds creatures. Counteract the entangle spell and other plant based effects and terrain, allowing removel to terrain plants using a single interact action. Any creature in the area must make a save, becomign dazzeled 1 on a failure until it spends an action getting sand out of its eyes. Critical failure results in the creature being blinded for its next action. Move the spell area during sustain action.</t>
  </si>
  <si>
    <t>A blast of sand uproots plants smaller than a tree and blinds creatures with a 20ft radius. Counteract the entangle spell and other plant based effects and terrain, allowing removel to terrain plants using a single interact action. Any creature in the area must make a save, becomign dazzeled 1 on a failure until it spends an action getting sand out of its eyes. Critical failure results in the creature being blinded for its next action. Move the spell area during sustain action within 120ft.</t>
  </si>
  <si>
    <t>ACTIONS, REACTIONS, ACTIVITIES &amp; ADVANCED MANEUVER</t>
  </si>
  <si>
    <t>Seashell of Stolen Sound</t>
  </si>
  <si>
    <t>Darkvision</t>
  </si>
  <si>
    <t>F,V</t>
  </si>
  <si>
    <t>Single</t>
  </si>
  <si>
    <t>Presenting an unbroken seashell you are able to store the sounds of the target's surroundings for the next minute inside of the shell. The spell lasts a day but you can sustain the duration by recasting the spell. Once the sound in the shell is played the shell shatters.</t>
  </si>
  <si>
    <t>Share Lore</t>
  </si>
  <si>
    <t>Scent</t>
  </si>
  <si>
    <t>1min.</t>
  </si>
  <si>
    <t>-</t>
  </si>
  <si>
    <t>3 creatures</t>
  </si>
  <si>
    <t>Share knowledge with 3 targets. Choose a Lore skill in which you are trained, the targets become trained in the Lore for the duration.</t>
  </si>
  <si>
    <t>Share knowledge with upto 5 targets for an hour. Choose a Lore skill in which you are trained and the targets become trained in the Lore for the duration.</t>
  </si>
  <si>
    <t>Share knowledge with upto 5 targets for 8 hours. Choose 2 Lore skill in which you are trained and the targets become trained in the Lores for the duration.</t>
  </si>
  <si>
    <t>Shattering Gem</t>
  </si>
  <si>
    <t>Spell Battery</t>
  </si>
  <si>
    <t>Barding</t>
  </si>
  <si>
    <t>A large gem floats around the target, and has 5hp. For each stike against the target, the gem makes a DC 11 flat check, absorbing as much of the damage as possible on a success before any remaining damage hits the target. When the gem is reduced to 0hp it shatters and deals 1d8 slashing damage to the attacking creature if they are within 10ft.</t>
  </si>
  <si>
    <t>A large gem floats around the target, and has 10hp. For each stike against the target, the gem makes a DC 11 flat check, absorbing as much of the damage as possible on a success before any remaining damage hits the target. When the gem is reduced to 0hp it shatters and deals 2d8 slashing damage to the attacking creature if they are within 10ft.</t>
  </si>
  <si>
    <t>A large gem floats around the target, and has 15hp. For each stike against the target, the gem makes a DC 11 flat check, absorbing as much of the damage as possible on a success before any remaining damage hits the target. When the gem is reduced to 0hp it shatters and deals 3d8 slashing damage to the attacking creature if they are within 10ft.</t>
  </si>
  <si>
    <t>A large gem floats around the target, and has 20hp. For each stike against the target, the gem makes a DC 11 flat check, absorbing as much of the damage as possible on a success before any remaining damage hits the target. When the gem is reduced to 0hp it shatters and deals 4d8 slashing damage to the attacking creature if they are within 10ft.</t>
  </si>
  <si>
    <t>A large gem floats around the target, and has 25hp. For each stike against the target, the gem makes a DC 11 flat check, absorbing as much of the damage as possible on a success before any remaining damage hits the target. When the gem is reduced to 0hp it shatters and deals 5d8 slashing damage to the attacking creature if they are within 10ft.</t>
  </si>
  <si>
    <t>A large gem floats around the target, and has 30hp. For each stike against the target, the gem makes a DC 11 flat check, absorbing as much of the damage as possible on a success before any remaining damage hits the target. When the gem is reduced to 0hp it shatters and deals 6d8 slashing damage to the attacking creature if they are within 10ft.</t>
  </si>
  <si>
    <t>A large gem floats around the target, and has 35hp. For each stike against the target, the gem makes a DC 11 flat check, absorbing as much of the damage as possible on a success before any remaining damage hits the target. When the gem is reduced to 0hp it shatters and deals 7d8 slashing damage to the attacking creature if they are within 10ft.</t>
  </si>
  <si>
    <t>A large gem floats around the target, and has 40hp. For each stike against the target, the gem makes a DC 11 flat check, absorbing as much of the damage as possible on a success before any remaining damage hits the target. When the gem is reduced to 0hp it shatters and deals 8d8 slashing damage to the attacking creature if they are within 10ft.</t>
  </si>
  <si>
    <t>A large gem floats around the target, and has 45hp. For each stike against the target, the gem makes a DC 11 flat check, absorbing as much of the damage as possible on a success before any remaining damage hits the target. When the gem is reduced to 0hp it shatters and deals 9d8 slashing damage to the attacking creature if they are within 10ft.</t>
  </si>
  <si>
    <t>A large gem floats around the target, and has 50hp. For each stike against the target, the gem makes a DC 11 flat check, absorbing as much of the damage as possible on a success before any remaining damage hits the target. When the gem is reduced to 0hp it shatters and deals 10d8 slashing damage to the attacking creature if they are within 10ft.</t>
  </si>
  <si>
    <t>Shillelagh</t>
  </si>
  <si>
    <t>Club or Staff</t>
  </si>
  <si>
    <t>The target weapon grows leaves and vines and brims with primal energy. The target becomes a +1 striking weapon while in your hand, dealing an extra damage die with a +1 item bonus to attack rolls. Additionally as long as you are in your home plane any attacks you make against abberations, extraplanar creatures, and undead increase the damage die of the weapon to 3.</t>
  </si>
  <si>
    <t>Increase one of the familiar’s Speeds from 25 feet to 40 feet.</t>
  </si>
  <si>
    <t>Shocking Grasp</t>
  </si>
  <si>
    <t>It understands and speaks a language you know.</t>
  </si>
  <si>
    <t>With a han crackling with lightning, your target takes 2d12 electricity damage. If the target is wearing metal armor or is made of metal you gain a +1 circumstance to the attack and the target takes 1d4 persistant damage. Critical hits deal double initial damage, but not persistant.</t>
  </si>
  <si>
    <t>With a han crackling with lightning, your target takes 3d12 electricity damage. If the target is wearing metal armor or is made of metal you gain a +1 circumstance to the attack and the target takes 1d4+1 persistant damage. Critical hits deal double initial damage, but not persistant.</t>
  </si>
  <si>
    <t>With a han crackling with lightning, your target takes 4d12 electricity damage. If the target is wearing metal armor or is made of metal you gain a +1 circumstance to the attack and the target takes 1d4+2 persistant damage. Critical hits deal double initial damage, but not persistant.</t>
  </si>
  <si>
    <t>With a han crackling with lightning, your target takes 5d12 electricity damage. If the target is wearing metal armor or is made of metal you gain a +1 circumstance to the attack and the target takes 1d4+3 persistant damage. Critical hits deal double initial damage, but not persistant.</t>
  </si>
  <si>
    <t>With a han crackling with lightning, your target takes 6d12 electricity damage. If the target is wearing metal armor or is made of metal you gain a +1 circumstance to the attack and the target takes 1d4+4 persistant damage. Critical hits deal double initial damage, but not persistant.</t>
  </si>
  <si>
    <t>With a han crackling with lightning, your target takes 7d12 electricity damage. If the target is wearing metal armor or is made of metal you gain a +1 circumstance to the attack and the target takes 1d4+5 persistant damage. Critical hits deal double initial damage, but not persistant.</t>
  </si>
  <si>
    <t>With a han crackling with lightning, your target takes 8d12 electricity damage. If the target is wearing metal armor or is made of metal you gain a +1 circumstance to the attack and the target takes 1d4+6 persistant damage. Critical hits deal double initial damage, but not persistant.</t>
  </si>
  <si>
    <t>With a han crackling with lightning, your target takes 9d12 electricity damage. If the target is wearing metal armor or is made of metal you gain a +1 circumstance to the attack and the target takes 1d4+7 persistant damage. Critical hits deal double initial damage, but not persistant.</t>
  </si>
  <si>
    <t>With a han crackling with lightning, your target takes 10d12 electricity damage. If the target is wearing metal armor or is made of metal you gain a +1 circumstance to the attack and the target takes 1d4+8 persistant damage. Critical hits deal double initial damage, but not persistant.</t>
  </si>
  <si>
    <t>With a han crackling with lightning, your target takes 11d12 electricity damage. If the target is wearing metal armor or is made of metal you gain a +1 circumstance to the attack and the target takes 1d4+9 persistant damage. Critical hits deal double initial damage, but not persistant.</t>
  </si>
  <si>
    <r>
      <rPr>
        <rFont val="Verdana"/>
        <color theme="1"/>
        <sz val="9.0"/>
      </rPr>
      <t xml:space="preserve">You can transfer a cast spell to your familiar so they can deliver the spell. The familiar uses its 2 actions to move to a target and touch that target. 
</t>
    </r>
    <r>
      <rPr>
        <rFont val="Verdana"/>
        <color theme="1"/>
        <sz val="9.0"/>
        <u/>
      </rPr>
      <t>Requirements</t>
    </r>
    <r>
      <rPr>
        <rFont val="Verdana"/>
        <color theme="1"/>
        <sz val="9.0"/>
      </rPr>
      <t xml:space="preserve">: Same space, touch spell. </t>
    </r>
  </si>
  <si>
    <t>Shockwave</t>
  </si>
  <si>
    <t>A ripple of energy that forces all creatures in the area to make a save against stumbling and falling prone. On a success the creature is flat-footed until its next turn. On a failure the creature falls prone. On a critcial failure the creature falls prone and takes 1d6 damage.</t>
  </si>
  <si>
    <t>A ripple of energy that forces all creatures in the 20ft cone area to make a save against stumbling and falling prone. On a success the creature is flat-footed until its next turn. On a failure the creature falls prone. On a critcial failure the creature falls prone and takes 1d6 damage.</t>
  </si>
  <si>
    <t>A ripple of energy that forces all creatures in the 25ft cone area to make a save against stumbling and falling prone. On a success the creature is flat-footed until its next turn. On a failure the creature falls prone. On a critcial failure the creature falls prone and takes 1d6 damage.</t>
  </si>
  <si>
    <t>A ripple of energy that forces all creatures in the 30ft cone area to make a save against stumbling and falling prone. On a success the creature is flat-footed until its next turn. On a failure the creature falls prone. On a critcial failure the creature falls prone and takes 1d6 damage.</t>
  </si>
  <si>
    <t>A ripple of energy that forces all creatures in the 35ft cone area to make a save against stumbling and falling prone. On a success the creature is flat-footed until its next turn. On a failure the creature falls prone. On a critcial failure the creature falls prone and takes 1d6 damage.</t>
  </si>
  <si>
    <t>A ripple of energy that forces all creatures in the 40ft cone area to make a save against stumbling and falling prone. On a success the creature is flat-footed until its next turn. On a failure the creature falls prone. On a critcial failure the creature falls prone and takes 1d6 damage.</t>
  </si>
  <si>
    <t>A ripple of energy that forces all creatures in the 45ft cone area to make a save against stumbling and falling prone. On a success the creature is flat-footed until its next turn. On a failure the creature falls prone. On a critcial failure the creature falls prone and takes 1d6 damage.</t>
  </si>
  <si>
    <t>A ripple of energy that forces all creatures in the 50ft cone area to make a save against stumbling and falling prone. On a success the creature is flat-footed until its next turn. On a failure the creature falls prone. On a critcial failure the creature falls prone and takes 1d6 damage.</t>
  </si>
  <si>
    <t>A ripple of energy that forces all creatures in the 55ft cone area to make a save against stumbling and falling prone. On a success the creature is flat-footed until its next turn. On a failure the creature falls prone. On a critcial failure the creature falls prone and takes 1d6 damage.</t>
  </si>
  <si>
    <t>Inv</t>
  </si>
  <si>
    <t>A ripple of energy that forces all creatures in the 60ft cone area to make a save against stumbling and falling prone. On a success the creature is flat-footed until its next turn. On a failure the creature falls prone. On a critcial failure the creature falls prone and takes 1d6 damage.</t>
  </si>
  <si>
    <t>Sleep</t>
  </si>
  <si>
    <t>Fast Movement</t>
  </si>
  <si>
    <t>Each creature in the area becomes drowsy, but doesnt fall prone or release what it is holding. A successful perception check wakes it up automatically. On a successful save the creature has a -1 status penalty to perception checks for 1 round. On a failure the creature falls unconcious for upto one minute. Critical failure has a duration of 1 hour.</t>
  </si>
  <si>
    <t>Each creature in the area becomes drowsy. On a successful save the creature has a -1 status penalty to perception checks for 1 round. On a failure the creature falls unconcious for 1 round after which it can be awoken by another creature. Critical failure has a duration of 1 minute of magical sleep.</t>
  </si>
  <si>
    <t>Snowball</t>
  </si>
  <si>
    <t>Speech</t>
  </si>
  <si>
    <t>The magical ball of dense snow deals 2d4 cold damage on hit, and reducing the target's speed by 5ft for 1 round. Double damage and 10ft status penalty to its speed on a critical hit.</t>
  </si>
  <si>
    <t>The magical ball of dense snow deals 4d4 cold damage on hit, and reducing the target's speed by 5ft for 1 round. Double damage and 10ft status penalty to its speed on a critical hit.</t>
  </si>
  <si>
    <t>The magical ball of dense snow deals 6d4 cold damage on hit, and reducing the target's speed by 5ft for 1 round. Double damage and 10ft status penalty to its speed on a critical hit.</t>
  </si>
  <si>
    <t>The magical ball of dense snow deals 8d4 cold damage on hit, and reducing the target's speed by 5ft for 1 round. Double damage and 10ft status penalty to its speed on a critical hit.</t>
  </si>
  <si>
    <t>The magical ball of dense snow deals 10d4 cold damage on hit, and reducing the target's speed by 5ft for 1 round. Double damage and 10ft status penalty to its speed on a critical hit.</t>
  </si>
  <si>
    <t>The magical ball of dense snow deals 12d4 cold damage on hit, and reducing the target's speed by 5ft for 1 round. Double damage and 10ft status penalty to its speed on a critical hit.</t>
  </si>
  <si>
    <t>The magical ball of dense snow deals 14d4 cold damage on hit, and reducing the target's speed by 5ft for 1 round. Double damage and 10ft status penalty to its speed on a critical hit.</t>
  </si>
  <si>
    <t>The magical ball of dense snow deals 16d4 cold damage on hit, and reducing the target's speed by 5ft for 1 round. Double damage and 10ft status penalty to its speed on a critical hit.</t>
  </si>
  <si>
    <t>The magical ball of dense snow deals 18d4 cold damage on hit, and reducing the target's speed by 5ft for 1 round. Double damage and 10ft status penalty to its speed on a critical hit.</t>
  </si>
  <si>
    <t>The magical ball of dense snow deals 20d4 cold damage on hit, and reducing the target's speed by 5ft for 1 round. Double damage and 10ft status penalty to its speed on a critical hit.</t>
  </si>
  <si>
    <t>Soothe</t>
  </si>
  <si>
    <t>Spell Delivery</t>
  </si>
  <si>
    <t>A boost to a willing creatures mind, they regain 1d10+4 hit points instantly and gain a +2 status bonus against mental effects for the duration.</t>
  </si>
  <si>
    <t>A boost to a willing creatures mind, they regain 2d10+8 hit points instantly and gain a +2 status bonus against mental effects for the duration.</t>
  </si>
  <si>
    <t>A boost to a willing creatures mind, they regain 3d10+12 hit points instantly and gain a +2 status bonus against mental effects for the duration.</t>
  </si>
  <si>
    <t>A boost to a willing creatures mind, they regain 4d10+16 hit points instantly and gain a +2 status bonus against mental effects for the duration.</t>
  </si>
  <si>
    <t>A boost to a willing creatures mind, they regain 5d10+20 hit points instantly and gain a +2 status bonus against mental effects for the duration.</t>
  </si>
  <si>
    <t>A boost to a willing creatures mind, they regain 6d10+24 hit points instantly and gain a +2 status bonus against mental effects for the duration.</t>
  </si>
  <si>
    <t>A boost to a willing creatures mind, they regain 7d10+28 hit points instantly and gain a +2 status bonus against mental effects for the duration.</t>
  </si>
  <si>
    <t>A boost to a willing creatures mind, they regain 8d10+32 hit points instantly and gain a +2 status bonus against mental effects for the duration.</t>
  </si>
  <si>
    <t>A boost to a willing creatures mind, they regain 9d10+36 hit points instantly and gain a +2 status bonus against mental effects for the duration.</t>
  </si>
  <si>
    <t>A boost to a willing creatures mind, they regain 10d10+40 hit points instantly and gain a +2 status bonus against mental effects for the duration.</t>
  </si>
  <si>
    <t>Spider Sting</t>
  </si>
  <si>
    <t>4 rounds</t>
  </si>
  <si>
    <t>Magically create a spider's sting to deal 1d4 piercing damage to the creature. On a successful save they take 1d4 poison damage. On a failure the target is afflicted with spider venom stage 1. Critical failure results in stage 2. Spider venom: Lv 1 poison. Stage 1: 1d4 poison damage and enfeebled 1 (1 round). Stage 2: 1d4 poison damage enfeebled 2 (1 round).</t>
  </si>
  <si>
    <t>Spirit Link</t>
  </si>
  <si>
    <t>For the duration if the target is below max health they regain upto 2hp (max of 200hp) at the start of each of their turns, and you lose that much. This is a spiritual link so it does no other effects stack, it affects undead and living the same, and does not affect temp HP. During the duration you are not affected by fast healing or regenerating effects. The spell ends when you dismiss it or reach 0hp.</t>
  </si>
  <si>
    <t>For the duration if the target is below max health they regain upto 4hp (max of 400hp) at the start of each of their turns, and you lose that much. This is a spiritual link so it does no other effects stack, it affects undead and living the same, and does not affect temp HP. During the duration you are not affected by fast healing or regenerating effects. The spell ends when you dismiss it or reach 0hp.</t>
  </si>
  <si>
    <t>For the duration if the target is below max health they regain upto 6hp (max of 600hp) at the start of each of their turns, and you lose that much. This is a spiritual link so it does no other effects stack, it affects undead and living the same, and does not affect temp HP. During the duration you are not affected by fast healing or regenerating effects. The spell ends when you dismiss it or reach 0hp.</t>
  </si>
  <si>
    <t>For the duration if the target is below max health they regain upto 8hp (max of 800hp) at the start of each of their turns, and you lose that much. This is a spiritual link so it does no other effects stack, it affects undead and living the same, and does not affect temp HP. During the duration you are not affected by fast healing or regenerating effects. The spell ends when you dismiss it or reach 0hp.</t>
  </si>
  <si>
    <t>For the duration if the target is below max health they regain upto 10hp (max of 1000hp) at the start of each of their turns, and you lose that much. This is a spiritual link so it does no other effects stack, it affects undead and living the same, and does not affect temp HP. During the duration you are not affected by fast healing or regenerating effects. The spell ends when you dismiss it or reach 0hp.</t>
  </si>
  <si>
    <t>For the duration if the target is below max health they regain upto 12hp (max of 1200hp) at the start of each of their turns, and you lose that much. This is a spiritual link so it does no other effects stack, it affects undead and living the same, and does not affect temp HP. During the duration you are not affected by fast healing or regenerating effects. The spell ends when you dismiss it or reach 0hp.</t>
  </si>
  <si>
    <t>For the duration if the target is below max health they regain upto 14hp (max of 1400hp) at the start of each of their turns, and you lose that much. This is a spiritual link so it does no other effects stack, it affects undead and living the same, and does not affect temp HP. During the duration you are not affected by fast healing or regenerating effects. The spell ends when you dismiss it or reach 0hp.</t>
  </si>
  <si>
    <t>For the duration if the target is below max health they regain upto 16hp (max of 1600hp) at the start of each of their turns, and you lose that much. This is a spiritual link so it does no other effects stack, it affects undead and living the same, and does not affect temp HP. During the duration you are not affected by fast healing or regenerating effects. The spell ends when you dismiss it or reach 0hp.</t>
  </si>
  <si>
    <t>For the duration if the target is below max health they regain upto 18hp (max of 1800hp) at the start of each of their turns, and you lose that much. This is a spiritual link so it does no other effects stack, it affects undead and living the same, and does not affect temp HP. During the duration you are not affected by fast healing or regenerating effects. The spell ends when you dismiss it or reach 0hp.</t>
  </si>
  <si>
    <t>For the duration if the target is below max health they regain upto 20hp (max of 2000hp) at the start of each of their turns, and you lose that much. This is a spiritual link so it does no other effects stack, it affects undead and living the same, and does not affect temp HP. During the duration you are not affected by fast healing or regenerating effects. The spell ends when you dismiss it or reach 0hp.</t>
  </si>
  <si>
    <t>Summon Animal</t>
  </si>
  <si>
    <t>Summon a common creature whose level is -1 or below, and has the animal tag to fight for you.</t>
  </si>
  <si>
    <t>Summon a common creature whose level is 1 or below, and has the animal tag to fight for you.</t>
  </si>
  <si>
    <t>Summon a common creature whose level is 2 or below, and has the animal tag to fight for you.</t>
  </si>
  <si>
    <t>Summon a common creature whose level is 3 or below, and has the animal tag to fight for you.</t>
  </si>
  <si>
    <t>Summon a common creature whose level is 5 or below, and has the animal tag to fight for you.</t>
  </si>
  <si>
    <t>Summon a common creature whose level is 7 or below, and has the animal tag to fight for you.</t>
  </si>
  <si>
    <t>Summon a common creature whose level is 9 or below, and has the animal tag to fight for you.</t>
  </si>
  <si>
    <t>Summon a common creature whose level is 11 or below, and has the animal tag to fight for you.</t>
  </si>
  <si>
    <t>Summon a common creature whose level is 13 or below, and has the animal tag to fight for you.</t>
  </si>
  <si>
    <t>Summon a common creature whose level is 15 or below, and has the animal tag to fight for you.</t>
  </si>
  <si>
    <t>Summon Construct</t>
  </si>
  <si>
    <t>Summon a common creature whose level is -1 or below, and has the construct tag to fight for you.</t>
  </si>
  <si>
    <t>Summon a common creature whose level is 1 or below, and has the construct tag to fight for you.</t>
  </si>
  <si>
    <t>Summon a common creature whose level is 2 or below, and has the construct tag to fight for you.</t>
  </si>
  <si>
    <t>Summon a common creature whose level is 3 or below, and has the construct tag to fight for you.</t>
  </si>
  <si>
    <t>Summon a common creature whose level is 5 or below, and has the construct tag to fight for you.</t>
  </si>
  <si>
    <t>Summon a common creature whose level is 7 or below, and has the construct tag to fight for you.</t>
  </si>
  <si>
    <t>Summon a common creature whose level is 9 or below, and has the construct tag to fight for you.</t>
  </si>
  <si>
    <t>Summon a common creature whose level is 11 or below, and has the construct tag to fight for you.</t>
  </si>
  <si>
    <t>Summon a common creature whose level is 13 or below, and has the construct tag to fight for you.</t>
  </si>
  <si>
    <t>Summon a common creature whose level is 15 or below, and has the construct tag to fight for you.</t>
  </si>
  <si>
    <t>Summon Fey</t>
  </si>
  <si>
    <t>Summon a common creature whose level is -1 or below, and has the fey tag to fight for you.</t>
  </si>
  <si>
    <t>Summon a common creature whose level is 1 or below, and has the fey tag to fight for you.</t>
  </si>
  <si>
    <t>Summon a common creature whose level is 2 or below, and has the fey tag to fight for you.</t>
  </si>
  <si>
    <t>FAMILIAR ABILITIES - EXTENDED</t>
  </si>
  <si>
    <t>Summon a common creature whose level is 3 or below, and has the fey tag to fight for you.</t>
  </si>
  <si>
    <t>Summon a common creature whose level is 5 or below, and has the fey tag to fight for you.</t>
  </si>
  <si>
    <t>Summon a common creature whose level is 7 or below, and has the fey tag to fight for you.</t>
  </si>
  <si>
    <t>Summon a common creature whose level is 9 or below, and has the fey tag to fight for you.</t>
  </si>
  <si>
    <t>Summon a common creature whose level is 11 or below, and has the fey tag to fight for you.</t>
  </si>
  <si>
    <t>Summon a common creature whose level is 13 or below, and has the fey tag to fight for you.</t>
  </si>
  <si>
    <t>Summon a common creature whose level is 15 or below, and has the fey tag to fight for you.</t>
  </si>
  <si>
    <t>Summon Lesser Servitor</t>
  </si>
  <si>
    <t>Higher level summons are guarded by jeolous deities, but using this spell you can summon any rarity Celestial, Monitor, or Fiend whos level is -1. Magical animals from the outer sphere are possible subsitutes, but must be allowed by your diety.</t>
  </si>
  <si>
    <t>Higher level summons are guarded by jeolous deities, but using this spell you can summon any rarity Celestial, Monitor, or Fiend whos level is upto 1. Magical animals from the outer sphere are possible subsitutes, but must be allowed by your diety.</t>
  </si>
  <si>
    <t>Higher level summons are guarded by jeolous deities, but using this spell you can summon any rarity Celestial, Monitor, or Fiend whos level is upto 2. Magical animals from the outer sphere are possible subsitutes, but must be allowed by your diety.</t>
  </si>
  <si>
    <t>Higher level summons are guarded by jeolous deities, but using this spell you can summon any rarity Celestial, Monitor, or Fiend whos level is upto 3. Magical animals from the outer sphere are possible subsitutes, but must be allowed by your diety.</t>
  </si>
  <si>
    <t>Summon Plant or Fungus</t>
  </si>
  <si>
    <t>Summon a common creature whose level is -1 or below, and has the plant or fungus tags to fight for you.</t>
  </si>
  <si>
    <t>Summon a common creature whose level is 1 or below, and has the plant or fungus tags to fight for you.</t>
  </si>
  <si>
    <t>Summon a common creature whose level is 2 or below, and has the plant or fungus tags to fight for you.</t>
  </si>
  <si>
    <t>Summon a common creature whose level is 3 or below, and has the plant or fungus tags to fight for you.</t>
  </si>
  <si>
    <t>Summon a common creature whose level is 5 or below, and has the plant or fungus tags to fight for you.</t>
  </si>
  <si>
    <t>Summon a common creature whose level is 7 or below, and has the plant or fungus tags to fight for you.</t>
  </si>
  <si>
    <t>Summon a common creature whose level is 9 or below, and has the plant or fungus tags to fight for you.</t>
  </si>
  <si>
    <t>Summon a common creature whose level is 11 or below, and has the plant or fungus tags to fight for you.</t>
  </si>
  <si>
    <t>Summon a common creature whose level is 13 or below, and has theplant or fungus tags to fight for you.</t>
  </si>
  <si>
    <t>Swampcall</t>
  </si>
  <si>
    <t>Spirits turn the soil, turning the area into difficult terrain. Creature's in the area when the spell is cast make a save, sinking into the mud on a failure, taking a -10ft circumstance bonus to their speed and are flat footed until they leave the area or the end of their next turn. On a critical failure it is the same as failure but the speed penalty is -15ft.</t>
  </si>
  <si>
    <t>Spirits turn the soil, turning a 20ft burst area into difficult terrain within 60ft. Creature's in the area when the spell is cast make a save, sinking into the mud on a failure, taking a -10ft circumstance bonus to their speed and are flat footed until they leave the area or the end of their next turn. On a critical failure it is the same as failure but the speed penalty is -15ft.</t>
  </si>
  <si>
    <t>#171</t>
  </si>
  <si>
    <t>Synchronize</t>
  </si>
  <si>
    <t>MASTER ABILITIES -  ExTENDED</t>
  </si>
  <si>
    <t>Upto 5 allies</t>
  </si>
  <si>
    <t>You place a unique magical sigil 1 square inch in size on each target. You set the exact duration of the spell, after which the sigil will flash 3 times. Synchronize is percise to the second, but can be affected by different planes where time flows differently.</t>
  </si>
  <si>
    <t>You place a unique magical sigil 1 square inch in size on each target, upto 20. You set the exact duration of the spell, after which the sigil will flash 3 times. Synchronize is percise to the second, but can be affected by different planes where time flows differently.</t>
  </si>
  <si>
    <t>Synchronize Steps</t>
  </si>
  <si>
    <t>2 allies</t>
  </si>
  <si>
    <t>Linking the minds and steps of the targets, they are able to move in tandem. When one target either Steps or Strides other target can use a reaction to use the same action.</t>
  </si>
  <si>
    <t>Linking the minds and steps of upto 10 willing creatures, they are able to move in tandem. When one target either Steps or Strides other targets can use a reaction to use the same action.</t>
  </si>
  <si>
    <t>Temporary Tool</t>
  </si>
  <si>
    <t>Source:</t>
  </si>
  <si>
    <t>Conjuring a temporary simple tool, you can use it for a single activity before it dissapears. The tool is obviously conjured so can not be sold, and can not be a complex tool kit.</t>
  </si>
  <si>
    <t>Helping you preform, it grants a +1 to performance checks; +2 if you're a master in performance</t>
  </si>
  <si>
    <t>Teather</t>
  </si>
  <si>
    <t>Grand Bazaar</t>
  </si>
  <si>
    <t>Magical chains or other teathers bind the creature. They can attempt to escape, or break them (15 AC; 10hp). The spell only lasts if you are within 30ft. A successful save reduces target's speed by 5ft. A failure results in a 10ft circumstance penalty to speed until it escapes or the spell ends. Critical failure results in the target being Immobilized until the spell ends or they escape.</t>
  </si>
  <si>
    <t>Magical chains or other teathers bind the creature. They can attempt to escape, or break them (18 AC; 20hp). The spell only lasts if you are within 30ft. A successful save reduces target's speed by 5ft. A failure results in a 10ft circumstance penalty to speed until it escapes or the spell ends. Critical failure results in the target being Immobilized until the spell ends or they escape.</t>
  </si>
  <si>
    <t>Aid you in any Recall Knowledge Checks in any skills gained from the Skilled Ability, automatically succeeding the Aid check, and criting if you are a master in the skill.
Requirements: Skilled</t>
  </si>
  <si>
    <t>Magical chains or other teathers bind the creature. They can attempt to escape, or break them (21 AC; 30hp). The spell only lasts if you are within 30ft. A successful save reduces target's speed by 5ft. A failure results in a 10ft circumstance penalty to speed until it escapes or the spell ends. Critical failure results in the target being Immobilized until the spell ends or they escape.</t>
  </si>
  <si>
    <t>Magical chains or other teathers bind the creature. They can attempt to escape, or break them (24 AC; 40hp). The spell only lasts if you are within 30ft. A successful save reduces target's speed by 5ft. A failure results in a 10ft circumstance penalty to speed until it escapes or the spell ends. Critical failure results in the target being Immobilized until the spell ends or they escape.</t>
  </si>
  <si>
    <t>Magical chains or other teathers bind the creature. They can attempt to escape, or break them (28 AC; 50hp). The spell only lasts if you are within 30ft. A successful save reduces target's speed by 5ft. A failure results in a 10ft circumstance penalty to speed until it escapes or the spell ends. Critical failure results in the target being Immobilized until the spell ends or they escape.</t>
  </si>
  <si>
    <t>Magical chains or other teathers bind the creature. They can attempt to escape, or break them (31 AC; 60hp). The spell only lasts if you are within 30ft. A successful save reduces target's speed by 5ft. A failure results in a 10ft circumstance penalty to speed until it escapes or the spell ends. Critical failure results in the target being Immobilized until the spell ends or they escape.</t>
  </si>
  <si>
    <t>Magical chains or other teathers bind the creature. They can attempt to escape, or break them (34 AC; 70hp). The spell only lasts if you are within 30ft. A successful save reduces target's speed by 5ft. A failure results in a 10ft circumstance penalty to speed until it escapes or the spell ends. Critical failure results in the target being Immobilized until the spell ends or they escape.</t>
  </si>
  <si>
    <t>Magical chains or other teathers bind the creature. They can attempt to escape, or break them (37 AC; 80hp). The spell only lasts if you are within 30ft. A successful save reduces target's speed by 5ft. A failure results in a 10ft circumstance penalty to speed until it escapes or the spell ends. Critical failure results in the target being Immobilized until the spell ends or they escape.</t>
  </si>
  <si>
    <t>Magical chains or other teathers bind the creature. They can attempt to escape, or break them (40 AC; 90hp). The spell only lasts if you are within 30ft. A successful save reduces target's speed by 5ft. A failure results in a 10ft circumstance penalty to speed until it escapes or the spell ends. Critical failure results in the target being Immobilized until the spell ends or they escape.</t>
  </si>
  <si>
    <t>Magical chains or other teathers bind the creature. They can attempt to escape, or break them (43 AC; 100hp). The spell only lasts if you are within 30ft. A successful save reduces target's speed by 5ft. A failure results in a 10ft circumstance penalty to speed until it escapes or the spell ends. Critical failure results in the target being Immobilized until the spell ends or they escape.</t>
  </si>
  <si>
    <t>Thicket of Knives</t>
  </si>
  <si>
    <t>Once per day you can cast a focus spell from an ancestry feat you have already used that day. Otherwise cast the spell normally.</t>
  </si>
  <si>
    <t>Making numerous phantom compies of your weapon arm you hide your true movement. Gain a +2 status bonus to deception checks. If you are untrained in deception you can still use the Feint action, adding your level to your proficiency bonus as if you were trained.</t>
  </si>
  <si>
    <t>Thoughful Gift</t>
  </si>
  <si>
    <t>You teleport an object of upto light bulk from your hand where it instantly appears in the hand of the willing target. If they do not have a free hand to catch the object it will appear at their feet. The target knows what you are sending them. The spell fails if the target is unconcious, refuses the gift, or you attempt to send a live creature.</t>
  </si>
  <si>
    <t>You teleport an object of upto light bulk from your hand where it instantly appears in the hand of the willing target within 500ft. If they do not have a free hand to catch the object it will appear at their feet. The target knows what you are sending them. The spell fails if the target is unconcious, refuses the gift, or you attempt to send a live creature.</t>
  </si>
  <si>
    <t>You teleport an object of upto 1 bulk from your hand where it instantly appears in the hand of the willing target within 500ft. If they do not have a free hand the object it will appear at their feet. The target knows what you are sending them. The spell fails if the target is unconcious, refuses the gift, or you attempt to send a live creature. If you cast the spell using 3 actions the range is 1 mile and you do not need sight.</t>
  </si>
  <si>
    <t>True Strike</t>
  </si>
  <si>
    <t>A glimpse of the future ensures your next blow strikes true. For your next attack roll you roll twice and take the higher of the two before the spell ends. This attack ignores circumstance penalties to the attack roll and any flat check required due to the target being concealed or hidden.</t>
  </si>
  <si>
    <t>Accompanist</t>
  </si>
  <si>
    <t>NOTES (SENSES, SUPPORT BENEFIT, SPECIAL ABILITIES)</t>
  </si>
  <si>
    <t>Unseen Servant</t>
  </si>
  <si>
    <t>Sustained</t>
  </si>
  <si>
    <t>You summon an invisible servant who will serve you until they reach 0hp. The servent does not speak and has a +0 to perception. Stats are Str -4, Dex +2, Con +0, Int +0, Cha +0; AC 13, HP 4; Fort and Will are +0, Ref +4. Unseen servants have a fly speed of 30ft and immunities to: Disease, menatal, non-magical attacks, paralysis, poison, percision, and unconciousness. Resistances 5 to all damage (exept force and ghost damage)</t>
  </si>
  <si>
    <t>Second Opinion</t>
  </si>
  <si>
    <t>Ventriloquism</t>
  </si>
  <si>
    <t>Innate Surge</t>
  </si>
  <si>
    <t>You throw your voice to anywhere within range when you vocalize any sound. A creature who hears this can attempt to disbelieve your illusion.</t>
  </si>
  <si>
    <t>You throw you voice to anywhere within range when you vocalize any sound for 1 hour, changing the tone, quality, and other aspects of your voice. A creature who makes a perception check action can attempt to disbelieve your illusion.</t>
  </si>
  <si>
    <t>Verdant Sprout</t>
  </si>
  <si>
    <t>1 seed</t>
  </si>
  <si>
    <t>Imbuing a ordinary, inepensive plant seed with primal energy you expidite its growth. It sprouts into a medium sized plants after 10 minutes where it provides cover, difficult terrain, and enough nutritous nuts or fruit to feed 1 medium creature for a day. The plant's AC is 10, Hardness 5, and 20HP.</t>
  </si>
  <si>
    <t>Imbuing 2 ordinary, inepensive plant seeds with primal energy you expidite its growth. It sprouts into a medium sized plants after 10 minutes where it provides cover, difficult terrain, and enough nutritous nuts or fruit to feed 1 medium creature for a day. The plant's AC is 10, Hardness 5, and 20HP.</t>
  </si>
  <si>
    <t>Imbuing 3 ordinary, inepensive plant seeds with primal energy you expidite its growth. It sprouts into a medium sized plants after 10 minutes where it provides cover, difficult terrain, and enough nutritous nuts or fruit to feed 1 medium creature for a day. The plant's AC is 10, Hardness 5, and 20HP.</t>
  </si>
  <si>
    <t>Imbuing 4 ordinary, inepensive plant seeds with primal energy you expidite its growth. It sprouts into a medium sized plants after 10 minutes where it provides cover, difficult terrain, and enough nutritous nuts or fruit to feed 1 medium creature for a day. The plant's AC is 10, Hardness 5, and 20HP.</t>
  </si>
  <si>
    <t>Imbuing 5 ordinary, inepensive plant seeds with primal energy you expidite its growth. It sprouts into a medium sized plants after 10 minutes where it provides cover, difficult terrain, and enough nutritous nuts or fruit to feed 1 medium creature for a day. The plant's AC is 10, Hardness 5, and 20HP.</t>
  </si>
  <si>
    <t>Gains a reaction it can only use to help Aid in Making an Impression. It auto succeds this check, and crits if you are a master in the skill.</t>
  </si>
  <si>
    <t>Imbuing 6 ordinary, inepensive plant seeds with primal energy you expidite its growth. It sprouts into a medium sized plants after 10 minutes where it provides cover, difficult terrain, and enough nutritous nuts or fruit to feed 1 medium creature for a day. The plant's AC is 10, Hardness 5, and 20HP.</t>
  </si>
  <si>
    <t>Imbuing 7 ordinary, inepensive plant seeds with primal energy you expidite its growth. It sprouts into a medium sized plants after 10 minutes where it provides cover, difficult terrain, and enough nutritous nuts or fruit to feed 1 medium creature for a day. The plant's AC is 10, Hardness 5, and 20HP.</t>
  </si>
  <si>
    <t>Imbuing 8 ordinary, inepensive plant seeds with primal energy you expidite its growth. It sprouts into a medium sized plants after 10 minutes where it provides cover, difficult terrain, and enough nutritous nuts or fruit to feed 1 medium creature for a day. The plant's AC is 10, Hardness 5, and 20HP.</t>
  </si>
  <si>
    <t>Imbuing 9 ordinary, inepensive plant seeds with primal energy you expidite its growth. It sprouts into a medium sized plants after 10 minutes where it provides cover, difficult terrain, and enough nutritous nuts or fruit to feed 1 medium creature for a day. The plant's AC is 10, Hardness 5, and 20HP.</t>
  </si>
  <si>
    <t>Imbuing 10 ordinary, inepensive plant seeds with primal energy you expidite its growth. It sprouts into a medium sized plants after 10 minutes where it provides cover, difficult terrain, and enough nutritous nuts or fruit to feed 1 medium creature for a day. The plant's AC is 10, Hardness 5, and 20HP.</t>
  </si>
  <si>
    <t>Verminous Lure</t>
  </si>
  <si>
    <t>Skilled In:</t>
  </si>
  <si>
    <t>Tea Lore</t>
  </si>
  <si>
    <t>The target creature or object emits a musk that captivates certain animals. Tiny animals and animal sworms of any size must attempt a Will save. On a failure non-hostile animals / swarms try to touch the target. If hostile they will try to attack the target, if they are able to do so without spending additional actions or exposing themselves to additional danger. This spell does not change animal's attudes towards the target and is easily overridden by direct control like Command an Animal action.</t>
  </si>
  <si>
    <t>Once per day using a 3 action activity to teleport your familiar to your space as long as they are within 1 mile</t>
  </si>
  <si>
    <t>Acid Arrow</t>
  </si>
  <si>
    <t>Conjuring an arrow of acid you deal 3d8 acid damage on hit and 1d6 persistant acid damage. On a critical hit double in initial damage, but not the persistant damage.</t>
  </si>
  <si>
    <t>Conjuring an arrow of acid you deal 5d8 acid damage on hit and 2d6 persistant acid damage. On a critical hit double in initial damage, but not the persistant damage.</t>
  </si>
  <si>
    <t>Conjuring an arrow of acid you deal 7d8 acid damage on hit and 3d6 persistant acid damage. On a critical hit double in initial damage, but not the persistant damage.</t>
  </si>
  <si>
    <t>Conjuring an arrow of acid you deal 9d8 acid damage on hit and 4d6 persistant acid damage. On a critical hit double in initial damage, but not the persistant damage.</t>
  </si>
  <si>
    <t>Conjuring an arrow of acid you deal 11d8 acid damage on hit and 5d6 persistant acid damage. On a critical hit double in initial damage, but not the persistant damage.</t>
  </si>
  <si>
    <t>Animal Form</t>
  </si>
  <si>
    <t>Choose any skill other than Acrobatics or Stealth. Modifier is your level plus spellcasting mod.</t>
  </si>
  <si>
    <t>Medium animal; AC [16+lv]; 5 temp hp; low light vision, imprecise scent 30ft; +9 Athletics; 9 attacks (+1 unarmed damage): Bear - 30ft, Jaws (2d8 peirc), Claws (Agile, 1d8 slash); Deer - 50ft, Antler (2d6 pierc); Frog - 25ft (swim), Jaws (2d6 blud), Tongue (15ft, 2d4 bludg); Shark - Swim 35ft, Jaws (2d8 pierc); Snake - 20ft (climb, swim), Fang (2d4 pierc, 1d6 poison)</t>
  </si>
  <si>
    <t>Medium animal; AC [17+lv]; 10 temp hp; low light vision, imprecise scent 30ft; +14 Athletics; +14 attacks (+5 unarmed damage): Bear - 30ft, Jaws (2d8 peirc), Claws (Agile, 1d8 slash); Deer - 50ft, Antler (2d6 pierc); Frog - 25ft (swim), Jaws (2d6 blud), Tongue (15ft, 2d4 bludg); Shark - Swim 35ft, Jaws (2d8 pierc); Snake - 20ft (climb, swim), Fang (2d4 pierc, 1d6 poison)</t>
  </si>
  <si>
    <t>Large animal; AC [18+lv]; 15 temp hp; low light vision, imprecise scent 30ft; +16 Athletics; +16 attacks (+9 unarmed damage, 10ft reach): Bear - 30ft, Jaws (2d8 peirc), Claws (Agile, 1d8 slash); Deer - 50ft, Antler (2d6 pierc); Frog - 25ft (swim), Jaws (2d6 blud), Tongue (15ft, 2d4 bludg); Shark - Swim 35ft, Jaws (2d8 pierc); Snake - 20ft (climb, swim), Fang (2d4 pierc, 1d6 poison)</t>
  </si>
  <si>
    <t>Huge animal; AC [18+lv]; 20 temp hp; low light vision, imprecise scent 30ft; +20 Athletics; +18 attacks (+7 unarmed damage, 15ft reach): Bear - 30ft, Jaws (4d8 peirc), Claws (Agile, 2d8 slash); Deer - 50ft, Antler (4d6 pierc); Frog - 25ft (swim), Jaws (4d6 blud), Tongue (15ft, 4d4 bludg); Shark - Swim 35ft, Jaws (4d8 pierc); Snake - 20ft (climb, swim), Fang (4d4 pierc, 2d6 poison)</t>
  </si>
  <si>
    <t>Animal Messenger</t>
  </si>
  <si>
    <t>Tiny animal</t>
  </si>
  <si>
    <t>An offer of food to an animal allows you to imprint the image, direction, and distance of a place you know well. You can attach a letter or object upto light bulk to the animal to take to the location you describe, where it will hang out until the end of the spell's duration and allow anyone to approach and remove the object from.</t>
  </si>
  <si>
    <t>Ambassador</t>
  </si>
  <si>
    <t>Animated Assault</t>
  </si>
  <si>
    <t>Skilled</t>
  </si>
  <si>
    <t>Animating unattended objects in the area they hover in the air and hurl themselves at everyone in the area dealing 2d10 bludgeoning damage to each creature. On later following turns the objects only deal 1d10 bludgeoning when sustained.</t>
  </si>
  <si>
    <t>Animating unattended objects in the area they hover in the air and hurl themselves at everyone in the area dealing 4d10 bludgeoning damage to each creature. On later following turns the objects only deal 2d10 bludgeoning when sustained.</t>
  </si>
  <si>
    <t>Animating unattended objects in the area they hover in the air and hurl themselves at everyone in the area dealing 6d10 bludgeoning damage to each creature. On later following turns the objects only deal 3d10 bludgeoning when sustained.</t>
  </si>
  <si>
    <t>Animating unattended objects in the area they hover in the air and hurl themselves at everyone in the area dealing 8d10 bludgeoning damage to each creature. On later following turns the objects only deal 4d10 bludgeoning when sustained.</t>
  </si>
  <si>
    <t>Animating unattended objects in the area they hover in the air and hurl themselves at everyone in the area dealing 10d10 bludgeoning damage to each creature. On later following turns the objects only deal 5d10 bludgeoning when sustained.</t>
  </si>
  <si>
    <t>Animus Mine</t>
  </si>
  <si>
    <t>Recall Familiar</t>
  </si>
  <si>
    <t>You create a mental mine in your psyche that will detonate against anyone who attempts to manipulate your thoughts using magic, dealing 4d8 mental damage and ending the spell. You can spend 1 action to supress the mine for 1 round. On a failure target takes full damage and is stunned 1. Critical failure is double damage, stunned 1 and you are unaffected by the triggering mental effect.</t>
  </si>
  <si>
    <t>You create a mental mine in your psyche that will detonate against anyone who attempts to manipulate your thoughts using magic, dealing 5d8 mental damage and ending the spell. You can spend 1 action to supress the mine for 1 round. On a failure target takes full damage and is stunned 1.  Critical failure is double damage, stunned 1 and you are unaffected by the triggering mental effect.</t>
  </si>
  <si>
    <t>You create a mental mine in your psyche that will detonate against anyone who attempts to manipulate your thoughts using magic, dealing 6d8 mental damage and ending the spell. You can spend 1 action to supress the mine for 1 round. On a failure target takes full damage and is stunned 1.  Critical failure is double damage, stunned 1 and you are unaffected by the triggering mental effect.</t>
  </si>
  <si>
    <t>You create a mental mine in your psyche that will detonate against anyone who attempts to manipulate your thoughts using magic, dealing 7d8 mental damage and ending the spell. You can spend 1 action to supress the mine for 1 round. On a failure target takes full damage and is stunned 1.  Critical failure is double damage, stunned 1 and you are unaffected by the triggering mental effect.</t>
  </si>
  <si>
    <t>You create a mental mine in your psyche that will detonate against anyone who attempts to manipulate your thoughts using magic, dealing 8d8 mental damage and ending the spell. You can spend 1 action to supress the mine for 1 round. On a failure target takes full damage and is stunned 1.  Critical failure is double damage, stunned 1 and you are unaffected by the triggering mental effect.</t>
  </si>
  <si>
    <t>You create a mental mine in your psyche that will detonate against anyone who attempts to manipulate your thoughts using magic, dealing 9d8 mental damage and ending the spell. You can spend 1 action to supress the mine for 1 round. On a failure target takes full damage and is stunned 1. Critical failure is double damage, stunned 1 and you are unaffected by the triggering mental effect.</t>
  </si>
  <si>
    <t>You create a mental mine in your psyche that will detonate against anyone who attempts to manipulate your thoughts using magic, dealing 10d8 mental damage and ending the spell. You can spend 1 action to supress the mine for 1 round. On a failure target takes full damage and is stunned 1. Critical failure is double damage, stunned 1 and you are unaffected by the triggering mental effect.</t>
  </si>
  <si>
    <t>You create a mental mine in your psyche that will detonate against anyone who attempts to manipulate your thoughts using magic, dealing 11d8 mental damage and ending the spell. You can spend 1 action to supress the mine for 1 round. On a failure target takes full damage and is stunned 1. Critical failure is double damage, stunned 1 and you are unaffected by the triggering mental effect.</t>
  </si>
  <si>
    <t>It heals HP equal to your level any time you Refocus</t>
  </si>
  <si>
    <t>You create a mental mine in your psyche that will detonate against anyone who attempts to manipulate your thoughts using magic, dealing 12d8 mental damage and ending the spell. You can spend 1 action to supress the mine for 1 round. On a failure target takes full damage and is stunned 1. Critical failure is double damage, stunned 1 and you are unaffected by the triggering mental effect.</t>
  </si>
  <si>
    <t>Ash Cloud</t>
  </si>
  <si>
    <t>Can now aid you in any Gather Information Checks, automatically succeeding the check, and criting if you are a master in the skill.</t>
  </si>
  <si>
    <t>A cloud of hot ash deals 2d4 fire damage to creatures that start their turn in the cloud as it enter's their lungs. For flying creatures this is difficult terrain, and creatures cant sense anything using their sense of smell. Failure results in full damage and the target is dazzeled for 1 round. Critical failure  takes double damage and is blinded for 1 round.</t>
  </si>
  <si>
    <t>A cloud of hot ash deals 3d4 fire damage to creatures that start their turn in the cloud as it enter's their lungs. For flying creatures this is difficult terrain, and creatures cant sense anything using their sense of smell. Failure results in full damage and the target is dazzeled for 1 round. Critical failure  takes double damage and is blinded for 1 round.</t>
  </si>
  <si>
    <t>A cloud of hot ash deals 4d4 fire damage to creatures that start their turn in the cloud as it enter's their lungs. For flying creatures this is difficult terrain, and creatures cant sense anything using their sense of smell. Failure results in full damage and the target is dazzeled for 1 round. Critical failure  takes double damage and is blinded for 1 round.</t>
  </si>
  <si>
    <t>A cloud of hot ash deals 5d4 fire damage to creatures that start their turn in the cloud as it enter's their lungs. For flying creatures this is difficult terrain, and creatures cant sense anything using their sense of smell. Failure results in full damage and the target is dazzeled for 1 round. Critical failure  takes double damage and is blinded for 1 round.</t>
  </si>
  <si>
    <t>A cloud of hot ash deals 6d4 fire damage to creatures that start their turn in the cloud as it enter's their lungs. For flying creatures this is difficult terrain, and creatures cant sense anything using their sense of smell. Failure results in full damage and the target is dazzeled for 1 round. Critical failure  takes double damage and is blinded for 1 round.</t>
  </si>
  <si>
    <t>A cloud of hot ash deals 7d4 fire damage to creatures that start their turn in the cloud as it enter's their lungs. For flying creatures this is difficult terrain, and creatures cant sense anything using their sense of smell. Failure results in full damage and the target is dazzeled for 1 round. Critical failure  takes double damage and is blinded for 1 round.</t>
  </si>
  <si>
    <t>A cloud of hot ash deals 8d4 fire damage to creatures that start their turn in the cloud as it enter's their lungs. For flying creatures this is difficult terrain, and creatures cant sense anything using their sense of smell. Failure results in full damage and the target is dazzeled for 1 round. Critical failure  takes double damage and is blinded for 1 round.</t>
  </si>
  <si>
    <t>As long as they are within your space, your familiar can spend 2 actions to heal you once per day. Heal 1d8 times half your level.</t>
  </si>
  <si>
    <t>A cloud of hot ash deals 9d4 fire damage to creatures that start their turn in the cloud as it enter's their lungs. For flying creatures this is difficult terrain, and creatures cant sense anything using their sense of smell. Failure results in full damage and the target is dazzeled for 1 round. Critical failure  takes double damage and is blinded for 1 round.</t>
  </si>
  <si>
    <t>A cloud of hot ash deals 10d4 fire damage to creatures that start their turn in the cloud as it enter's their lungs. For flying creatures this is difficult terrain, and creatures cant sense anything using their sense of smell. Failure results in full damage and the target is dazzeled for 1 round. Critical failure  takes double damage and is blinded for 1 round.</t>
  </si>
  <si>
    <t>Augury</t>
  </si>
  <si>
    <t>A glimpse of the future predicts the outcome of a course of action you take within the next 30min, to the DMs best guess. The possible outcomes are Weal (good), Woe (bad), Weal and Woe (mix), or Nothing (neither / middling). When casting DM rolls a secret DC 6 flat check that if failed will always result in the "Nothing" result, even if a second casting of this spell is provided asking about the same event.</t>
  </si>
  <si>
    <t>Barkskin</t>
  </si>
  <si>
    <t>Covering the target's skin in bark they gain resistance 4 to bludgeoning and piercing damage, and weakness 6 to fire. After taking fire damage the target can dismiss the spell as a free action; this doesnt reduce the triggering fire damage.</t>
  </si>
  <si>
    <t>Covering the target's skin in bark they gain resistance 2 to bludgeoning and piercing damage, and weakness 3 to fire. After taking fire damage the target can dismiss the spell as a free action; this doesnt reduce the triggering fire damage.</t>
  </si>
  <si>
    <t>Covering the target's skin in bark they gain resistance 6 to bludgeoning and piercing damage, and weakness 9 to fire. After taking fire damage the target can dismiss the spell as a free action; this doesnt reduce the triggering fire damage.</t>
  </si>
  <si>
    <t>Focused Rejuvenation</t>
  </si>
  <si>
    <t>Covering the target's skin in bark they gain resistance 8 to bludgeoning and piercing damage, and weakness 12 to fire. After taking fire damage the target can dismiss the spell as a free action; this doesnt reduce the triggering fire damage.</t>
  </si>
  <si>
    <t>Covering the target's skin in bark they gain resistance 10 to bludgeoning and piercing damage, and weakness 15 to fire. After taking fire damage the target can dismiss the spell as a free action; this doesnt reduce the triggering fire damage.</t>
  </si>
  <si>
    <t>Befitting Attire</t>
  </si>
  <si>
    <t>5 allies</t>
  </si>
  <si>
    <t>You cloak the targets in illusiary attire that automatically fit the occasion you hold in your mind, adjusted for each person individually. A creature that touches the illusion can use the Seek action to examine and Disbelieve the illusion.</t>
  </si>
  <si>
    <t>Snoop</t>
  </si>
  <si>
    <t>You cloak upto 20 targets in illusiary attire that automatically fit the occasion you hold in your mind, adjusted for each person individually. A creature that touches the illusion can use the Seek action to examine and Disbelieve the illusion.</t>
  </si>
  <si>
    <t>You cloak upto 100 targets in illusiary attire that automatically fit the occasion you hold in your mind, adjusted for each person individually. A creature that touches the illusion can use the Seek action to examine and Disbelieve the illusion.</t>
  </si>
  <si>
    <t>Blistering Invective</t>
  </si>
  <si>
    <t>Restorative Familiar</t>
  </si>
  <si>
    <t>Your insults become so devistating they set fire to your target, dealing 2d6 persistance fire damage. Targets that dont share a language have a +4 bonus to their save. Successful save results in half persistant fire damage. Failure has full damage and the target becomes frightened 1. Critical failure has double persistant damage and frightened 2.</t>
  </si>
  <si>
    <t>Your insults become so devistating they set fire to upto 3 targets, dealing 4d6 persistance fire damage. Targets that dont share a language have a +4 bonus to their save. Successful save results in half persistant fire damage. Failure has full damage and the target becomes frightened 1. Critical failure has double persistant damage and frightened 2.</t>
  </si>
  <si>
    <t>Your insults become so devistating they set fire to upto 5 targets, dealing 6d6 persistance fire damage. Targets that dont share a language have a +4 bonus to their save. Successful save results in half persistant fire damage. Failure has full damage and the target becomes frightened 1. Critical failure has double persistant damage and frightened 2.</t>
  </si>
  <si>
    <t>Your insults become so devistating they set fire to upto 7 targets, dealing 8d6 persistance fire damage. Targets that dont share a language have a +4 bonus to their save. Successful save results in half persistant fire damage. Failure has full damage and the target becomes frightened 1. Critical failure has double persistant damage and frightened 2.</t>
  </si>
  <si>
    <t>Your insults become so devistating they set fire to upto 9 targets, dealing 10d6 persistance fire damage. Targets that dont share a language have a +4 bonus to their save. Successful save results in half persistant fire damage. Failure has full damage and the target becomes frightened 1. Critical failure has double persistant damage and frightened 2.</t>
  </si>
  <si>
    <t>Blood Vendetta</t>
  </si>
  <si>
    <t>It can now breath underwater in addition to normal air</t>
  </si>
  <si>
    <t>Triggering target</t>
  </si>
  <si>
    <t>After a creature spills your blood with a peircing, slashing or persistant bleed damage you curse them with 2d6 persistant bleed damage. On a successful save target takes half persistant damage. Failure results in full bleed damage, and until it stops the target has weakness 1 to peircing and slashing damage. Critical failure is same as failure, but the target takes double persistant bleed damage.</t>
  </si>
  <si>
    <t>After a creature spills your blood with a peircing, slashing or persistant bleed damage you curse them with 4d6 persistant bleed damage. On a successful save target takes half persistant damage. Failure results in full bleed damage, and until it stops the target has weakness 1 to peircing and slashing damage. Critical failure is same as failure, but the target takes double persistant bleed damage.</t>
  </si>
  <si>
    <t>After a creature spills your blood with a peircing, slashing or persistant bleed damage you curse them with 6d6 persistant bleed damage. On a successful save target takes half persistant damage. Failure results in full bleed damage, and until it stops the target has weakness 1 to peircing and slashing damage. Critical failure is same as failure, but the target takes double persistant bleed damage.</t>
  </si>
  <si>
    <t>Known Spell:</t>
  </si>
  <si>
    <t>After a creature spills your blood with a peircing, slashing or persistant bleed damage you curse them with 8d6 persistant bleed damage. On a successful save target takes half persistant damage. Failure results in full bleed damage, and until it stops the target has weakness 1 to peircing and slashing damage. Critical failure is same as failure, but the target takes double persistant bleed damage.</t>
  </si>
  <si>
    <t>After a creature spills your blood with a peircing, slashing or persistant bleed damage you curse them with 10d6 persistant bleed damage. On a successful save target takes half persistant damage. Failure results in full bleed damage, and until it stops the target has weakness 1 to peircing and slashing damage. Critical failure is same as failure, but the target takes double persistant bleed damage.</t>
  </si>
  <si>
    <t>Blur</t>
  </si>
  <si>
    <t>Percieve all sense's from your familiar instead of your own for upto the next minute. Recharges after 10 minutes.</t>
  </si>
  <si>
    <t>The target's form blurs, and becomes concealed. As this spell does not conceal the target's location the target can not use this concealment to hide or sneak.</t>
  </si>
  <si>
    <t>Bone Spray</t>
  </si>
  <si>
    <t>Select a spell you prepared that is at least 5 levels lower than your highest slot, it is able to cast this spell once per day
Requirements: Can cast 6th level spells</t>
  </si>
  <si>
    <t>A torrent of jagged bone shards shatter outward, dealing 2d10 piercing damage and 1 perrsistant bleed damage to all creatures in the area.</t>
  </si>
  <si>
    <t>A torrent of jagged bone shards shatter outward, dealing 3d10 piercing damage and 1 perrsistant bleed damage to all creatures in the area.</t>
  </si>
  <si>
    <t>A torrent of jagged bone shards shatter outward, dealing 4d10 piercing damage and 1 perrsistant bleed damage to all creatures in the area.</t>
  </si>
  <si>
    <t>A torrent of jagged bone shards shatter outward, dealing 5d10 piercing damage and 1 perrsistant bleed damage to all creatures in the area.</t>
  </si>
  <si>
    <t>A torrent of jagged bone shards shatter outward, dealing 6d10 piercing damage and 1 perrsistant bleed damage to all creatures in the area.</t>
  </si>
  <si>
    <t>A torrent of jagged bone shards shatter outward, dealing 7d10 piercing damage and 1 perrsistant bleed damage to all creatures in the area.</t>
  </si>
  <si>
    <t>A torrent of jagged bone shards shatter outward, dealing 8d10 piercing damage and 1 perrsistant bleed damage to all creatures in the area.</t>
  </si>
  <si>
    <t>A torrent of jagged bone shards shatter outward, dealing 9d10 piercing damage and 1 perrsistant bleed damage to all creatures in the area.</t>
  </si>
  <si>
    <t>A torrent of jagged bone shards shatter outward, dealing 10d10 piercing damage and 1 perrsistant bleed damage to all creatures in the area.</t>
  </si>
  <si>
    <t>#176</t>
  </si>
  <si>
    <t>Boneshaker</t>
  </si>
  <si>
    <t>1 boney creature</t>
  </si>
  <si>
    <t>Seizing the target by its skeleton you can spend 2 actions to deal 3d8 bludgeoning damage (or 3 actions to add forced movement that it can avoid by falling prone). On a successful save the target takes half damaged (and is moved 5ft). On a failure target takes full damage and is enfeebled 1 (and is moved 15ft). Critical failures result in double damage, enfeebled 2 (and you can move the target upto 25ft and then knock it prone)</t>
  </si>
  <si>
    <t>Gills</t>
  </si>
  <si>
    <t>Seizing the target by its skeleton you can spend 2 actions to deal 6d8 bludgeoning damage (or 3 actions to add forced movement that it can avoid by falling prone). On a successful save the target takes half damaged (and is moved 5ft). On a failure target takes full damage and is enfeebled 1 (and is moved 15ft). Critical failures result in double damage, enfeebled 2 (and you can move the target upto 25ft and then knock it prone)</t>
  </si>
  <si>
    <t>Seizing the target by its skeleton you can spend 2 actions to deal 9d8 bludgeoning damage (or 3 actions to add forced movement that it can avoid by falling prone). On a successful save the target takes half damaged (and is moved 5ft). On a failure target takes full damage and is enfeebled 1 (and is moved 15ft). Critical failures result in double damage, enfeebled 2 (and you can move the target upto 25ft and then knock it prone)</t>
  </si>
  <si>
    <t>Seizing the target by its skeleton you can spend 2 actions to deal 12d8 bludgeoning damage (or 3 actions to add forced movement that it can avoid by falling prone). On a successful save the target takes half damaged (and is moved 5ft). On a failure target takes full damage and is enfeebled 1 (and is moved 15ft). Critical failures result in double damage, enfeebled 2 (and you can move the target upto 25ft and then knock it prone)</t>
  </si>
  <si>
    <t>Seizing the target by its skeleton you can spend 2 actions to deal 15d8 bludgeoning damage (or 3 actions to add forced movement that it can avoid by falling prone). On a successful save the target takes half damaged (and is moved 5ft). On a failure target takes full damage and is enfeebled 1 (and is moved 15ft). Critical failures result in double damage, enfeebled 2 (and you can move the target upto 25ft and then knock it prone)</t>
  </si>
  <si>
    <t>Brand the Impenitent</t>
  </si>
  <si>
    <t>Spellcasting</t>
  </si>
  <si>
    <t>You brand the target with your diety's holy symbol as long as the diety is not good aligned. Only those of your faith can see this holy symbol, allowing them to ignore the target's concealed condition and grant a -1 status penalty to the target's AC. On a successful save the spell lasts for 1 round. On a failure the spell lasts for 1 minute. On a critical fail the spell has an unlimited diration.</t>
  </si>
  <si>
    <t>Share Sense</t>
  </si>
  <si>
    <t>Breath of Drought</t>
  </si>
  <si>
    <t>You create an area of heat exhaustion. Creatures in the area when it is cast are affected, just as those who end their turn in the area. Water based creatures and plants are 1 degree of success worse, while moisture-less creatures are immune. On a failed save the target is sickened 1. On a critical failure the creature is sickened 2.</t>
  </si>
  <si>
    <t>You create an area of heat exhaustion you can move while Sustaining. Creatures in the area when it is cast are affected, just as those who end their turn in the area. Water based creatures and plants are 1 degree of success worse, while moisture-less creatures are immune. On a failed save the target is sickened 1. On a critical failure the creature is sickened 2.</t>
  </si>
  <si>
    <t>You create a 20ft burst of heat exhaustion within 120ft you can move while Sustaining. Creatures in the area when it is cast are affected, just as those who end their turn in the area. Water based creatures and plants are 1 degree of success worse, while moisture-less creatures are immune. On a failed save the target is sickened 1. On a critical failure the creature is sickened 2.</t>
  </si>
  <si>
    <t>Calm Emotions</t>
  </si>
  <si>
    <r>
      <rPr>
        <rFont val="Verdana"/>
        <color theme="1"/>
        <sz val="9.0"/>
      </rPr>
      <t xml:space="preserve">The resistance gained from the Resistance trait is now 3 + half your level
</t>
    </r>
    <r>
      <rPr>
        <rFont val="Verdana"/>
        <color theme="1"/>
        <sz val="9.0"/>
        <u/>
      </rPr>
      <t>Requirements</t>
    </r>
    <r>
      <rPr>
        <rFont val="Verdana"/>
        <color theme="1"/>
        <sz val="9.0"/>
      </rPr>
      <t>: Resistance</t>
    </r>
  </si>
  <si>
    <t>You forcibly calm all creatures in the area, soothing them into a nonviolent state. On a successful save the affected creature has a -1 status penalty to their attack rolls. On a failure the creature has all emotions suppressed and can not take hostile actions until another creature takes a hostile action against them. Critical failure is same as failure, only hostile actions against the creature do not end the spell early.</t>
  </si>
  <si>
    <t>Can now assist in Demoralize Checks if it is within 30ft by removing the -4 penalty for not sharing a language with the target.</t>
  </si>
  <si>
    <t>Charitable Urge</t>
  </si>
  <si>
    <t>It becomes a tattoo on you. It is not affected by AoE and creatures must know it is a creature to target it (DC 20). In this form it can empathically communicate and takes 1 minute to change</t>
  </si>
  <si>
    <t>With the virtue of charity you compell the target to give away its possessions. On a Successful save the target is stunned 1. Failure: the target giving up one of its posessions to the nearest creature at the start of its turn using an interact action; if the target only has its weapon it is stunned 1 instead. Critical failure: same as failure but the duration is 4 rounds, with a Will save at the end of each turn to reduce duration by 1 round.</t>
  </si>
  <si>
    <t>Clawsong</t>
  </si>
  <si>
    <t>1 Ally with claws</t>
  </si>
  <si>
    <t>With a song you awaken the ancient spirits to give the target's claw attacks the verisitile (Piercing) trait, and now deal 1d6 slashing damage. If the claws already deal 1d6 damage they instead upgrade to 1d8, or gain the trait Deadly 1d8 if it already does 1d8.</t>
  </si>
  <si>
    <t>With a song you awaken the ancient spirits to give upto 6 targets' claw attacks the verisitile (Piercing) trait, and now deal 1d6 slashing damage. If the claws already deal 1d6 damage they instead upgrade to 1d8, or gain the trait Deadly 1d8 if it already does 1d8.</t>
  </si>
  <si>
    <t>Comprehend Language</t>
  </si>
  <si>
    <t>Greater Resistance</t>
  </si>
  <si>
    <t>The target is able to understand the meaning of a single language. This spell does not let the target understand codes, language couched metaphors or the like.</t>
  </si>
  <si>
    <t>The target is able to understand the meaning of a single language and speak it. This spell does not let the target understand codes, language couched metaphors or the like.</t>
  </si>
  <si>
    <t>Upto 10 targets are able to understand the meaning of a single language and speak it. This spell does not let the target understand codes, language couched metaphors or the like.</t>
  </si>
  <si>
    <t>Continual Flame</t>
  </si>
  <si>
    <t xml:space="preserve">Using 6gp of ruby dust you create a magical flame as bright as a torch to spring up from the object. The flame doesnt need oxygen, react to water, or generate heat. </t>
  </si>
  <si>
    <t xml:space="preserve">Using 16gp of ruby dust you create a magical flame as bright as a torch to spring up from the object. The flame doesnt need oxygen, react to water, or generate heat. </t>
  </si>
  <si>
    <t xml:space="preserve">Using 30gp of ruby dust you create a magical flame as bright as a torch to spring up from the object. The flame doesnt need oxygen, react to water, or generate heat. </t>
  </si>
  <si>
    <t xml:space="preserve">Using 60gp of ruby dust you create a magical flame as bright as a torch to spring up from the object. The flame doesnt need oxygen, react to water, or generate heat. </t>
  </si>
  <si>
    <t>Threat Display</t>
  </si>
  <si>
    <t xml:space="preserve">Using 120gp of ruby dust you create a magical flame as bright as a torch to spring up from the object. The flame doesnt need oxygen, react to water, or generate heat. </t>
  </si>
  <si>
    <t xml:space="preserve">Using 270gp of ruby dust you create a magical flame as bright as a torch to spring up from the object. The flame doesnt need oxygen, react to water, or generate heat. </t>
  </si>
  <si>
    <t xml:space="preserve">Using 540gp of ruby dust you create a magical flame as bright as a torch to spring up from the object. The flame doesnt need oxygen, react to water, or generate heat. </t>
  </si>
  <si>
    <t xml:space="preserve">Using 1350gp of ruby dust you create a magical flame as bright as a torch to spring up from the object. The flame doesnt need oxygen, react to water, or generate heat. </t>
  </si>
  <si>
    <t xml:space="preserve">Using 3350gp of ruby dust you create a magical flame as bright as a torch to spring up from the object. The flame doesnt need oxygen, react to water, or generate heat. </t>
  </si>
  <si>
    <t>Create Food</t>
  </si>
  <si>
    <t>TattooTransformation</t>
  </si>
  <si>
    <t>You create enough bland food to feed six medium creatures for a day. Small creatures eat one quarter as much as a medium creature, while tiny creatures eat 1/16th. Most large creatures eat 10 times as much as a medium creature, while huge eat 100 times.</t>
  </si>
  <si>
    <t>You create enough bland food to feed 12 medium creatures for a day. Small creatures eat one quarter as much as a medium creature, while tiny creatures eat 1/16th. Most large creatures eat 10 times as much as a medium creature, while huge eat 100 times.</t>
  </si>
  <si>
    <t>You create enough bland food to feed 50 medium creatures for a day. Small creatures eat one quarter as much as a medium creature, while tiny creatures eat 1/16th. Most large creatures eat 10 times as much as a medium creature, while huge eat 100 times.</t>
  </si>
  <si>
    <t>You create enough bland food to feed 200 medium creatures for a day. Small creatures eat one quarter as much as a medium creature, while tiny creatures eat 1/16th. Most large creatures eat 10 times as much as a medium creature, while huge eat 100 times.</t>
  </si>
  <si>
    <t>Dancing Shield</t>
  </si>
  <si>
    <t>1 ally + shield</t>
  </si>
  <si>
    <t>If you do not give a command to your familiar it is still capable of taking 1 action while in combat.</t>
  </si>
  <si>
    <t>You levitate the shield you can touch and have it orbit a nearby ally. On casting and when Sustaining the spell the shield uses the Raise a shield action to protect the target creature.</t>
  </si>
  <si>
    <t>You levitate the shield you can touch and have it orbit a nearby ally. On casting and when Sustaining the spell the shield uses the Raise a shield action to protect the target creature. If you have the Shield Block reaction you can use your reaction to protect the target of this spell.</t>
  </si>
  <si>
    <t>Darkness</t>
  </si>
  <si>
    <t>Carrying a set of tools upto 1 light bulk and passing them off as needed. You can now store or retrieve tools as apart of the same action to use them.</t>
  </si>
  <si>
    <t>A shroud of darkness appears that prevents light from existing in its radious. Non magical light and magical light sources of the 2nd level or lower are supressed while in the area and do not produce any light, even if their light radious would extend into the darkness. Since light cant pass through creatures inside of the area cant see outside.</t>
  </si>
  <si>
    <t>A shroud of darkness appears that prevents light from existing in its radious. Non magical light and magical light sources of the 3rd level or lower are supressed while in the area and do not produce any light, even if their light radious would extend into the darkness. Since light cant pass through creatures inside of the area cant see outside.</t>
  </si>
  <si>
    <t>A shroud of darkness appears that prevents light from existing in its radious. Non magical light and magical light sources of the 4th level or lower are supressed while in the area and do not produce any light, even if their light radious would extend into the darkness. Since light cant pass through creatures inside of the area cant see outside. Creatures with standard darkvision can not see well, the area counts as concealed to them.</t>
  </si>
  <si>
    <t>A shroud of darkness appears that prevents light from existing in its radious. Non magical light and magical light sources of the 5th level or lower are supressed while in the area and do not produce any light, even if their light radious would extend into the darkness. Since light cant pass through creatures inside of the area cant see outside. Creatures with standard darkvision can not see well, the area counts as concealed to them.</t>
  </si>
  <si>
    <t>A shroud of darkness appears that prevents light from existing in its radious. Non magical light and magical light sources of the 6th level or lower are supressed while in the area and do not produce any light, even if their light radious would extend into the darkness. Since light cant pass through creatures inside of the area cant see outside. Creatures with standard darkvision can not see well, the area counts as concealed to them.</t>
  </si>
  <si>
    <t>A shroud of darkness appears that prevents light from existing in its radious. Non magical light and magical light sources of the 7th level or lower are supressed while in the area and do not produce any light, even if their light radious would extend into the darkness. Since light cant pass through creatures inside of the area cant see outside. Creatures with standard darkvision can not see well, the area counts as concealed to them.</t>
  </si>
  <si>
    <t>A shroud of darkness appears that prevents light from existing in its radious. Non magical light and magical light sources of the 8th level or lower are supressed while in the area and do not produce any light, even if their light radious would extend into the darkness. Since light cant pass through creatures inside of the area cant see outside. Creatures with standard darkvision can not see well, the area counts as concealed to them.</t>
  </si>
  <si>
    <t>A shroud of darkness appears that prevents light from existing in its radious. Non magical light and magical light sources of the 9th level or lower are supressed while in the area and do not produce any light, even if their light radious would extend into the darkness. Since light cant pass through creatures inside of the area cant see outside. Creatures with standard darkvision can not see well, the area counts as concealed to them.</t>
  </si>
  <si>
    <t>A shroud of darkness appears that prevents light from existing in its radious. Non magical light and magical light sources of the 10th level or lower are supressed while in the area and do not produce any light, even if their light radious would extend into the darkness. Since light cant pass through creatures inside of the area cant see outside. Creatures with standard darkvision can not see well, the area counts as concealed to them.</t>
  </si>
  <si>
    <t>You grant yourself supernatural sight in areas of darkness, graining darkvision.</t>
  </si>
  <si>
    <t>You grant a single willing creature supernatural sight in areas of darkness, graining darkvision.</t>
  </si>
  <si>
    <t>You grant a single willing creature supernatural sight in areas of darkness, graining darkvision until the next daily preperations.</t>
  </si>
  <si>
    <t>Deafness</t>
  </si>
  <si>
    <t>Indepedent</t>
  </si>
  <si>
    <t>The target loses its hearing, after which it becomes immune to the spell for 1 minute. On a successful save the target is deafened for 1 round. On failure the target is deafened for 10 minutes. On a critical failure the target is deafened permanently.</t>
  </si>
  <si>
    <t>Death Knell</t>
  </si>
  <si>
    <t>1 0hp creature</t>
  </si>
  <si>
    <t>Toolbearer</t>
  </si>
  <si>
    <t>By snuffing out the life of a creature on the brink of death, you gain 10 temp HP and a +1 status bonus for the duration. The spell only works if the target dies from the casting of this spell. On a successful save the target's dying value increased by 1. On a failure the target dies outright.</t>
  </si>
  <si>
    <t>Dismantle</t>
  </si>
  <si>
    <t>With a touch you dissasemble a non-magical item of 1 bulk or less. The object gains the broken condition, and its component pieces are small enough to be hidden under normal clothing, but the spell fails if the object lacks smaller pieces (such as a stone). When the spell ends the object reassembles itself back into its original form, appearing in a free hand. You can dismiss the spell.</t>
  </si>
  <si>
    <t>With a touch you dissasemble a non-magical item of 1 bulk or less for 10 minutes. The object gains the broken condition, and its component pieces are small enough to be hidden under normal clothing, but the spell fails if the object lacks smaller pieces (such as a stone). When the spell ends the object reassembles itself back into its original form, appearing in a free hand. You can dismiss the spell.</t>
  </si>
  <si>
    <t>With a touch you dissasemble a non-magical item of 1 bulk or less for 1 day. The object gains the broken condition, and its component pieces are small enough to be hidden under normal clothing, but the spell fails if the object lacks smaller pieces (such as a stone). When the spell ends the object reassembles itself back into its original form, appearing in a free hand. You can dismiss the spell.</t>
  </si>
  <si>
    <t>Dispel Magic</t>
  </si>
  <si>
    <r>
      <rPr>
        <rFont val="Verdana"/>
        <color theme="1"/>
        <sz val="9.0"/>
      </rPr>
      <t xml:space="preserve">The resistance gained from the Resistance trait is now 3 + your level
</t>
    </r>
    <r>
      <rPr>
        <rFont val="Verdana"/>
        <color theme="1"/>
        <sz val="9.0"/>
        <u/>
      </rPr>
      <t>Requirements</t>
    </r>
    <r>
      <rPr>
        <rFont val="Verdana"/>
        <color theme="1"/>
        <sz val="9.0"/>
      </rPr>
      <t>: Greater Resistance; Level 8</t>
    </r>
  </si>
  <si>
    <t>1 magical effect</t>
  </si>
  <si>
    <t>Counteract</t>
  </si>
  <si>
    <t>By unravelling the magic behind a spell or effect you end the spell or turn a magical item mundane for 10 minutes. If the target is a artifact or similar item the spell fails.</t>
  </si>
  <si>
    <t>If touching can communicate with you via telepthy. If the familiar has Speech ability telepethy can be used on any creatures with a shared language.</t>
  </si>
  <si>
    <t>Elemental Zone</t>
  </si>
  <si>
    <t>You imbue an area with one of the elements (air/storm, water, earth, or fire), granting all simular element spells a +2 to their damage type to targets in the spell's area. This damage is halved if the spell doesnt use a spell slot (such as cantrips, focus spells, or innate spells).</t>
  </si>
  <si>
    <t>You imbue an area with one of the elements (air/storm, water, earth, or fire), granting all simular element spells a +3 to their damage type to targets in the spell's area. This damage is halved if the spell doesnt use a spell slot (such as cantrips, focus spells, or innate spells).</t>
  </si>
  <si>
    <t>You imbue an area with one of the elements (air/storm, water, earth, or fire), granting all simular element spells a +4 to their damage type to targets in the spell's area. This damage is halved if the spell doesnt use a spell slot (such as cantrips, focus spells, or innate spells).</t>
  </si>
  <si>
    <t>You imbue an area with one of the elements (air/storm, water, earth, or fire), granting all simular element spells a +5 to their damage type to targets in the spell's area. This damage is halved if the spell doesnt use a spell slot (such as cantrips, focus spells, or innate spells).</t>
  </si>
  <si>
    <t>You imbue an area with one of the elements (air/storm, water, earth, or fire), granting all simular element spells a +6 to their damage type to targets in the spell's area. This damage is halved if the spell doesnt use a spell slot (such as cantrips, focus spells, or innate spells).</t>
  </si>
  <si>
    <t>Empathic Link</t>
  </si>
  <si>
    <t>By forging a bond between you and the target you can feel each other's emotions and communicate empathetically for a distance of 1 mile.</t>
  </si>
  <si>
    <t>By forging a bond between you and the upto 4 targets. You can feel each other's emotions and communicate empathetically for a distance of 1 mile for the next 8 hours.</t>
  </si>
  <si>
    <t>Major Resistance</t>
  </si>
  <si>
    <t>Empty Pack</t>
  </si>
  <si>
    <t>1 container</t>
  </si>
  <si>
    <t>You render the contents of a container completely invisible if the bag is of 2 bulk or less. The items do not reduce in weight, can still make noise, but do not fall out if the container is turned upside down. Any creature reaching into the container can make to Find an Item, turning the item from undetected to hidden on a success. Any object removed from the bag turns visible even if returned to the bag.</t>
  </si>
  <si>
    <t>You render the contents of a container completely invisible if the bag is of 2 bulk or less until the next daily preperations. The items do not reduce in weight, can still make noise, but do not fall out if the container is turned upside down. Any creature reaching into the container can make to Find an Item, turning the item from undetected to hidden on a success. Any object removed from the bag turns visible even if returned to the bag.</t>
  </si>
  <si>
    <t>Touch Telepathy</t>
  </si>
  <si>
    <t>Endure Elements</t>
  </si>
  <si>
    <t>Daily prep</t>
  </si>
  <si>
    <t>You shield the target against dangerious temeratures, choosing severe cold or heat to protect the target from. This spell does not protect against extreme tempature.</t>
  </si>
  <si>
    <t>You shield the target against dangerious temeratures, protecting against severe cold and heat. This spell does not protect against extreme tempature.</t>
  </si>
  <si>
    <t>You shield the target against dangerious temeratures, protecting against severe and extreme cold and heat.</t>
  </si>
  <si>
    <t>Enhance Victuals</t>
  </si>
  <si>
    <t>Food</t>
  </si>
  <si>
    <r>
      <rPr>
        <rFont val="Verdana"/>
        <color theme="1"/>
        <sz val="9.0"/>
      </rPr>
      <t xml:space="preserve">It can take the form of your ancestry; modeled to match its own age, gender, and build with a distinct feature from its true form. Similar to Humanoid Form spell.
</t>
    </r>
    <r>
      <rPr>
        <rFont val="Verdana"/>
        <color theme="1"/>
        <sz val="9.0"/>
        <u/>
      </rPr>
      <t>Requirements</t>
    </r>
    <r>
      <rPr>
        <rFont val="Verdana"/>
        <color theme="1"/>
        <sz val="9.0"/>
      </rPr>
      <t>: Manual Dexterity, Speech abilities</t>
    </r>
  </si>
  <si>
    <t>You transform 1 gallon of water into wine or 5Ib of food into a gourmet treat. During the transformation the spell attempts to counteract any poisons, which stay counteracted even when the spell ends.</t>
  </si>
  <si>
    <t>You transform 2 gallon of water into wine or 10Ib of food into a gourmet treat. During the transformation the spell attempts to counteract any poisons, which stay counteracted even when the spell ends.</t>
  </si>
  <si>
    <t>You transform 3 gallon of water into wine or 15Ib of food into a gourmet treat. During the transformation the spell attempts to counteract any poisons, which stay counteracted even when the spell ends.</t>
  </si>
  <si>
    <t>You transform 4 gallon of water into wine or 20Ib of food into a gourmet treat. During the transformation the spell attempts to counteract any poisons, which stay counteracted even when the spell ends.</t>
  </si>
  <si>
    <t>You transform 5 gallon of water into wine or 25Ib of food into a gourmet treat. During the transformation the spell attempts to counteract any poisons, which stay counteracted even when the spell ends.</t>
  </si>
  <si>
    <t>You transform 6 gallon of water into wine or 30Ib of food into a gourmet treat. During the transformation the spell attempts to counteract any poisons, which stay counteracted even when the spell ends.</t>
  </si>
  <si>
    <t>You transform 7 gallon of water into wine or 35Ib of food into a gourmet treat. During the transformation the spell attempts to counteract any poisons, which stay counteracted even when the spell ends.</t>
  </si>
  <si>
    <t>You transform 8 gallon of water into wine or 40Ib of food into a gourmet treat. During the transformation the spell attempts to counteract any poisons, which stay counteracted even when the spell ends.</t>
  </si>
  <si>
    <t>You transform 9 gallon of water into wine or 45Ib of food into a gourmet treat. During the transformation the spell attempts to counteract any poisons, which stay counteracted even when the spell ends.</t>
  </si>
  <si>
    <t>Increase max HP by 2 for every level.</t>
  </si>
  <si>
    <t>Enlarge</t>
  </si>
  <si>
    <t>5 min</t>
  </si>
  <si>
    <t>Bolstered by magical power the target grows to size Large with its equipment. The creature is clumsy 1, its reach increases by 5ft, and gains a +2 status bonus to melee damage.</t>
  </si>
  <si>
    <t>Bolstered by magical power the target grows to size Huge with its equipment. The creature is clumsy 1, its reach increases by 10ft, and gains a +4 status bonus to melee damage.</t>
  </si>
  <si>
    <t>Bolstered by magical power upto 10 target grows to size upto Huge with their equipment. The creature is clumsy 1, its reach increases by 5 or 10ft, and gains a +2 or +4 status bonus to melee damage.</t>
  </si>
  <si>
    <t>Entangle</t>
  </si>
  <si>
    <t>All plants in the area become difficult terrain as they entangle creatures in the area. The creature makes a save, taking a -10ft speed penalty on a failure and is immobilized for 1 round on a critical failure. It can spend an action to attempt to Escape.</t>
  </si>
  <si>
    <t>Master's Form</t>
  </si>
  <si>
    <t>Erase Trail</t>
  </si>
  <si>
    <t>40ft burst</t>
  </si>
  <si>
    <t>You remove the tracks of a specific creature's passage. The DC to locate the tracks in the area gain a +4 status bonus or become your DC if that would be higher. This spell doesnt repair damage, ressurect slain creatures, remove objects left behind, affect the space outside of the area, or prevent the creature from making new tracks.</t>
  </si>
  <si>
    <t>Tough</t>
  </si>
  <si>
    <t>You remove the tracks of upto 2 creature's passage in a 60ft burst, with a range of 200ft. The DC to locate the tracks in the area gain a +4 status bonus or become your DC if that would be higher. This spell doesnt repair damage, ressurect slain creatures, remove objects left behind, affect the space outside of the area, or prevent the creature from making new tracks.</t>
  </si>
  <si>
    <t>You remove the tracks of upto 3 creature's passage in a 80ft burst, with a range of 300ft. The DC to locate the tracks in the area gain a +4 status bonus or become your DC if that would be higher. This spell doesnt repair damage, ressurect slain creatures, remove objects left behind, affect the space outside of the area, or prevent the creature from making new tracks.</t>
  </si>
  <si>
    <t>You remove the tracks of upto 4 creature's passage in a 100ft burst, with a range of 400ft. The DC to locate the tracks in the area gain a +4 status bonus or become your DC if that would be higher. This spell doesnt repair damage, ressurect slain creatures, remove objects left behind, affect the space outside of the area, or prevent the creature from making new tracks.</t>
  </si>
  <si>
    <t>You remove the tracks of upto 5 creature's passage in a 120ft burst, with a range of 500ft. The DC to locate the tracks in the area gain a +4 status bonus or become your DC if that would be higher. This spell doesnt repair damage, ressurect slain creatures, remove objects left behind, affect the space outside of the area, or prevent the creature from making new tracks.</t>
  </si>
  <si>
    <t>Expeditious Excavation</t>
  </si>
  <si>
    <t>5ft cube of dirt</t>
  </si>
  <si>
    <t>You remove a 5ft cube of dirt, forcing any creature standing above it to make a save or fall. On a successful save they can choose to enter the pit or stand next to it not taking any damage. On a failure they fall prone diving out of the way or into the pit. On a critical failure the creature falls prone and takes fall damage.</t>
  </si>
  <si>
    <t>Can now aid you in any Deception or Thievery Checks, automatically succeeding the check, and criting if you are a master in the skill.</t>
  </si>
  <si>
    <t>You remove 2 5ft cubes of dirt, forcing any creature standing above it to make a save or fall. On a successful save they can choose to enter the pit or stand next to it not taking any damage. On a failure they fall prone diving out of the way or into the pit. On a critical failure the creature falls prone and takes fall damage.</t>
  </si>
  <si>
    <t>You remove 3 5ft cubes of dirt, forcing any creature standing above it to make a save or fall. On a successful save they can choose to enter the pit or stand next to it not taking any damage. On a failure they fall prone diving out of the way or into the pit. On a critical failure the creature falls prone and takes fall damage.</t>
  </si>
  <si>
    <t>You remove 4 5ft cubes of dirt, forcing any creature standing above it to make a save or fall. A large creature must have all 4 squares dug out benieth them to fall. On a successful save they can choose to enter the pit or stand next to it not taking any damage. On a failure they fall prone diving out of the way or into the pit. On a critical failure the creature falls prone and takes fall damage.</t>
  </si>
  <si>
    <t>You remove 5 5ft cubes of dirt, forcing any creature standing above it to make a save or fall. A large creature must have all 4 squares dug out benieth them to fall. On a successful save they can choose to enter the pit or stand next to it not taking any damage. On a failure they fall prone diving out of the way or into the pit. On a critical failure the creature falls prone and takes fall damage.</t>
  </si>
  <si>
    <t>Extract Poison</t>
  </si>
  <si>
    <t>Gains Imprecise Tremorsense with a range of 30ft</t>
  </si>
  <si>
    <t>1 poisoned object</t>
  </si>
  <si>
    <t>With the lightest touch you siphon poison from an object for later use. Attempt a Counteract check against one poison you are aware of. On a success the target poison is neutralized in the object and transfer its potency to a weapon you are holding. Your next strike with the weapon deals an additional 1d6 poison damage per level of the original poison.</t>
  </si>
  <si>
    <t>Faerie Fire</t>
  </si>
  <si>
    <t>You ignite all creatures in the area with heatless fire of color of your choice. Visible creatures cant be concealed while affected by this spell, while Invisible creatures become concealed rather than undetected.</t>
  </si>
  <si>
    <t>False Life</t>
  </si>
  <si>
    <t>FORMULA BOOK</t>
  </si>
  <si>
    <t>Partner in Crime</t>
  </si>
  <si>
    <t>A reservoir of necromantc vitality grants you 6 [+Spell Casting Mod] temporary HP.</t>
  </si>
  <si>
    <t>A reservoir of necromantc vitality grants you 9 [+Spell Casting Mod] temporary HP.</t>
  </si>
  <si>
    <t>A reservoir of necromantc vitality grants you 12 [+Spell Casting Mod] temporary HP.</t>
  </si>
  <si>
    <t>A reservoir of necromantc vitality grants you 15 [+Spell Casting Mod] temporary HP.</t>
  </si>
  <si>
    <t>A reservoir of necromantc vitality grants you 18 [+Spell Casting Mod] temporary HP.</t>
  </si>
  <si>
    <t>A reservoir of necromantc vitality grants you 21 [+Spell Casting Mod] temporary HP.</t>
  </si>
  <si>
    <t>A reservoir of necromantc vitality grants you 24 [+Spell Casting Mod] temporary HP.</t>
  </si>
  <si>
    <t>A reservoir of necromantc vitality grants you 27 [+Spell Casting Mod] temporary HP.</t>
  </si>
  <si>
    <t>A reservoir of necromantc vitality grants you 30 [+Spell Casting Mod] temporary HP.</t>
  </si>
  <si>
    <t>Fear The Sun</t>
  </si>
  <si>
    <t>Tremorsense</t>
  </si>
  <si>
    <t>You force a creature's vision to become sensitive to light, after which they become immune to this spell for 1 minute. On a successful save the creature becomes dazzeled for 1 round. On a Failure the target is dazzled for 1 minute. On a Critical Failure the target has Light Blindness for 1 minute; resulting in the blinded and dazzeled conditions.</t>
  </si>
  <si>
    <t>You force 10 creatures' vision to become sensitive to light, after which they become immune to this spell for 1 minute. On a successful save the creature becomes dazzeled for 1 round. On a Failure the target is dazzled for 1 minute. On a Critical Failure the target has Light Blindness for 1 minute; resulting in the blinded and dazzeled conditions.</t>
  </si>
  <si>
    <t>#172</t>
  </si>
  <si>
    <t>Feast of Ashes</t>
  </si>
  <si>
    <t>It changes to become a tiny plant similar to its true form as if it has cast Tree Shape.</t>
  </si>
  <si>
    <t>1 living creature</t>
  </si>
  <si>
    <t>1 week</t>
  </si>
  <si>
    <t>The target has a hunger no food can sate. On the Critical Success the target is immune for 1 hour. On a Success the target is fatiqued for 1 round. Failure results in the target starving, they become fatigued and take 1d4 starvation damage each day as no food will sate them. Critical failure results in 2d4 starvation damage each day.</t>
  </si>
  <si>
    <t>The target has a hunger no food can sate. On the Critical Success the target is immune for 1 hour. On a Success the target is fatiqued for 1 round. Failure results in the target starving, they become fatigued and take 2d4 starvation damage each day as no food will sate them. Critical failure results in 4d4 starvation damage each day.</t>
  </si>
  <si>
    <t>The target has a hunger no food can sate. On the Critical Success the target is immune for 1 hour. On a Success the target is fatiqued for 1 round. Failure results in the target starving, they become fatigued and take 3d4 starvation damage each day as no food will sate them. Critical failure results in 6d4 starvation damage each day.</t>
  </si>
  <si>
    <t>The target has a hunger no food can sate. On the Critical Success the target is immune for 1 hour. On a Success the target is fatiqued for 1 round. Failure results in the target starving, they become fatigued and take 4d4 starvation damage each day as no food will sate them. Critical failure results in 8d4 starvation damage each day.</t>
  </si>
  <si>
    <t>The target has a hunger no food can sate. On the Critical Success the target is immune for 1 hour. On a Success the target is fatiqued for 1 round. Failure results in the target starving, they become fatigued and take 5d4 starvation damage each day as no food will sate them. Critical failure results in 10d4 starvation damage each day.</t>
  </si>
  <si>
    <t>The target has a hunger no food can sate. On the Critical Success the target is immune for 1 hour. On a Success the target is fatiqued for 1 round. Failure results in the target starving, they become fatigued and take 6d4 starvation damage each day as no food will sate them. Critical failure results in 12d4 starvation damage each day.</t>
  </si>
  <si>
    <t>Gains the ability to interact and retrieve an item of light or less bulk you are wearing and supply it to your free hand. This costs one action so can be done upto twice in a round.</t>
  </si>
  <si>
    <t>The target has a hunger no food can sate. On the Critical Success the target is immune for 1 hour. On a Success the target is fatiqued for 1 round. Failure results in the target starving, they become fatigued and take 7d4 starvation damage each day as no food will sate them. Critical failure results in 14d4 starvation damage each day.</t>
  </si>
  <si>
    <t>The target has a hunger no food can sate. On the Critical Success the target is immune for 1 hour. On a Success the target is fatiqued for 1 round. Failure results in the target starving, they become fatigued and take 8d4 starvation damage each day as no food will sate them. Critical failure results in 16d4 starvation damage each day.</t>
  </si>
  <si>
    <t>The target has a hunger no food can sate. On the Critical Success the target is immune for 1 hour. On a Success the target is fatiqued for 1 round. Failure results in the target starving, they become fatigued and take 9d4 starvation damage each day as no food will sate them. Critical failure results in 18d4 starvation damage each day.</t>
  </si>
  <si>
    <t>Feral Shades</t>
  </si>
  <si>
    <t>30ft cone</t>
  </si>
  <si>
    <t>A wave of mist takes the form of predatory pack animals, dealing 2d4 slashing and 2d4 negative damage to creatures in the area. Prone creatures or those taking Persistant Bleed Damage have a -2 status penalty to the save.</t>
  </si>
  <si>
    <t>A wave of mist takes the form of predatory pack animals, dealing 3d4 slashing and 3d4 negative damage to creatures in the area. Prone creatures or those taking Persistant Bleed Damage have a -2 status penalty to the save.</t>
  </si>
  <si>
    <t>A wave of mist takes the form of predatory pack animals, dealing 4d4 slashing and 4d4 negative damage to creatures in the area. Prone creatures or those taking Persistant Bleed Damage have a -2 status penalty to the save.</t>
  </si>
  <si>
    <t>A wave of mist takes the form of predatory pack animals, dealing 5d4 slashing and 5d4 negative damage to creatures in the area. Prone creatures or those taking Persistant Bleed Damage have a -2 status penalty to the save.</t>
  </si>
  <si>
    <t>A wave of mist takes the form of predatory pack animals, dealing 6d4 slashing and 6d4 negative damage to creatures in the area. Prone creatures or those taking Persistant Bleed Damage have a -2 status penalty to the save.</t>
  </si>
  <si>
    <t>A wave of mist takes the form of predatory pack animals, dealing 7d4 slashing and 7d4 negative damage to creatures in the area. Prone creatures or those taking Persistant Bleed Damage have a -2 status penalty to the save.</t>
  </si>
  <si>
    <t>A wave of mist takes the form of predatory pack animals, dealing 8d4 slashing and 8d4 negative damage to creatures in the area. Prone creatures or those taking Persistant Bleed Damage have a -2 status penalty to the save.</t>
  </si>
  <si>
    <t>A wave of mist takes the form of predatory pack animals, dealing 9d4 slashing and 9d4 negative damage to creatures in the area. Prone creatures or those taking Persistant Bleed Damage have a -2 status penalty to the save.</t>
  </si>
  <si>
    <t>A wave of mist takes the form of predatory pack animals, dealing 10d4 slashing and 10d4 negative damage to creatures in the area. Prone creatures or those taking Persistant Bleed Damage have a -2 status penalty to the save.</t>
  </si>
  <si>
    <t>Final Sacrifice</t>
  </si>
  <si>
    <t>Total Reagents</t>
  </si>
  <si>
    <t>1 minion</t>
  </si>
  <si>
    <t>You slay your minion and cause them to explode, dealing 6d6 fire damage to all creatures within a 20ft burst. Water minions deal cold damage on death. Sapient minions add the Evil trait on death. Creatures that you have used a spell to control temporarily (such as the spell Control Undead) do not explode and this spell fails.</t>
  </si>
  <si>
    <t>You slay your minion and cause them to explode, dealing 8d6 fire damage to all creatures within a 20ft burst. Water minions deal cold damage on death. Sapient minions add the Evil trait on death. Creatures that you have used a spell to control temporarily (such as the spell Control Undead) do not explode and this spell fails.</t>
  </si>
  <si>
    <t>You slay your minion and cause them to explode, dealing 10d6 fire damage to all creatures within a 20ft burst. Water minions deal cold damage on death. Sapient minions add the Evil trait on death. Creatures that you have used a spell to control temporarily (such as the spell Control Undead) do not explode and this spell fails.</t>
  </si>
  <si>
    <t>You slay your minion and cause them to explode, dealing 12d6 fire damage to all creatures within a 20ft burst. Water minions deal cold damage on death. Sapient minions add the Evil trait on death. Creatures that you have used a spell to control temporarily (such as the spell Control Undead) do not explode and this spell fails.</t>
  </si>
  <si>
    <t>Misc</t>
  </si>
  <si>
    <t>You slay your minion and cause them to explode, dealing 14d6 fire damage to all creatures within a 20ft burst. Water minions deal cold damage on death. Sapient minions add the Evil trait on death. Creatures that you have used a spell to control temporarily (such as the spell Control Undead) do not explode and this spell fails.</t>
  </si>
  <si>
    <t>You slay your minion and cause them to explode, dealing 16d6 fire damage to all creatures within a 20ft burst. Water minions deal cold damage on death. Sapient minions add the Evil trait on death. Creatures that you have used a spell to control temporarily (such as the spell Control Undead) do not explode and this spell fails.</t>
  </si>
  <si>
    <t>You slay your minion and cause them to explode, dealing 18d6 fire damage to all creatures within a 20ft burst. Water minions deal cold damage on death. Sapient minions add the Evil trait on death. Creatures that you have used a spell to control temporarily (such as the spell Control Undead) do not explode and this spell fails.</t>
  </si>
  <si>
    <t>You slay your minion and cause them to explode, dealing 20d6 fire damage to all creatures within a 20ft burst. Water minions deal cold damage on death. Sapient minions add the Evil trait on death. Creatures that you have used a spell to control temporarily (such as the spell Control Undead) do not explode and this spell fails.</t>
  </si>
  <si>
    <t>You slay your minion and cause them to explode, dealing 22d6 fire damage to all creatures within a 20ft burst. Water minions deal cold damage on death. Sapient minions add the Evil trait on death. Creatures that you have used a spell to control temporarily (such as the spell Control Undead) do not explode and this spell fails.</t>
  </si>
  <si>
    <t>Flame Wisp</t>
  </si>
  <si>
    <t>Three faintly glowing wisps for fire orbit your head. On a successful strike against a creature one wisp hurtles towards the creature dealing 1d4 fire damage. During the spell's duration if you cast a spell with the Fire trait and have less than three wisps a new one forms.</t>
  </si>
  <si>
    <t>Three faintly glowing wisps for fire orbit your head. On a successful strike against a creature one wisp hurtles towards the creature dealing 2d4 fire damage. During the spell's duration if you cast a spell with the Fire trait and have less than three wisps a new one forms.</t>
  </si>
  <si>
    <t>Three faintly glowing wisps for fire orbit your head. On a successful strike against a creature one wisp hurtles towards the creature dealing 3d4 fire damage. During the spell's duration if you cast a spell with the Fire trait and have less than three wisps a new one forms.</t>
  </si>
  <si>
    <t>Three faintly glowing wisps for fire orbit your head. On a successful strike against a creature one wisp hurtles towards the creature dealing 4d4 fire damage. During the spell's duration if you cast a spell with the Fire trait and have less than three wisps a new one forms.</t>
  </si>
  <si>
    <t>Three faintly glowing wisps for fire orbit your head. On a successful strike against a creature one wisp hurtles towards the creature dealing 5d4 fire damage. During the spell's duration if you cast a spell with the Fire trait and have less than three wisps a new one forms.</t>
  </si>
  <si>
    <t>Flaming Sphere</t>
  </si>
  <si>
    <t>A sphere of flame appears on a surface within range, dealing 3d6 fire damage to any creature in that square. Each time you Sustain this spell you can move the Flaming Sphere into an adjacent square. Creatures that succed on their save take no damage (instead of half).</t>
  </si>
  <si>
    <t>A sphere of flame appears on a surface within range, dealing 4d6 fire damage to any creature in that square. Each time you Sustain this spell you can move the Flaming Sphere into an adjacent square. Creatures that succed on their save take no damage (instead of half).</t>
  </si>
  <si>
    <t>A sphere of flame appears on a surface within range, dealing 5d6 fire damage to any creature in that square. Each time you Sustain this spell you can move the Flaming Sphere into an adjacent square. Creatures that succed on their save take no damage (instead of half).</t>
  </si>
  <si>
    <t>A sphere of flame appears on a surface within range, dealing 6d6 fire damage to any creature in that square. Each time you Sustain this spell you can move the Flaming Sphere into an adjacent square. Creatures that succed on their save take no damage (instead of half).</t>
  </si>
  <si>
    <t>A sphere of flame appears on a surface within range, dealing 7d6 fire damage to any creature in that square. Each time you Sustain this spell you can move the Flaming Sphere into an adjacent square. Creatures that succed on their save take no damage (instead of half).</t>
  </si>
  <si>
    <t>A sphere of flame appears on a surface within range, dealing 8d6 fire damage to any creature in that square. Each time you Sustain this spell you can move the Flaming Sphere into an adjacent square. Creatures that succed on their save take no damage (instead of half).</t>
  </si>
  <si>
    <t>A sphere of flame appears on a surface within range, dealing 9d6 fire damage to any creature in that square. Each time you Sustain this spell you can move the Flaming Sphere into an adjacent square. Creatures that succed on their save take no damage (instead of half).</t>
  </si>
  <si>
    <t>A sphere of flame appears on a surface within range, dealing 10d6 fire damage to any creature in that square. Each time you Sustain this spell you can move the Flaming Sphere into an adjacent square. Creatures that succed on their save take no damage (instead of half).</t>
  </si>
  <si>
    <t>A sphere of flame appears on a surface within range, dealing 11d6 fire damage to any creature in that square. Each time you Sustain this spell you can move the Flaming Sphere into an adjacent square. Creatures that succed on their save take no damage (instead of half).</t>
  </si>
  <si>
    <t>Fungal Hyphae</t>
  </si>
  <si>
    <t>Thin hyphae grow from your feet into the earth to create a symbiotic fungal network with all plants in the area. You gain impercise tremorsense allowing you to sense anything that is touching the plants you are connected to. The spell ends when you move, severing the hyphae.</t>
  </si>
  <si>
    <t>Category</t>
  </si>
  <si>
    <t>Thin hyphae grow from your feet into the earth to create a symbiotic fungal network with all plants in the area. You gain impercise tremorsense allowing you to sense anything that is touching the plants you are connected to and strike through them, dealing 2d8 bludgeoning damage on hit. The spell ends when you move, severing the hyphae.</t>
  </si>
  <si>
    <t>Thin hyphae grow from your feet into the earth to create a symbiotic fungal network with all plants in the area. You gain impercise tremorsense allowing you to sense anything that is touching the plants you are connected to and interact through them, either attacking to deal 2d8 bludgeoning damage or manipulating an object. The spell ends when you move, severing the hyphae.</t>
  </si>
  <si>
    <t>Fungal Infestation</t>
  </si>
  <si>
    <t>Toxic spores cause grotesque fungal growths in everything they touch, dealing 2d6 Persistant poison damage. On a successful save the target takes half persistant damage. On a failure target takes full damage and has weakness 1 to fire and slashing. Critical failure results in double damage, and weakness 2 to fire and slashing damage.</t>
  </si>
  <si>
    <t>Infused Reagents</t>
  </si>
  <si>
    <t>Toxic spores cause grotesque fungal growths in everything they touch, dealing 4d6 Persistant poison damage. On a successful save the target takes half persistant damage. On a failure target takes full damage and has weakness 1 to fire and slashing. Critical failure results in double damage, and weakness 2 to fire and slashing damage.</t>
  </si>
  <si>
    <t>Toxic spores cause grotesque fungal growths in everything they touch, dealing 6d6 Persistant poison damage. On a successful save the target takes half persistant damage. On a failure target takes full damage and has weakness 1 to fire and slashing. Critical failure results in double damage, and weakness 2 to fire and slashing damage.</t>
  </si>
  <si>
    <t>Toxic spores cause grotesque fungal growths in everything they touch, dealing 8d6 Persistant poison damage. On a successful save the target takes half persistant damage. On a failure target takes full damage and has weakness 1 to fire and slashing. Critical failure results in double damage, and weakness 2 to fire and slashing damage.</t>
  </si>
  <si>
    <t>Toxic spores cause grotesque fungal growths in everything they touch, dealing 10d6 Persistant poison damage. On a successful save the target takes half persistant damage. On a failure target takes full damage and has weakness 1 to fire and slashing. Critical failure results in double damage, and weakness 2 to fire and slashing damage.</t>
  </si>
  <si>
    <t>Gentle Repose</t>
  </si>
  <si>
    <t>1 corpse</t>
  </si>
  <si>
    <t>You ward the target from decay, insects / pests, and being transformed into an undead. If the corpse is subject to a spell that requires the corpse to have died within a certain amount of time (such as Raise Dead), you do not count the duration of Gentle Repose against that time.</t>
  </si>
  <si>
    <t>Using a full turn and 6gp of embalming fluid you ward the target from decay, insects / pests, and being transformed into an undead forever. If the corpse is subject to a spell that requires the corpse to have died within a certain amount of time (such as Raise Dead), you do not count the duration of Gentle Repose against that time.</t>
  </si>
  <si>
    <t>Ghoulish Cravings</t>
  </si>
  <si>
    <t>You inflict ghoul fever on the target to sever its positive energy. Successful save - stage 1. Failure - Stage 2. Crit Failure - stage 3. Goul Fever Stages: Stage 1 - carrier (1 day). Stage 2 - half healing and 3d8 negative damage (1 day). Stage 3 - As stage 2 (1 day). Stage 4 - 3d8 negative damage, immune to healing (1 day). Stage 5 - same as stage 4. Stage 6 - creature dies and rises as a ghoul at the next midnight.</t>
  </si>
  <si>
    <t>Glitterdust</t>
  </si>
  <si>
    <t>Creatures in the area are outlined by glitteruing dust, negating any invisibility and become concealed instead. On a successful save the effects last for 2 rounds. On a failure the target is dazzeled for 1 minute and its invisibility negated for 1 minute. Critical failure results in blinded for 1 round, dazzeled for 10 minutes, and invisibility being negated for 10 minutes.</t>
  </si>
  <si>
    <t>Grave Impressions</t>
  </si>
  <si>
    <t>A fragment of your senses enter the corpse, allowing you to see through its senses. As long as you are within 500ft of the target you can use a single action to switch to the corpse's senses and see through its eyes and hear through its ears if it had either in its life. The spell ends when the corpse is moved from its location.</t>
  </si>
  <si>
    <t>A fragment of your senses enter the corpse, allowing you to see through its senses for 1 hour. As long as you are within 500ft of the target you can use a single action to switch to the corpse's senses and see through its eyes and hear through its ears if it had either in its life. The spell ends when the corpse is moved from its location.</t>
  </si>
  <si>
    <t>A fragment of your senses enter the corpse, allowing you to see through its senses until your next daily prep. As long as you are within 500ft of the target you can use a single action to switch to the corpse's senses and see through its eyes and hear through its ears if it had either in its life. The spell ends when the corpse is moved from its location.</t>
  </si>
  <si>
    <t>Guiding Star</t>
  </si>
  <si>
    <t>Planet</t>
  </si>
  <si>
    <t>You call upon the constellations of the night sky to guide a creature you have met before to the location you cast this spell. Each time the target views the stars it will have a mental nudge towards your chosen location. The target recognizes you as its source and is not compelled to follow.</t>
  </si>
  <si>
    <t>Heat Metal</t>
  </si>
  <si>
    <t>1 metal object</t>
  </si>
  <si>
    <t>The metal of an object or creature becomes red hot, dealing 4d6 fire damage and 2d4 persistant fire damage. This does not damage metal objects, and a creature holding a metal object can drop the item to improve its success by 1 degree and stop the persistant damage (though persistant damage may continue if the object is picked up). Success - half damage and no persistant. Failure - full both damages. Crit Fail - Double both damages.</t>
  </si>
  <si>
    <t>The metal of an object or creature becomes red hot, dealing 6d6 fire damage and 3d4 persistant fire damage. This does not damage metal objects, and a creature holding a metal object can drop the item to improve its success by 1 degree and stop the persistant damage (though persistant damage may continue if the object is picked up). Success - half damage and no persistant. Failure - full both damages. Crit Fail - Double both damages.</t>
  </si>
  <si>
    <t>The metal of an object or creature becomes red hot, dealing 8d6 fire damage and 4d4 persistant fire damage. This does not damage metal objects, and a creature holding a metal object can drop the item to improve its success by 1 degree and stop the persistant damage (though persistant damage may continue if the object is picked up). Success - half damage and no persistant. Failure - full both damages. Crit Fail - Double both damages.</t>
  </si>
  <si>
    <t>The metal of an object or creature becomes red hot, dealing 10d6 fire damage and 5d4 persistant fire damage. This does not damage metal objects, and a creature holding a metal object can drop the item to improve its success by 1 degree and stop the persistant damage (though persistant damage may continue if the object is picked up). Success - half damage and no persistant. Failure - full both damages. Crit Fail - Double both damages.</t>
  </si>
  <si>
    <t>Plant Form</t>
  </si>
  <si>
    <t>The metal of an object or creature becomes red hot, dealing 12d6 fire damage and 6d4 persistant fire damage. This does not damage metal objects, and a creature holding a metal object can drop the item to improve its success by 1 degree and stop the persistant damage (though persistant damage may continue if the object is picked up). Success - half damage and no persistant. Failure - full both damages. Crit Fail - Double both damages.</t>
  </si>
  <si>
    <t>The metal of an object or creature becomes red hot, dealing 14d6 fire damage and 7d4 persistant fire damage. This does not damage metal objects, and a creature holding a metal object can drop the item to improve its success by 1 degree and stop the persistant damage (though persistant damage may continue if the object is picked up). Success - half damage and no persistant. Failure - full both damages. Crit Fail - Double both damages.</t>
  </si>
  <si>
    <t>The metal of an object or creature becomes red hot, dealing 16d6 fire damage and 8d4 persistant fire damage. This does not damage metal objects, and a creature holding a metal object can drop the item to improve its success by 1 degree and stop the persistant damage (though persistant damage may continue if the object is picked up). Success - half damage and no persistant. Failure - full both damages. Crit Fail - Double both damages.</t>
  </si>
  <si>
    <t>The metal of an object or creature becomes red hot, dealing 18d6 fire damage and 9d4 persistant fire damage. This does not damage metal objects, and a creature holding a metal object can drop the item to improve its success by 1 degree and stop the persistant damage (though persistant damage may continue if the object is picked up). Success - half damage and no persistant. Failure - full both damages. Crit Fail - Double both damages.</t>
  </si>
  <si>
    <t>The metal of an object or creature becomes red hot, dealing 20d6 fire damage and 10d4 persistant fire damage. This does not damage metal objects, and a creature holding a metal object can drop the item to improve its success by 1 degree and stop the persistant damage (though persistant damage may continue if the object is picked up). Success - half damage and no persistant. Failure - full both damages. Crit Fail - Double both damages.</t>
  </si>
  <si>
    <t>Hideous Laughter</t>
  </si>
  <si>
    <t>The target is overtaken with uncontrollable laughter. On a successful save the target is laughing too hard to use reactions. On a failure the target is slowed 1 and cant use reactions. Critical failure the target falls prone and cant use actions or reactions for 1 round, after which suffers as if failure.</t>
  </si>
  <si>
    <t>Valet</t>
  </si>
  <si>
    <t>Horrifying Blood Loss</t>
  </si>
  <si>
    <t>1 bleeding target</t>
  </si>
  <si>
    <t>You instill terror at the persistant blood loss in the target. On a successful save the target is frightened 1. On a failure the target is frightened 2, and until the bleeding stops its frightened value cant drop below 1. Critical failure is as failure but the target is frightened 3.</t>
  </si>
  <si>
    <t>You instill terror in upto 4 nearby targets at the persistant blood loss of a creature. On a successful save the target is frightened 1. On a failure the target is frightened 2, and until the bleeding stops its frightened value cant drop below 1. Critical failure is as failure but the target is frightened 3.</t>
  </si>
  <si>
    <t>#181</t>
  </si>
  <si>
    <t>Humanoid Form</t>
  </si>
  <si>
    <t>You change your size and appearence to be any humanoid race of size small or medium, gaining a +4 status bonus to deception checks to hide your ancestry and can add your level even if you are untrained. Your gear changes in size with you, and this does not change your statistics. You can not look like a specific person unless you make a disguise in addition to this spell.</t>
  </si>
  <si>
    <t>You change your size and appearence to be any humanoid race of size small or medium, gaining a +4 status bonus to deception checks to hide your ancestry adding your level even if you are untrained. Your gear changes in size with you, and this does not change your statistics (though you can gain low light or darkvision). You can not look like a specific person unless you make a disguise in addition to this spell.</t>
  </si>
  <si>
    <t>You change your size and appearence to be any humanoid race of size small to large (affected by shrink or enlarge), gaining a +4 status bonus to deception checks to hide your ancestry adding your level even if you are untrained. Your gear changes in size with you, and this does not change your statistics (though you can gain low light or darkvision). You can not look like a specific person unless you make a disguise in addition to this spell.</t>
  </si>
  <si>
    <t>Resistance Type:</t>
  </si>
  <si>
    <t>Ignite Fireworks</t>
  </si>
  <si>
    <t>Cold &amp; Fire</t>
  </si>
  <si>
    <t>An explosion of sparks and fireworks explode forth, dealing 1d8 fire damage and 1d8 sonic damage in the area. On a successful save the target takes half damage and is dazzled for 1 round. On a failure creatures take full damage and are dazzeled for 3 rounds. Critical fail results in double damage, 1d4 persistant fire damage, and is dazzled for 1 minute.</t>
  </si>
  <si>
    <t>An explosion of sparks and fireworks explode forth, dealing 2d8 fire damage and 2d8 sonic damage in the area. On a successful save the target takes half damage and is dazzled for 1 round. On a failure creatures take full damage and are dazzeled for 3 rounds. Critical fail results in double damage, 2d4 persistant fire damage, and is dazzled for 1 minute.</t>
  </si>
  <si>
    <t>An explosion of sparks and fireworks explode forth, dealing 3d8 fire damage and 3d8 sonic damage in the area. On a successful save the target takes half damage and is dazzled for 1 round. On a failure creatures take full damage and are dazzeled for 3 rounds. Critical fail results in double damage, 3d4 persistant fire damage, and is dazzled for 1 minute.</t>
  </si>
  <si>
    <t>Gains Imprecise Wavesense with a range of 30ft</t>
  </si>
  <si>
    <t>An explosion of sparks and fireworks explode forth, dealing 4d8 fire damage and 4d8 sonic damage in the area. On a successful save the target takes half damage and is dazzled for 1 round. On a failure creatures take full damage and are dazzeled for 3 rounds. Critical fail results in double damage, 4d4 persistant fire damage, and is dazzled for 1 minute.</t>
  </si>
  <si>
    <t>An explosion of sparks and fireworks explode forth, dealing 5d8 fire damage and 5d8 sonic damage in the area. On a successful save the target takes half damage and is dazzled for 1 round. On a failure creatures take full damage and are dazzeled for 3 rounds. Critical fail results in double damage, 5d4 persistant fire damage, and is dazzled for 1 minute.</t>
  </si>
  <si>
    <t>Illusory Creature</t>
  </si>
  <si>
    <t>You create a illusion upto large with believably sounds, smells, and touch. It cant speak but can be spoken through by you (using Deception or Performance). In combat the creature has 2 actions and can flank (spell DC for AC, and DC-10 for saving throws), but if it is hit the spell ends. The spell can deal 1d4 +[Ability Mod] mental damage if it attacks (believed resistances and weakness does apply), which may result in the target disbelieving.</t>
  </si>
  <si>
    <t>You create a illusion upto huge with believably sounds, smells, and touch. It cant speak but can be spoken through by you (using Deception or Performance). In combat the creature has 2 actions and can flank (spell DC for AC, and DC-10 for saving throws), but if it is hit the spell ends. The spell can deal 2d4 +[Ability Mod] mental damage if it attacks (believed resistances and weakness does apply), which may result in the target disbelieving.</t>
  </si>
  <si>
    <t>You create a illusion upto Gargantuan with believably sounds, smells, and touch. It cant speak but can be spoken through by you (using Deception or Performance). In combat the creature has 2 actions and can flank (spell DC for AC, and DC-10 for saving throws), but if it is hit the spell ends. The spell can deal 3d4 +[Ability Mod] mental damage if it attacks (believed resistances and weakness does apply), which may result in the target disbelieving.</t>
  </si>
  <si>
    <t>You create a illusion upto Gargantuan with believably sounds, smells, and touch. It cant speak but can be spoken through by you (using Deception or Performance). In combat the creature has 2 actions and can flank (spell DC for AC, and DC-10 for saving throws), but if it is hit the spell ends. The spell can deal 4d4 +[Ability Mod] mental damage if it attacks (believed resistances and weakness does apply), which may result in the target disbelieving.</t>
  </si>
  <si>
    <t>You create a illusion upto Gargantuan with believably sounds, smells, and touch. It cant speak but can be spoken through by you (using Deception or Performance). In combat the creature has 2 actions and can flank (spell DC for AC, and DC-10 for saving throws), but if it is hit the spell ends. The spell can deal 5d4 +[Ability Mod] mental damage if it attacks (believed resistances and weakness does apply), which may result in the target disbelieving.</t>
  </si>
  <si>
    <t>You create a illusion upto Gargantuan with believably sounds, smells, and touch. It cant speak but can be spoken through by you (using Deception or Performance). In combat the creature has 2 actions and can flank (spell DC for AC, and DC-10 for saving throws), but if it is hit the spell ends. The spell can deal 6d4 +[Ability Mod] mental damage if it attacks (believed resistances and weakness does apply), which may result in the target disbelieving.</t>
  </si>
  <si>
    <t>You create a illusion upto Gargantuan with believably sounds, smells, and touch. It cant speak but can be spoken through by you (using Deception or Performance). In combat the creature has 2 actions and can flank (spell DC for AC, and DC-10 for saving throws), but if it is hit the spell ends. The spell can deal 7d4 +[Ability Mod] mental damage if it attacks (believed resistances and weakness does apply), which may result in the target disbelieving.</t>
  </si>
  <si>
    <t>You create a illusion upto Gargantuan with believably sounds, smells, and touch. It cant speak but can be spoken through by you (using Deception or Performance). In combat the creature has 2 actions and can flank (spell DC for AC, and DC-10 for saving throws), but if it is hit the spell ends. The spell can deal 8d4 +[Ability Mod] mental damage if it attacks (believed resistances and weakness does apply), which may result in the target disbelieving.</t>
  </si>
  <si>
    <t>You create a illusion upto Gargantuan with believably sounds, smells, and touch. It cant speak but can be spoken through by you (using Deception or Performance). In combat the creature has 2 actions and can flank (spell DC for AC, and DC-10 for saving throws), but if it is hit the spell ends. The spell can deal 9d4 +[Ability Mod] mental damage if it attacks (believed resistances and weakness does apply), which may result in the target disbelieving.</t>
  </si>
  <si>
    <t>Imp Sting</t>
  </si>
  <si>
    <t>Select 2 damage types and gain resistance equal to half your level to them: Acid, Cold, Electricity, Fire, Poison, or Sonic.</t>
  </si>
  <si>
    <t>You stab someone with an imp's sting, dealing 1d4 peircing damage, 1d6 evil damage, and Devil's Benumbing Venom. On a successful save, the target takes 1d6 poison damage. Failure - Venom stage 1. Crit Failure - Venom Stage 2. Imp Venom (Lv 3, 6 rounds): Stage 1 - 1d6 poison, Clumsy 1; Stage 2 - 1d6 poison, clumsy 1, slowed 1 (1 round)</t>
  </si>
  <si>
    <t>#160</t>
  </si>
  <si>
    <t>Impart Empathy</t>
  </si>
  <si>
    <t>1 animal</t>
  </si>
  <si>
    <t>You expand the target's ability to understand social cues. As long as the target isnt unfriendly or hostile, anyone can use Diplomacy to Make an Impression and make a simple Request of it. This doesnt make the animal more likely to help than it otherwise would be.</t>
  </si>
  <si>
    <t>You expand the target's ability to understand social cues, targeting any animal, plant, or fungi. As long as the target isnt unfriendly or hostile, anyone can use Diplomacy to Make an Impression and make a simple Request of it. This doesnt make the animal more likely to help than it otherwise would be.</t>
  </si>
  <si>
    <t>#175</t>
  </si>
  <si>
    <t>Impeccable Flow</t>
  </si>
  <si>
    <t>You attune yourself to the cosmic order of the world, gaining a +1 status bonus to perception checks, saving throws, and skill checks. If you critical fail any of these checks during the duration of the spell the bonus ends and you instead have a -1 status penalty to all checks for the remaining duration.</t>
  </si>
  <si>
    <t>You attune yourself to the cosmic order of the world, gaining a +2 status bonus to perception checks, saving throws, and skill checks. If you critical fail any of these checks during the duration of the spell the bonus ends and you instead have a -1 status penalty to all checks for the remaining duration.</t>
  </si>
  <si>
    <t>You attune yourself to the cosmic order of the world, gaining a +3 status bonus to perception checks, saving throws, and skill checks. If you critical fail any of these checks during the duration of the spell the bonus ends and you instead have a -1 status penalty to all checks for the remaining duration.</t>
  </si>
  <si>
    <t>Resistance</t>
  </si>
  <si>
    <t>Inner Radiance Torrent</t>
  </si>
  <si>
    <t>You spend time creating a beam of spiritual energy that deals 4d4 force damage in a line (with counteract check against darkness effects), and on a critical failure they are blinded for 1 round. Using 2 actions this spell is a 60ft line. Using 3 actions the spell is a 120ft line. Using 2 full turns the spell is a 120ft line that deals an additonal 4d4 damage and shine for 1 minute (where all adjacent creatures take 1 damage at the end of their turn).</t>
  </si>
  <si>
    <t>You spend time creating a beam of spiritual energy that deals 8d4 force damage in a line (with counteract check against darkness effects), and on a critical failure they are blinded for 1 round. Using 2 actions this spell is a 60ft line. Using 3 actions the spell is a 120ft line. Using 2 full turns the spell is a 120ft line that deals an additonal 8d4 damage and shine for 1 minute (where all adjacent creatures take 2 damage at the end of their turn).</t>
  </si>
  <si>
    <t>You spend time creating a beam of spiritual energy that deals 12d4 force damage in a line (with counteract check against darkness effects), and on a critical failure they are blinded for 1 round. Using 2 actions this spell is a 60ft line. Using 3 actions the spell is a 120ft line. Using 2 full turns the spell is a 120ft line that deals an additonal 12d4 damage and shine for 1 minute (where all adjacent creatures take 3 damage at the end of their turn).</t>
  </si>
  <si>
    <t>You spend time creating a beam of spiritual energy that deals 16d4 force damage in a line (with counteract check against darkness effects), and on a critical failure they are blinded for 1 round. Using 2 actions this spell is a 60ft line. Using 3 actions the spell is a 120ft line. Using 2 full turns the spell is a 120ft line that deals an additonal 16d4 damage and shine for 1 minute (where all adjacent creatures take 4 damage at the end of their turn).</t>
  </si>
  <si>
    <t>You spend time creating a beam of spiritual energy that deals 20d4 force damage in a line (with counteract check against darkness effects), and on a critical failure they are blinded for 1 round. Using 2 actions this spell is a 60ft line. Using 3 actions the spell is a 120ft line. Using 2 full turns the spell is a 120ft line that deals an additonal 20d4 damage and shine for 1 minute (where all adjacent creatures take 5 damage at the end of their turn).</t>
  </si>
  <si>
    <t>Wavesense</t>
  </si>
  <si>
    <t>You spend time creating a beam of spiritual energy that deals 24d4 force damage in a line (with counteract check against darkness effects), and on a critical failure they are blinded for 1 round. Using 2 actions this spell is a 60ft line. Using 3 actions the spell is a 120ft line. Using 2 full turns the spell is a 120ft line that deals an additonal 24d4 damage and shine for 1 minute (where all adjacent creatures take 6 damage at the end of their turn).</t>
  </si>
  <si>
    <t>You spend time creating a beam of spiritual energy that deals 28d4 force damage in a line (with counteract check against darkness effects), and on a critical failure they are blinded for 1 round. Using 2 actions this spell is a 60ft line. Using 3 actions the spell is a 120ft line. Using 2 full turns the spell is a 120ft line that deals an additonal 28d4 damage and shine for 1 minute (where all adjacent creatures take 7 damage at the end of their turn).</t>
  </si>
  <si>
    <t>You spend time creating a beam of spiritual energy that deals 32d4 force damage in a line (with counteract check against darkness effects), and on a critical failure they are blinded for 1 round. Using 2 actions this spell is a 60ft line. Using 3 actions the spell is a 120ft line. Using 2 full turns the spell is a 120ft line that deals an additonal 32d4 damage and shine for 1 minute (where all adjacent creatures take 8 damage at the end of their turn).</t>
  </si>
  <si>
    <t>You spend time creating a beam of spiritual energy that deals 36d4 force damage in a line (with counteract check against darkness effects), and on a critical failure they are blinded for 1 round. Using 2 actions this spell is a 60ft line. Using 3 actions the spell is a 120ft line. Using 2 full turns the spell is a 120ft line that deals an additonal 36d4 damage and shine for 1 minute (where all adjacent creatures take 9 damage at the end of their turn).</t>
  </si>
  <si>
    <t>Instant Armor</t>
  </si>
  <si>
    <t>Upon casting this spell the armor you are currently wearing is whisked away into an extradimensional space. If the armor is invested it will remain so in this space, without gaining its benifits. You gain the Armor Up! action (single action): snapping your fingers the armor returns to your body, after which the spell ends. If the armor is in the extradimensional space when the spell ends, the armor falls to the ground around you.</t>
  </si>
  <si>
    <t>Invisibility</t>
  </si>
  <si>
    <t>M,S</t>
  </si>
  <si>
    <t>Cloaked in illusion, the target becomes invisible. This makes it undetected to all creatures, though the creatures can attempt to find the target, making it hidden to them instead. If the target uses a hostile action, the spell ends after that hostile action is completed.</t>
  </si>
  <si>
    <t>Cloaked in illusion, the target becomes invisible for 1 minute. This makes it undetected to all creatures, though the creatures can attempt to find the target, making it hidden to them instead. The target can use hostile actions without ending the spell.</t>
  </si>
  <si>
    <t>Iron Gut</t>
  </si>
  <si>
    <t>Making your mouth and stomach elastic and toucher then metal you gain the ability to store or retrieve anything of upto light bulk in your stomach with an interact action. Objects stored in this way are impossible to notice to casual observers, and you gain a +4 bonus to stealth checks to hide items unless they check your mouth. At the end of the spell you puke up the stored object, dealing 1d6 damage to you.</t>
  </si>
  <si>
    <t>Making your mouth and stomach elastic and toucher then metal you gain the ability to store or retrieve anything of upto light bulk in your stomach with an interact action for 8 hours. Objects stored in this way are impossible to notice to casual observers, and you gain a +4 bonus to stealth checks to hide items unless they check your mouth. At the end of the spell you puke up the stored object, dealing 1d6 damage to you.</t>
  </si>
  <si>
    <t>Knock</t>
  </si>
  <si>
    <t>1 lock</t>
  </si>
  <si>
    <t>Making the target easier to open, you grant a +4 status bonus to any creature that tries opening the target door, lock, or container using an Athletics of Thievery check. You can attempt a Thievery check to open the target as part of casting knock, and you add your level even if you're untrained. Knock counteracts lock.</t>
  </si>
  <si>
    <t>Lock Item</t>
  </si>
  <si>
    <t>1 held object</t>
  </si>
  <si>
    <t>You fuse the target's hand to the object. To Disarm of Steal the object just succeed your Spell DC or normal DC if higher. To voluntarily drop the object is an interact action and they must succed a Reflex save or waste the action. When the spell is cast, a succesful save results in the spell lasting for 1 round. A failed save means 4 rounds. A critical fail has a duration of 1 minute.</t>
  </si>
  <si>
    <t>You fuse upto 2 objects to the creatures holding them. To Disarm of Steal the object just succeed your Spell DC or normal DC if higher. To voluntarily drop the object is an interact action and they must succed a Reflex save or waste the action. When the spell is cast, a succesful save results in the spell lasting for 1 round. A failed save means 4 rounds. A critical fail has a duration of 1 minute.</t>
  </si>
  <si>
    <t>You fuse upto 3 objects to the creatures holding them. To Disarm of Steal the object just succeed your Spell DC or normal DC if higher. To voluntarily drop the object is an interact action and they must succed a Reflex save or waste the action. When the spell is cast, a succesful save results in the spell lasting for 1 round. A failed save means 4 rounds. A critical fail has a duration of 1 minute.</t>
  </si>
  <si>
    <t>You fuse upto 4 objects to the creatures holding them. To Disarm of Steal the object just succeed your Spell DC or normal DC if higher. To voluntarily drop the object is an interact action and they must succed a Reflex save or waste the action. When the spell is cast, a succesful save results in the spell lasting for 1 round. A failed save means 4 rounds. A critical fail has a duration of 1 minute.</t>
  </si>
  <si>
    <t>You fuse upto 5 objects to the creatures holding them. To Disarm of Steal the object just succeed your Spell DC or normal DC if higher. To voluntarily drop the object is an interact action and they must succed a Reflex save or waste the action. When the spell is cast, a succesful save results in the spell lasting for 1 round. A failed save means 4 rounds. A critical fail has a duration of 1 minute.</t>
  </si>
  <si>
    <t>Loose Time's Arrow</t>
  </si>
  <si>
    <t>upto 6 allies</t>
  </si>
  <si>
    <t>You pluck the time stream like a bow—pull one string back, release, and watch a creature fly. All affected targets are quickened. They can use the extra action only to Step or Stride.</t>
  </si>
  <si>
    <t>Lucky Number</t>
  </si>
  <si>
    <t>daily prep</t>
  </si>
  <si>
    <t>Roll 1d20 and record the results as your lucky number. As a reaction if you roll your lucky number (on an attack, saving throw, or skill check) you can reroll the triggering check, after which the spell ends and you become immune to the spell until your next daily preperations. If after rerolling you get the same number, you critically fail instead.</t>
  </si>
  <si>
    <t>Magic Mouth</t>
  </si>
  <si>
    <t>You specify a trigger and a message up to 25 words long. When the specified trigger occurs within 30 feet of the target, an illusory mouth appears on the target and speaks the message, and the magic mouth spell ends.</t>
  </si>
  <si>
    <t>Magnetic Attraction</t>
  </si>
  <si>
    <t>10 metal objects</t>
  </si>
  <si>
    <t>Adjusting your polarity metal objects fly into your hand or land adjacent to you. They must be unattended and have a combined bulk of 1. Attended objects need a Disarm check using spell attack. You can designate a loadstone instead for the objects to fly towards where they stick for 1 minute and can be removed with an interact action. This loadstone must be metal, within range, and at least 3x the bulk of the combed bulk of the other items.</t>
  </si>
  <si>
    <t>Magnetic Repulsion</t>
  </si>
  <si>
    <t>Metal is repulsed by you. Any attacks made with metal objects have a -1 penalty to them, and adjacent squares are difficult terrain for creatures in metal armor. Metal creatures have a -2 penalty to attacks, and the area is greater difficult terrain. It now requires 2 actions for you to interact with metal objects (including Strike), and you are slowed 1 in metal armor.</t>
  </si>
  <si>
    <t>Metal is repulsed by you. Any attacks made with metal objects have a -2 penalty to them, and adjacent squares are difficult terrain for creatures in metal armor. Metal creatures have a -3 penalty to attacks, and the area is greater difficult terrain. It now requires 2 actions for you to interact with metal objects (including Strike), and you are slowed 1 in metal armor.</t>
  </si>
  <si>
    <t>Metal is repulsed by you. Any attacks made with metal objects have a -3 penalty to them, and adjacent squares are difficult terrain for creatures in metal armor. Metal creatures have a -4 penalty to attacks, and the area is greater difficult terrain. It now requires 2 actions for you to interact with metal objects (including Strike), and you are slowed 1 in metal armor.</t>
  </si>
  <si>
    <t>Mimic Undead</t>
  </si>
  <si>
    <t>UNIQUE FAMILIAR ABILITIES</t>
  </si>
  <si>
    <t>You wrap the appearence of death around like a cloak. You can impersonate an undead with a +4 status bonus, adding your prof bonus even if untrained. Mindless undead always see you as undead. Senses such as Lifesense detect you as undead unless a successful perception check against spell DC is made. Detection spells must counteract the spell to see you arent dead.</t>
  </si>
  <si>
    <t>Mind Games</t>
  </si>
  <si>
    <t>Locking minds with the target, you attempt to subdue them. The target makes a save when the spell is cast, and again each time you Sustain this spell. On a Critical Success you are stunned 1 and the spell ends. On a Success target is unaffected. On a failure the target is stunned 1. On a Critical failure target is stunned 2.</t>
  </si>
  <si>
    <t>Mirror Image</t>
  </si>
  <si>
    <t>Three illusory images of you swirl in your space. Any attack that would hit you has a random chance of hitting an illusion: 25% of hitting you if all illusions remain (1 on the d4); 33% for two remaining (1-2 on a d6); 50% if 1 illusion remains. If an attack against you is a failure an image of you is destroyed. If an attack against an illusion is a critical success its destroyed, and the attack becomes a success against you.</t>
  </si>
  <si>
    <t>Misdirection</t>
  </si>
  <si>
    <t>2 targets</t>
  </si>
  <si>
    <t>You reshape the magical aura of one creature or object to resemble another. One target becomes the primary, and the secondary target has its aura changed to match that of the primary. A creature reading this aura can attempt to disbelieve the illusion. You can dismiss the spell from a mile away.</t>
  </si>
  <si>
    <t>Obscuring Mist</t>
  </si>
  <si>
    <t>PFS</t>
  </si>
  <si>
    <t>Requirement:</t>
  </si>
  <si>
    <t>Aeon Wyrd</t>
  </si>
  <si>
    <t>Bazaar</t>
  </si>
  <si>
    <t>You call forth a cloud of mist. All creatures within the mist become concealed, and all creatures outside the mist become concealed to creatures within it. You can Dismiss the cloud.</t>
  </si>
  <si>
    <t>Pipefox</t>
  </si>
  <si>
    <t>Pack Attack</t>
  </si>
  <si>
    <t>Spellslime</t>
  </si>
  <si>
    <t>You + 1 ally</t>
  </si>
  <si>
    <t>Gaining an uncanny cordination with your ally, allowing you two to flank any target you are adjacent to whether or not you are on opposite sides of the enemy's space.</t>
  </si>
  <si>
    <t>Gaining an uncanny cordination with upto 4 allies, allowing you to flank any target together whether or not you are on opposite sides of the enemy's space.</t>
  </si>
  <si>
    <t>The Aeon Stone Core of your familiar grants you its power without the need to invest.</t>
  </si>
  <si>
    <t>Paranoia</t>
  </si>
  <si>
    <t>The target views all creatures as potentially hostile. On a successful save the target becomes unfriendly to all creatures, reguardless of allies for 1 round. On a failed save this effect lasts for 1 minute. On a Critical Failure the target views everyone as a mortal enemy, taking every reaction and free action possible against everyone, though prefers to attack people who have already attacked them.</t>
  </si>
  <si>
    <t>Speaks and understands all languages you know, plus one additional common language you dont know</t>
  </si>
  <si>
    <t>Upto 5 creatures views all creatures as potentially hostile. On a successful save the target becomes unfriendly to all creatures, reguardless of allies for 1 round. On a failed save this effect lasts for 1 minute. On a Critical Failure the target views everyone as a mortal enemy, taking every reaction and free action possible against everyone, though prefers to attack people who have already attacked them.</t>
  </si>
  <si>
    <t>Penumbral Disguise</t>
  </si>
  <si>
    <t>AC is 10 + lv, but is immune to critial hits and precision damage.</t>
  </si>
  <si>
    <t>You wrap the target is shadow, granting them a +1 status bonus to Stealth to hide in dim light or darkness. In addition creatures must succeed a Seek action against spell DC to make out the details of the target of this spell. Creatures with darkvision are immune to this spell. The spell has no effect in bright light.</t>
  </si>
  <si>
    <t>You wrap the target is shadow, granting them a +2 status bonus to Stealth to hide in dim light or darkness. In addition creatures must succeed a Seek action against spell DC to make out the details of the target of this spell. Creatures with Greater Darkvision are immune to this spell. The spell has no effect in bright light.</t>
  </si>
  <si>
    <t>You wrap the target is shadow, granting them a +3 status bonus to Stealth to hide in dim light or darkness. In addition creatures must succeed a Seek action against spell DC to make out the details of the target of this spell, otherwise fail to see the most basic of details. Creatures with Greater Darkvision are immune to this spell. The spell has no effect in bright light.</t>
  </si>
  <si>
    <t>You wrap the target is shadow, granting them a +4 status bonus to Stealth to hide in dim light or darkness. In addition creatures must succeed a Seek action against spell DC to make out the details of the target of this spell, otherwise fail to see the most basic of details. The spell has no effect in bright light.</t>
  </si>
  <si>
    <t>Persistent Servant</t>
  </si>
  <si>
    <t>Aeon Stone Resrvoir</t>
  </si>
  <si>
    <t>60ft burst</t>
  </si>
  <si>
    <t>You create an Unseen Servant that will perform basic tasks inside of the spell's area for the duration. While the servant is not a minion, and doesnt need to be sustained, it acts in its own time so can not help during combat. The servant is mindless and will perform the phsyical actions asked of it, such as cleaning up the floor but is unable to tell the difference between trash, treasure, and items supposed to be on the floor.</t>
  </si>
  <si>
    <t>Divinator Linquist</t>
  </si>
  <si>
    <t>Phantasmal Treasure</t>
  </si>
  <si>
    <t>The target sees the most precious thing imaginable to it in a location of your choice within range. On a successful save the target becomes Fascinated until the end of their turn; the target can disbelieve the illusion if the touch it, Seek, or speak (in the case of a person) to end the spell. Failure - as success, but duration of 1 min. Crit Fail - Duration of 1 min and must spend all actions interacting with the illusion.</t>
  </si>
  <si>
    <t>Ooze Defense</t>
  </si>
  <si>
    <t>Phantom Crowd</t>
  </si>
  <si>
    <t>10ft square</t>
  </si>
  <si>
    <t>Disbelieve</t>
  </si>
  <si>
    <t>[S] 10min</t>
  </si>
  <si>
    <t>A group of people appear to agree loudly with anything you say. Anyone that touches the crowed must make a Seek action to examine and attempt to Disbelieve the illusion. the crowd is difficult terrain for people who believe the illusion. If you do any activity that requires a Performance check, or a Composition spell, this spell is Sustained as part of that action.</t>
  </si>
  <si>
    <t>Dweomercat</t>
  </si>
  <si>
    <t>A group of people appear to agree loudly with anything you say in 2 10ft squares. Anyone that touches the crowed must make a Seek action to examine and attempt to Disbelieve the illusion. the crowd is difficult terrain for people who believe the illusion. If you do any activity that requires a Performance check, or a Composition spell, this spell is Sustained as part of that action.</t>
  </si>
  <si>
    <t>A group of people appear to agree loudly with anything you say in 3 10ft squares. Anyone that touches the crowed must make a Seek action to examine and attempt to Disbelieve the illusion. the crowd is difficult terrain for people who believe the illusion. If you do any activity that requires a Performance check, or a Composition spell, this spell is Sustained as part of that action.</t>
  </si>
  <si>
    <t>A group of people appear to agree loudly with anything you say in 4 10ft squares. Anyone that touches the crowed must make a Seek action to examine and attempt to Disbelieve the illusion. the crowd is difficult terrain for people who believe the illusion. If you do any activity that requires a Performance check, or a Composition spell, this spell is Sustained as part of that action.</t>
  </si>
  <si>
    <t>A group of people appear to agree loudly with anything you say in 5 10ft squares. Anyone that touches the crowed must make a Seek action to examine and attempt to Disbelieve the illusion. the crowd is difficult terrain for people who believe the illusion. If you do any activity that requires a Performance check, or a Composition spell, this spell is Sustained as part of that action.</t>
  </si>
  <si>
    <t>A group of people appear to agree loudly with anything you say in 6 10ft squares. Anyone that touches the crowed must make a Seek action to examine and attempt to Disbelieve the illusion. the crowd is difficult terrain for people who believe the illusion. If you do any activity that requires a Performance check, or a Composition spell, this spell is Sustained as part of that action.</t>
  </si>
  <si>
    <t>A group of people appear to agree loudly with anything you say in 7 10ft squares. Anyone that touches the crowed must make a Seek action to examine and attempt to Disbelieve the illusion. the crowd is difficult terrain for people who believe the illusion. If you do any activity that requires a Performance check, or a Composition spell, this spell is Sustained as part of that action.</t>
  </si>
  <si>
    <t>A group of people appear to agree loudly with anything you say in 8 10ft squares. Anyone that touches the crowed must make a Seek action to examine and attempt to Disbelieve the illusion. the crowd is difficult terrain for people who believe the illusion. If you do any activity that requires a Performance check, or a Composition spell, this spell is Sustained as part of that action.</t>
  </si>
  <si>
    <t>Clockwork</t>
  </si>
  <si>
    <t>A group of people appear to agree loudly with anything you say in 9 10ft squares. Anyone that touches the crowed must make a Seek action to examine and attempt to Disbelieve the illusion. the crowd is difficult terrain for people who believe the illusion. If you do any activity that requires a Performance check, or a Composition spell, this spell is Sustained as part of that action.</t>
  </si>
  <si>
    <t>Phantom Steed</t>
  </si>
  <si>
    <t>You conjour a large magical horse that you (or a medium or smaller creature) can ride. The horse has 20 AC, 10 HP, and automatically fails all saving throws. Its speed is 40ft, and can hold a rider plus 20 bulk.</t>
  </si>
  <si>
    <t>Homunculus</t>
  </si>
  <si>
    <t>You conjour a large magical horse that you (or a medium or smaller creature) can ride. The horse has 20 AC, 10 HP, and automatically fails all saving throws. Its speed is 60ft, can hold a rider plus 20 bulk, can walk on water, and ignores natural difficult terrain.</t>
  </si>
  <si>
    <t>You conjour a large magical horse that you (or a medium or smaller creature) can ride. The horse has 20 AC, 10 HP, and automatically fails all saving throws. Its speed is 60ft, can hold a rider plus 20 bulk, can walk on water, ignores natural difficult terrain, and can Air walk (must end its turn on solid ground).</t>
  </si>
  <si>
    <t>You conjour a large magical horse that you (or a medium or smaller creature) can ride. The horse has 20 AC, 10 HP, and automatically fails all saving throws. Its speed is 80ft, can hold a rider plus 20 bulk, can walk on water, ignores natural difficult terrain, and can fly.</t>
  </si>
  <si>
    <t>Quench</t>
  </si>
  <si>
    <t>1/10min action: after being hit by a spell gain power for 1d4 rounds. Abj +1 to AC; Con 5ft cloud hide; Div +1 to skills; Ench +1 to saves; Evo 1d6 (per 2 lv) to attacker; Ill invis; Necr lv temp hp; Tran +1 to attack</t>
  </si>
  <si>
    <t>The area becomes saturated with water vapor, putting out all fires. Fire creatures take 4d8 damage with a save. You can attack to counteract one magical fire, spell, or item in the area, forcing it to lose its fire property for 10 minutes. Each time you sustain you can move the area, only putting out nonmagical fires. The Counterspell reaction can use quench to counter any spell with the fire trait.</t>
  </si>
  <si>
    <t>The area becomes saturated with water vapor, putting out all fires. Fire creatures take 6d8 damage with a save. You can attack to counteract one magical fire, spell, or item in the area, forcing it to lose its fire property for 10 minutes. Each time you sustain you can move the area, only putting out nonmagical fires. The Counterspell reaction can use quench to counter any spell with the fire trait.</t>
  </si>
  <si>
    <t>The area becomes saturated with water vapor, putting out all fires. Fire creatures take 8d8 damage with a save. You can attack to counteract one magical fire, spell, or item in the area, forcing it to lose its fire property for 10 minutes. Each time you sustain you can move the area, only putting out nonmagical fires. The Counterspell reaction can use quench to counter any spell with the fire trait.</t>
  </si>
  <si>
    <t>The area becomes saturated with water vapor, putting out all fires. Fire creatures take 10d8 damage with a save. You can attack to counteract one magical fire, spell, or item in the area, forcing it to lose its fire property for 10 minutes. Each time you sustain you can move the area, only putting out nonmagical fires. The Counterspell reaction can use quench to counter any spell with the fire trait.</t>
  </si>
  <si>
    <t>The area becomes saturated with water vapor, putting out all fires. Fire creatures take 12d8 damage with a save. You can attack to counteract one magical fire, spell, or item in the area, forcing it to lose its fire property for 10 minutes. Each time you sustain you can move the area, only putting out nonmagical fires. The Counterspell reaction can use quench to counter any spell with the fire trait.</t>
  </si>
  <si>
    <t>The area becomes saturated with water vapor, putting out all fires. Fire creatures take 14d8 damage with a save. You can attack to counteract one magical fire, spell, or item in the area, forcing it to lose its fire property for 10 minutes. Each time you sustain you can move the area, only putting out nonmagical fires. The Counterspell reaction can use quench to counter any spell with the fire trait.</t>
  </si>
  <si>
    <t>The area becomes saturated with water vapor, putting out all fires. Fire creatures take 16d8 damage with a save. You can attack to counteract one magical fire, spell, or item in the area, forcing it to lose its fire property for 10 minutes. Each time you sustain you can move the area, only putting out nonmagical fires. The Counterspell reaction can use quench to counter any spell with the fire trait.</t>
  </si>
  <si>
    <t>The area becomes saturated with water vapor, putting out all fires. Fire creatures take 18d8 damage with a save. You can attack to counteract one magical fire, spell, or item in the area, forcing it to lose its fire property for 10 minutes. Each time you sustain you can move the area, only putting out nonmagical fires. The Counterspell reaction can use quench to counter any spell with the fire trait.</t>
  </si>
  <si>
    <t>Gains weakness to Electricity damage equal to your level.</t>
  </si>
  <si>
    <t>The area becomes saturated with water vapor, putting out all fires. Fire creatures take 20d8 damage with a save. You can attack to counteract one magical fire, spell, or item in the area, forcing it to lose its fire property for 10 minutes. Each time you sustain you can move the area, only putting out nonmagical fires. The Counterspell reaction can use quench to counter any spell with the fire trait.</t>
  </si>
  <si>
    <t>Radiant Field</t>
  </si>
  <si>
    <t>Action to apply an injury poison to Adj. Ally's exposed weapon. You must of supplied the poison and spent 2 actions to put it in the homunculus.</t>
  </si>
  <si>
    <t>You create an area of bright light, forcing all creatures with Light Blindness trait to suffer. Each creature in the area must make a save at the start of their turn, becoming blinded for 1 round; this blindness has the Incapacitation trait. The spell suppresses magical darkness of this spell's level or lower.</t>
  </si>
  <si>
    <t>You create an area of bright light, forcing all creatures with Light Blindness trait to suffer. Each creature in the area must make a save at the start of their turn, becoming blinded for 1 round; this blindness has the Incapacitation trait. The spell suppresses magical darkness of this spell's level or lower, in addition to making anyone in the spell's area Concealed to all creatures with the Light Blindness trait.</t>
  </si>
  <si>
    <t>Alter Dweomer</t>
  </si>
  <si>
    <t>Rapid Adaptation</t>
  </si>
  <si>
    <t>Companion/Eidolon</t>
  </si>
  <si>
    <t>Electric Vulnerability</t>
  </si>
  <si>
    <t>Evolution based on surround terrain. Aquatic - Gains swim speed equal to land speed (or +10ft to swim speed); Artic - Immune to Severe/Extreme Cold, success to balance on ice and snow is a crit; Desert - immune to Severe/Extreme Heat, success to balance on sand is a crit; Forest - Imprecise scent 30ft; Mountain - Not flat-footed while climb, success to balance on rubbit is a crit; Planes - +10ft land speed; Underground - Darkvision.</t>
  </si>
  <si>
    <t>Reaper's Lantern</t>
  </si>
  <si>
    <t>Poison Reservoir</t>
  </si>
  <si>
    <t>5ft emanation</t>
  </si>
  <si>
    <t>You create a lantern you must hold to guide the living to death, and undead to true death. All creatures that are in or enter the area must make a save, using the same result if they leave and reenter the area. Living creatures that fail have their healing halved while in the area. Undead creatures that fail become enfeebled 1 in the area. Each turn you can use an action to increase the emanation of the spell by 5ft.</t>
  </si>
  <si>
    <t>Remove Fear</t>
  </si>
  <si>
    <t>Shadow</t>
  </si>
  <si>
    <t>With a touch, you ease a creature's fears. You can attempt to counteract a single fear effect that the target suffers from.</t>
  </si>
  <si>
    <t>You ease a upto 10 creatures' fears within 30ft. You can attempt to counteract a single fear effect that each target suffers from.</t>
  </si>
  <si>
    <t>Elemental Wisp</t>
  </si>
  <si>
    <t>Remove Paralysis</t>
  </si>
  <si>
    <t>Elemental</t>
  </si>
  <si>
    <t>A surge of energy frees a paralyzed creature. You can attempt to counteract a single effect imposing the paralyzed condition on the target. This does not cure someone who is paralyzed from some natural state or effect, such as paralysis caused by non-magical wounds or toxins.</t>
  </si>
  <si>
    <t>Action to become shadow. Half lv resistance to all damage (not force). Can only change back. Can squeeze through 1inch wide gaps.</t>
  </si>
  <si>
    <t>A surge of energy frees the paralysis from upto 10 creatures within 30ft. You can attempt to counteract a single effect imposing the paralyzed condition on the target. This does not cure someone who is paralyzed from some natural state or effect, such as paralysis caused by non-magical wounds or toxins.</t>
  </si>
  <si>
    <t>Resist Energy</t>
  </si>
  <si>
    <t>A shield of elemental energy protects a creature against one type of energy damage. Choose acid, cold, electricity, fire, or sonic damage. The target and its gear gain resistance 5 against the damage type you chose.</t>
  </si>
  <si>
    <t>Being intwined with nature gain the leading affinity.
Air: Flight; Earth: Burrow; Fire: Greater Fire Resistance; Water: Amphibious</t>
  </si>
  <si>
    <t>A shield of elemental energy protects 2 creatures against one type of energy damage. Choose acid, cold, electricity, fire, or sonic damage. The target and its gear gain resistance 10 against the damage type you chose.</t>
  </si>
  <si>
    <t>A shield of elemental energy protects 5 creatures against one type of energy damage. Choose acid, cold, electricity, fire, or sonic damage. The target and its gear gain resistance 15 against the damage type you chose.</t>
  </si>
  <si>
    <t>Restoration</t>
  </si>
  <si>
    <t>Restorative magic that counters a toxin or condition, after which the target becomes immune to this spell for 1 day. Choose one of the following effects: Lessen of Toxin - Reduce the stage of a toxin by 1. Can not cure the toxin, can not target a toxin previously reduced by this effect; Reduce a Condition - Reduce a Clumsey, Enfeebled, or Stupefied condition by 2, or two by 1.</t>
  </si>
  <si>
    <t>Restorative magic that reduces ill effects, after which the target becomes immune to this spell for 1 day. Choose one of the following effects: Lessen a Toxin - Reduce the stage of a toxin by 2. Can not cure the toxin, can not target a toxin previously reduced by this effect; Reduce a Condition - Reduce a Clumsey, Enfeebled, Stupefied, or Drained condition by 2, or two by 1; Cure Doomed - reduce a non-permenate doomed value by 1.</t>
  </si>
  <si>
    <t>All creatures within 30ft gain a +1 to damage rolls for effects with the same Elemental Trait</t>
  </si>
  <si>
    <t>Restorative magic that reduces ill effects, after which the target becomes immune to this spell for 1 day. Choose one of the following effects: Lessen a Toxin - Reduce the stage of a toxin by 2. Can not cure the toxin, can not target a toxin previously reduced by this effect; Reduce a Condition - Reduce a Clumsey, Enfeebled, Stupefied, or Drained condition by 2, or two by 1; Cure Doomed - reduce a doomed value by 1 (costs 100gp if permenate).</t>
  </si>
  <si>
    <t>Restore Senses</t>
  </si>
  <si>
    <t>You attempt to counteract a single magic effect imposing the blinded or deafened conditions on the target, restoring its vision or hearing. This spell can counteract both temporary magic and permanent magical effects, but not cue someone who lacks the senses from a wound, toxin, or never had them to begin with.</t>
  </si>
  <si>
    <t>You attempt to counteract a single magic effect imposing the blinded or deafened conditions on upto 10 different creatures within 30ft, restoring either their vision or hearing. This spell can counteract both temporary magic and permanent magical effects, but not cue someone who lacks the senses from a wound, toxin, or never had them to begin with.</t>
  </si>
  <si>
    <t>Become Shadow</t>
  </si>
  <si>
    <t>Rime Slick</t>
  </si>
  <si>
    <t>Calling down a chill wind you immeadately deal 2d4 cold damage to all creatures in the area, knocking them prone on a critical failure. A layer of ice turns the area into difficult terrain, and all unattended objects because slick and require a Reflex save or Acrobatic check to pick up (equal to DC). Any fire damage melts the ice from objects, but must be a higher level fire spell to melt the floor ice.</t>
  </si>
  <si>
    <t>Calling down a chill wind you immeadately deal 8d4 cold damage to all creatures within a 30ft burst, knocking them prone on a critical failure. A layer of ice turns the area into difficult terrain, and all unattended objects because slick and require a Reflex save or Acrobatic check to pick up (equal to DC). Any fire damage melts the ice from objects, but must be a higher level fire spell to melt the floor ice.</t>
  </si>
  <si>
    <t>Calling down a chill wind you immeadately deal 14d4 cold damage to all creatures within a 60ft burst, knocking them prone on a critical failure. A layer of ice turns the area into difficult terrain, and all unattended objects because slick and require a Reflex save or Acrobatic check to pick up (equal to DC). Any fire damage melts the ice from objects, but must be a higher level fire spell to melt the floor ice.</t>
  </si>
  <si>
    <t>Scorching Ray</t>
  </si>
  <si>
    <t>Resonance</t>
  </si>
  <si>
    <t>1+ creatures</t>
  </si>
  <si>
    <t>Blasting a ray of heat and flame, make an attack for each ray, dealing 2d6 fire damage on a hit. For each action you spend you can target another creature with another ray, adding to your multiple attack penalty but not increasing it until the spell ends. If you spent two or more actions on the spell the damage increases to 4d6 fire damage.</t>
  </si>
  <si>
    <t>Blasting a ray of heat and flame, make an attack for each ray, dealing 3d6 fire damage on a hit. For each action you spend you can target another creature with another ray, adding to your multiple attack penalty but not increasing it until the spell ends. If you spent two or more actions on the spell the damage increases to 6d6 fire damage.</t>
  </si>
  <si>
    <t>Blasting a ray of heat and flame, make an attack for each ray, dealing 4d6 fire damage on a hit. For each action you spend you can target another creature with another ray, adding to your multiple attack penalty but not increasing it until the spell ends. If you spent two or more actions on the spell the damage increases to 8d6 fire damage.</t>
  </si>
  <si>
    <t>Blasting a ray of heat and flame, make an attack for each ray, dealing 5d6 fire damage on a hit. For each action you spend you can target another creature with another ray, adding to your multiple attack penalty but not increasing it until the spell ends. If you spent two or more actions on the spell the damage increases to 10d6 fire damage.</t>
  </si>
  <si>
    <t>Blasting a ray of heat and flame, make an attack for each ray, dealing 6d6 fire damage on a hit. For each action you spend you can target another creature with another ray, adding to your multiple attack penalty but not increasing it until the spell ends. If you spent two or more actions on the spell the damage increases to 12d6 fire damage.</t>
  </si>
  <si>
    <t>Blasting a ray of heat and flame, make an attack for each ray, dealing 7d6 fire damage on a hit. For each action you spend you can target another creature with another ray, adding to your multiple attack penalty but not increasing it until the spell ends. If you spent two or more actions on the spell the damage increases to 14d6 fire damage.</t>
  </si>
  <si>
    <t>Blasting a ray of heat and flame, make an attack for each ray, dealing 8d6 fire damage on a hit. For each action you spend you can target another creature with another ray, adding to your multiple attack penalty but not increasing it until the spell ends. If you spent two or more actions on the spell the damage increases to 16d6 fire damage.</t>
  </si>
  <si>
    <t>Blasting a ray of heat and flame, make an attack for each ray, dealing 9d6 fire damage on a hit. For each action you spend you can target another creature with another ray, adding to your multiple attack penalty but not increasing it until the spell ends. If you spent two or more actions on the spell the damage increases to 18d6 fire damage.</t>
  </si>
  <si>
    <t>Blasting a ray of heat and flame, make an attack for each ray, dealing 10d6 fire damage on a hit. For each action you spend you can target another creature with another ray, adding to your multiple attack penalty but not increasing it until the spell ends. If you spent two or more actions on the spell the damage increases to 20d6 fire damage.</t>
  </si>
  <si>
    <t>Sea Surge</t>
  </si>
  <si>
    <t>Faerie Dragon</t>
  </si>
  <si>
    <t>Poppet</t>
  </si>
  <si>
    <t>Next turn</t>
  </si>
  <si>
    <t>Creates a wall of water that is 5ft thick, 10ft high, between 5-15ft wide. It moves 60ft in a direction of your choice along a surface you touch, killing non-magical fires, carries objects (of 1 bulk), and pushes anything larger. Next turn it moves 60ft before vanishing. Large or smaller creatures in the wave make a save: Failure - knocked prone (swimming creatures Crit Fail); Crit Fail - knocked prone, pushed 20ft, and takes 3d6 bludgeoning damage.</t>
  </si>
  <si>
    <t>See Invisibility</t>
  </si>
  <si>
    <t>Once per hour, full action for a 10ft cone. Fort save against Spell DC. On failure target is stupified 2 and slowed 1 for 1d4 rounds.</t>
  </si>
  <si>
    <t>You can see invisible creatures and objects. They appear to you as translucent shapes, and they are concealed to you.</t>
  </si>
  <si>
    <t>You can see invisible creatures and objects for 8 hours. They appear to you as translucent shapes, and they are concealed to you.</t>
  </si>
  <si>
    <t>Weak wicker construction grants Weakness to Fire equal to your lv. May spend 1 familiar ability to remove this trait.</t>
  </si>
  <si>
    <t>Shadow Zombie</t>
  </si>
  <si>
    <t>Action to teleport 30ft from shadow to shadow (or dim light).
Requirements: lv 7</t>
  </si>
  <si>
    <t>1 lv 1 zombie</t>
  </si>
  <si>
    <t>You turn a zombie into a shadowy vapor that you control, giving it resistance 8 to phyiscal damage, immunity to precision damage, fly speed of 10ft, and is a minion under your control. It can not cast spells, use items, make attacks, or manipulate. If the target is already your minion it auto crit fails, if it is not it gets a save. Crit success - immune to the spell for 24 hours; Success - unaffected; Fail - lasts for 1 min; Crit Fail - lasts for 10 min.</t>
  </si>
  <si>
    <t>You turn a zombie of upto lv5 into a shadowy vapor that you control, giving it resistance 8 to phyiscal damage, immunity to precision damage, fly speed of 10ft, and is a minion under your control. It can not cast spells, use items, make attacks, or manipulate. If the target is already your minion it auto crit fails, if it is not it gets a save. Crit success - immune to the spell for 24 hours; Fail - lasts for 1 min; Crit Fail - lasts for 10 min.</t>
  </si>
  <si>
    <t>Shape Wood</t>
  </si>
  <si>
    <t>Breath Shadow</t>
  </si>
  <si>
    <t>20ft³ of unworked wood</t>
  </si>
  <si>
    <t>You shape the wood into a rough shape of your choice. The shaping power is too crude to produce with intricate parts, fine details, moving pieces, or the like. You cannot use this spell to enhance the value of the wooden object you are shaping.</t>
  </si>
  <si>
    <t>Flammable</t>
  </si>
  <si>
    <t>Shatter</t>
  </si>
  <si>
    <t>1 unattended object</t>
  </si>
  <si>
    <t>A high-frequency sonic attack shatters a nearby object. You deal 2d10 sonic damage to the object, ignoring the object's Hardness if it is 4 or lower.</t>
  </si>
  <si>
    <t>Shadow Step</t>
  </si>
  <si>
    <t>A high-frequency sonic attack shatters a nearby object. You deal 3d10 sonic damage to the object, ignoring the object's Hardness if it is 6 or lower.</t>
  </si>
  <si>
    <t>A high-frequency sonic attack shatters a nearby object. You deal 4d10 sonic damage to the object, ignoring the object's Hardness if it is 8 or lower.</t>
  </si>
  <si>
    <t>A high-frequency sonic attack shatters a nearby object. You deal 5d10 sonic damage to the object, ignoring the object's Hardness if it is 10 or lower.</t>
  </si>
  <si>
    <t>A high-frequency sonic attack shatters a nearby object. You deal 6d10 sonic damage to the object, ignoring the object's Hardness if it is 12 or lower.</t>
  </si>
  <si>
    <t>A high-frequency sonic attack shatters a nearby object. You deal 7d10 sonic damage to the object, ignoring the object's Hardness if it is 14 or lower.</t>
  </si>
  <si>
    <t>A high-frequency sonic attack shatters a nearby object. You deal 8d10 sonic damage to the object, ignoring the object's Hardness if it is 16 or lower.</t>
  </si>
  <si>
    <t>A high-frequency sonic attack shatters a nearby object. You deal 9d10 sonic damage to the object, ignoring the object's Hardness if it is 18 or lower.</t>
  </si>
  <si>
    <t>A high-frequency sonic attack shatters a nearby object. You deal 10d10 sonic damage to the object, ignoring the object's Hardness if it is 20 or lower.</t>
  </si>
  <si>
    <t>Shield Other</t>
  </si>
  <si>
    <t>Forging a link between your health and another, the target only takes half damage from all effects that deal HP damage for the duration, with you taking the other half. When you take damage this way you do not apply resistances, weaknesses, or other abilities to reduce the damage taken. The spell ends if you move out of 30ft or the either of you are reduced to 0hp.</t>
  </si>
  <si>
    <t>Shrink</t>
  </si>
  <si>
    <t>Nosoi</t>
  </si>
  <si>
    <t>You warp space to make a creature smaller. The target shrinks to become Tiny in size. Its equipment shrinks with it but returns to its original size if removed. The creature's reach changes to 0 feet. This spell has no effect on a Tiny creature.</t>
  </si>
  <si>
    <t>You warp space to make upto 10 creatures smaller. The target shrinks to become Tiny in size. Its equipment shrinks with it but returns to its original size if removed. The creature's reach changes to 0 feet. This spell has no effect on a Tiny creature.</t>
  </si>
  <si>
    <t>Silence</t>
  </si>
  <si>
    <t>It has no land speed.</t>
  </si>
  <si>
    <t>The target makes no sound, preventing creatures from noticing it using hearing or other senses alone. The target can't use sonic attacks, nor can it use actions with the auditory trait. This prevents it from casting spells that include verbal components.</t>
  </si>
  <si>
    <t>A 10ft area surrounding the target makes no sound, preventing creatures from noticing it using hearing or other senses alone. Creatures in the area can't use sonic attacks, nor can it use actions with the auditory trait. This prevents them from casting spells that include verbal components.</t>
  </si>
  <si>
    <t>1/hr full action: Each living and undead (can be mindless) within 60ft make a Will save or be Fascinated for 1 round. Can use this action on next turns to make all still affected make a new save to extend the effect.</t>
  </si>
  <si>
    <t>Slough Skin</t>
  </si>
  <si>
    <t>When you use the refocus ability it regains 2hp per lv.</t>
  </si>
  <si>
    <t>Your skin continually sloughs off, regenerating as it does so. The flat check to remove persistant damage for skin coating (like acid) is reduced to DC 5. You gain a +2 status bonus against the inital save of contact poison. If any other effect is applied to you that requires consistant contact you can make a new save at the end of your turn with a +2 bonus. Finally you are easier to track, giving anyone tracking you a +2 circumstance bonus.</t>
  </si>
  <si>
    <t>Cant Walk</t>
  </si>
  <si>
    <t>Sonata Span</t>
  </si>
  <si>
    <t>Playing music, the notes manifest into a shimmering, translucent path. The path must be straight, but does not need to be over land, and can tilt virtically 45 degrees. The path is 5ft wide and has no upper weight limit.</t>
  </si>
  <si>
    <t>Haunting Melody</t>
  </si>
  <si>
    <t>Sound Burst</t>
  </si>
  <si>
    <t>Slime Rejuvination</t>
  </si>
  <si>
    <t>A blast of noise that deals 2d10 sonic damage to each creature in the area. On a successful save the creatures takes half damage. On a failure they take full damage and are deafened for 1 round. Crit Fail results in double damage, deafened for 1 minute, and stunned 1.</t>
  </si>
  <si>
    <t>A blast of noise that deals 3d10 sonic damage to each creature in the area. On a successful save the creatures takes half damage. On a failure they take full damage and are deafened for 1 round. Crit Fail results in double damage, deafened for 1 minute, and stunned 1.</t>
  </si>
  <si>
    <t>A blast of noise that deals 4d10 sonic damage to each creature in the area. On a successful save the creatures takes half damage. On a failure they take full damage and are deafened for 1 round. Crit Fail results in double damage, deafened for 1 minute, and stunned 1.</t>
  </si>
  <si>
    <t>A blast of noise that deals 5d10 sonic damage to each creature in the area. On a successful save the creatures takes half damage. On a failure they take full damage and are deafened for 1 round. Crit Fail results in double damage, deafened for 1 minute, and stunned 1.</t>
  </si>
  <si>
    <t>A blast of noise that deals 6d10 sonic damage to each creature in the area. On a successful save the creatures takes half damage. On a failure they take full damage and are deafened for 1 round. Crit Fail results in double damage, deafened for 1 minute, and stunned 1.</t>
  </si>
  <si>
    <t>A blast of noise that deals 7d10 sonic damage to each creature in the area. On a successful save the creatures takes half damage. On a failure they take full damage and are deafened for 1 round. Crit Fail results in double damage, deafened for 1 minute, and stunned 1.</t>
  </si>
  <si>
    <t>A blast of noise that deals 8d10 sonic damage to each creature in the area. On a successful save the creatures takes half damage. On a failure they take full damage and are deafened for 1 round. Crit Fail results in double damage, deafened for 1 minute, and stunned 1.</t>
  </si>
  <si>
    <t>A blast of noise that deals 9d10 sonic damage to each creature in the area. On a successful save the creatures takes half damage. On a failure they take full damage and are deafened for 1 round. Crit Fail results in double damage, deafened for 1 minute, and stunned 1.</t>
  </si>
  <si>
    <t>A blast of noise that deals 10d10 sonic damage to each creature in the area. On a successful save the creatures takes half damage. On a failure they take full damage and are deafened for 1 round. Crit Fail results in double damage, deafened for 1 minute, and stunned 1.</t>
  </si>
  <si>
    <t>Speak with Animals</t>
  </si>
  <si>
    <t>You can ask questions of, receive answers from, and use the Diplomacy skill with animals. The spell doesn't make them more friendly than normal. Cunning animals are likely to be terse and evasive, while less intelligent ones often make inane comments.</t>
  </si>
  <si>
    <t>Spectral Hand</t>
  </si>
  <si>
    <t>Imp</t>
  </si>
  <si>
    <t>You create a semicorporeal hand capable of delivering touch range spells for you. The hand will crawl to the target, deliver your spell and then crawl back, and uses your normal attack bonuses when making melee attacks. The hand has your AC and saves bonuses, but if it takes any damage it is destroyed and you take 1d6 damage.</t>
  </si>
  <si>
    <t>Spider Climb</t>
  </si>
  <si>
    <t>Must be wound once a day to work. Enemies can reduce this time with a Disable check. Some abilities lower this operational time.</t>
  </si>
  <si>
    <t>Tiny clinging hairs sprout across the creature's hands and feet, offering purchase on nearly any surface. The target gains a climb Speed equal to its Speed.</t>
  </si>
  <si>
    <t>Tiny clinging hairs sprout across the creature's hands and feet, offering purchase on nearly any surface for the next hour. The target gains a climb Speed equal to its Speed.</t>
  </si>
  <si>
    <t>Spirit Sense</t>
  </si>
  <si>
    <t>1/hr: cast 2nd lv Invisibility on itself.</t>
  </si>
  <si>
    <t xml:space="preserve">Enhancing your senses to spirits and haunts, you dont need to be Searching to get a check to find them. In addition you gain a +1 status bonus to the following spirit related checks: Perception to Seek, Recall Knowledge, determining the reason for existance, disabling a haunt, and AC/Saves against haunts and spirits. </t>
  </si>
  <si>
    <t xml:space="preserve">Enhancing your senses to spirits and haunts until your next daily prep, you dont need to be Searching to get a check to find them. In addition you gain a +1 status bonus to the following spirit related checks: Perception to Seek, Recall Knowledge, determining the reason for existance, disabling a haunt, and AC/Saves against haunts and spirits. </t>
  </si>
  <si>
    <t>Spiritual Weapon</t>
  </si>
  <si>
    <t>Can Hide or end its Sneak in a creature's or object's shadow.</t>
  </si>
  <si>
    <t>You manifest a weapon of force to attack creatures dealing 1d8+[spell ability mod] force damage. On casting this spell you make a melee strike against any creature in range, and can make another strike against any creature in range each time you sustain this spell. This adds to MAP, and counts as a weapon attack. The weapon does not take up space, grant flanking, have any attributes, or is affected by feats.</t>
  </si>
  <si>
    <t>You manifest a weapon of force to attack creatures dealing 2d8+[spell ability mod] force damage. On casting this spell you make a melee strike against any creature in range, and can make another strike against any creature in range each time you sustain this spell. This adds to MAP, and counts as a weapon attack. The weapon does not take up space, grant flanking, have any attributes, or is affected by feats.</t>
  </si>
  <si>
    <t>You manifest a weapon of force to attack creatures dealing 3d8+[spell ability mod] force damage. On casting this spell you make a melee strike against any creature in range, and can make another strike against any creature in range each time you sustain this spell. This adds to MAP, and counts as a weapon attack. The weapon does not take up space, grant flanking, have any attributes, or is affected by feats.</t>
  </si>
  <si>
    <t>You manifest a weapon of force to attack creatures dealing 4d8+[spell ability mod] force damage. On casting this spell you make a melee strike against any creature in range, and can make another strike against any creature in range each time you sustain this spell. This adds to MAP, and counts as a weapon attack. The weapon does not take up space, grant flanking, have any attributes, or is affected by feats.</t>
  </si>
  <si>
    <t>You manifest a weapon of force to attack creatures dealing 5d8+[spell ability mod] force damage. On casting this spell you make a melee strike against any creature in range, and can make another strike against any creature in range each time you sustain this spell. This adds to MAP, and counts as a weapon attack. The weapon does not take up space, grant flanking, have any attributes, or is affected by feats.</t>
  </si>
  <si>
    <t>Status</t>
  </si>
  <si>
    <t>As long as you and the target are on the same plane of existence and both alive, you remain aware of its present state. You know the target's direction from you, distance from you, and any conditions affecting it.</t>
  </si>
  <si>
    <t>Affecting upto 10 willing creatures within 30ft, as long as everyone is on the same plane of existence and alive, you remain aware of their present state. You know the target's direction from you, distance from you, and any conditions affecting it.</t>
  </si>
  <si>
    <t>Sudden Blight</t>
  </si>
  <si>
    <t>Imp Invisibility</t>
  </si>
  <si>
    <t>Accelerating the processes of decay, each living creature in the area takes 2d10 negative damage. Creatures affected by a disease have a -2 circumstance penalty to this save. The spell instantly destroys small and tiny non-creature plants, eliminating nonmagical undergrowth, and plant based difficult terrain, cover, and concealment. Attempt to counteract magical plants before withering them.</t>
  </si>
  <si>
    <t>Accelerating the processes of decay, each living creature in the area takes 3d10 negative damage. Creatures affected by a disease have a -2 circumstance penalty to this save. The spell instantly destroys small and tiny non-creature plants, eliminating nonmagical undergrowth, and plant based difficult terrain, cover, and concealment. Attempt to counteract magical plants before withering them.</t>
  </si>
  <si>
    <t>Accelerating the processes of decay, each living creature in the area takes 4d10 negative damage. Creatures affected by a disease have a -2 circumstance penalty to this save. The spell instantly destroys small and tiny non-creature plants, eliminating nonmagical undergrowth, and plant based difficult terrain, cover, and concealment. Attempt to counteract magical plants before withering them.</t>
  </si>
  <si>
    <t>Accelerating the processes of decay, each living creature in the area takes 5d10 negative damage. Creatures affected by a disease have a -2 circumstance penalty to this save. The spell instantly destroys small and tiny non-creature plants, eliminating nonmagical undergrowth, and plant based difficult terrain, cover, and concealment. Attempt to counteract magical plants before withering them.</t>
  </si>
  <si>
    <t>Accelerating the processes of decay, each living creature in the area takes 6d10 negative damage. Creatures affected by a disease have a -2 circumstance penalty to this save. The spell instantly destroys small and tiny non-creature plants, eliminating nonmagical undergrowth, and plant based difficult terrain, cover, and concealment. Attempt to counteract magical plants before withering them.</t>
  </si>
  <si>
    <t>Accelerating the processes of decay, each living creature in the area takes 7d10 negative damage. Creatures affected by a disease have a -2 circumstance penalty to this save. The spell instantly destroys small and tiny non-creature plants, eliminating nonmagical undergrowth, and plant based difficult terrain, cover, and concealment. Attempt to counteract magical plants before withering them.</t>
  </si>
  <si>
    <t>Slink in Shadows</t>
  </si>
  <si>
    <t>Accelerating the processes of decay, each living creature in the area takes 8d10 negative damage. Creatures affected by a disease have a -2 circumstance penalty to this save. The spell instantly destroys small and tiny non-creature plants, eliminating nonmagical undergrowth, and plant based difficult terrain, cover, and concealment. Attempt to counteract magical plants before withering them.</t>
  </si>
  <si>
    <t>Accelerating the processes of decay, each living creature in the area takes 9d10 negative damage. Creatures affected by a disease have a -2 circumstance penalty to this save. The spell instantly destroys small and tiny non-creature plants, eliminating nonmagical undergrowth, and plant based difficult terrain, cover, and concealment. Attempt to counteract magical plants before withering them.</t>
  </si>
  <si>
    <t>Accelerating the processes of decay, each living creature in the area takes 10d10 negative damage. Creatures affected by a disease have a -2 circumstance penalty to this save. The spell instantly destroys small and tiny non-creature plants, eliminating nonmagical undergrowth, and plant based difficult terrain, cover, and concealment. Attempt to counteract magical plants before withering them.</t>
  </si>
  <si>
    <t>Sudden Bolt</t>
  </si>
  <si>
    <t>Calling down a small bolt of lighting, you deal 4d12 electricity damage to the target.</t>
  </si>
  <si>
    <t>Calling down a small bolt of lighting, you deal 5d12 electricity damage to the target.</t>
  </si>
  <si>
    <t>Calling down a small bolt of lighting, you deal 6d12 electricity damage to the target.</t>
  </si>
  <si>
    <t>Calling down a small bolt of lighting, you deal 7d12 electricity damage to the target.</t>
  </si>
  <si>
    <t>Calling down a small bolt of lighting, you deal 8d12 electricity damage to the target.</t>
  </si>
  <si>
    <t>Calling down a small bolt of lighting, you deal 9d12 electricity damage to the target.</t>
  </si>
  <si>
    <t>Calling down a small bolt of lighting, you deal 10d12 electricity damage to the target.</t>
  </si>
  <si>
    <t>Calling down a small bolt of lighting, you deal 11d12 electricity damage to the target.</t>
  </si>
  <si>
    <t>Calling down a small bolt of lighting, you deal 12d12 electricity damage to the target.</t>
  </si>
  <si>
    <t>Summon Elemental</t>
  </si>
  <si>
    <t>Summon a common creature whose level is -1 or below, and has the elemental tag to fight for you.</t>
  </si>
  <si>
    <t>Summon a common creature whose level is 2 or below, and has the elemental tag to fight for you.</t>
  </si>
  <si>
    <t>Summon a common creature whose level is 3 or below, and has the elemental tag to fight for you.</t>
  </si>
  <si>
    <t>Summon a common creature whose level is 5 or below, and has the elemental tag to fight for you.</t>
  </si>
  <si>
    <t>Summon a common creature whose level is 7 or below, and has the elemental tag to fight for you.</t>
  </si>
  <si>
    <t>Summon a common creature whose level is 9 or below, and has the elemental tag to fight for you.</t>
  </si>
  <si>
    <t>Summon a common creature whose level is 11 or below, and has the elemental tag to fight for you.</t>
  </si>
  <si>
    <t>Summon a common creature whose level is 13 or below, and has the elemental tag to fight for you.</t>
  </si>
  <si>
    <t>Summon a common creature whose level is 15 or below, and has the elemental tag to fight for you.</t>
  </si>
  <si>
    <t>Summoner's Precaution</t>
  </si>
  <si>
    <t>Creating a buffer between your eidolon and yourself, you gain the reaction Sever Conduit that once used ends the spell. Sever Conduit Reaction: If your eidolon takes damage (not from a death effect) that would reduce you to 0hp you demanifest your eidolon and avoid the triggering damage. The eidolon can not be resummed for 1 minute, and still suffers any adverse effects from the triggering attack.</t>
  </si>
  <si>
    <t>Immunity to Bleed, Death, Disease, Doomed, Drained, Fatiqued, Healing, Necromancy, Nonlethal, Paralyzed, Poison, Sickened, and Unconcious. Use Repair to heal.</t>
  </si>
  <si>
    <t>Summoner's Visage</t>
  </si>
  <si>
    <t>Your eidolon transforms into your identical twin, gaining the humanoid trait (if applicable) in addition to any other traits. It has a +4 to deception checks to impersinate you, adding its level if untrained, but doesnt gain any new abilities. If it shrinks it loses the benifit of its size, but can still use Eidolon specific gear. You can dismiss the spell.</t>
  </si>
  <si>
    <t>Your eidolon transforms into your identical twin, gaining the humanoid trait (if applicable) in addition to any other traits for 1 hour. It has a +4 to deception checks to impersinate you, adding its level if untrained, but doesnt gain any new abilities. If it shrinks it loses the benifit of its size, but can still use Eidolon specific gear. You can dismiss the spell.</t>
  </si>
  <si>
    <t>1/day action: enter a pact with someone within 15ft. Lasts 1 hour, and grants Fortune (advantage). If they die in this hour their soul is forfiet.</t>
  </si>
  <si>
    <t>Swallow Light</t>
  </si>
  <si>
    <t>1 magical light</t>
  </si>
  <si>
    <t>Drawing a magical light source into your mouth you gain the ability to breath dark energy. On a successful counteract check you gain the 2 action ability to beath a 15ft cone (Basic Reflex) dealing 1d6 cold, and 1d6 negative damage. Once used you can not use this attack for 1d4 rounds.</t>
  </si>
  <si>
    <t>Drawing a magical light source into your mouth you gain the ability to breath dark energy. On a successful counteract check you gain the 2 action ability to beath a 15ft cone (Basic Reflex) dealing 2d6 cold, and 2d6 negative damage. Once used you can not use this attack for 1d4 rounds.</t>
  </si>
  <si>
    <t>Drawing a magical light source into your mouth you gain the ability to breath dark energy. On a successful counteract check you gain the 2 action ability to beath a 15ft cone (Basic Reflex) dealing 3d6 cold, and 3d6 negative damage. Once used you can not use this attack for 1d4 rounds.</t>
  </si>
  <si>
    <t>Drawing a magical light source into your mouth you gain the ability to breath dark energy. On a successful counteract check you gain the 2 action ability to beath a 15ft cone (Basic Reflex) dealing 4d6 cold, and 4d6 negative damage. Once used you can not use this attack for 1d4 rounds.</t>
  </si>
  <si>
    <t>Drawing a magical light source into your mouth you gain the ability to breath dark energy. On a successful counteract check you gain the 2 action ability to beath a 15ft cone (Basic Reflex) dealing 5d6 cold, and 5d6 negative damage. Once used you can not use this attack for 1d4 rounds.</t>
  </si>
  <si>
    <t>1/10min Action: melee spell attack to enfeedble 1. On hit this attack also steals the target's shadow for 1 day, at which point enfeeble also ends, unless the enfeebled is ended before this time.</t>
  </si>
  <si>
    <t>Teeth to Terror</t>
  </si>
  <si>
    <t>1 creature with teeth</t>
  </si>
  <si>
    <t>Believing its teeth are falling out, the target takes 2d4 mental damage and 1d4 persistant mental damage. The target has -1 to all teeth based attacks while suffering from the persistant damage. On a successful save they take half damage and no persistant. On a failure they take full damage and are frightened 1. On a Crit Fail they take full damage and become frightened 3.</t>
  </si>
  <si>
    <t>Constructed</t>
  </si>
  <si>
    <t>Believing their teeth are falling out, the upto 3 targets takes 4d4 mental damage and 2d4 persistant mental damage. The target has -1 to all teeth based attacks while suffering from the persistant damage. On a successful save they take half damage and no persistant. On a failure they take full damage and are frightened 1. On a Crit Fail they take full damage and become frightened 3.</t>
  </si>
  <si>
    <t>Believing their teeth are falling out, the upto 5 targets takes 6d4 mental damage and 3d4 persistant mental damage. The target has -1 to all teeth based attacks while suffering from the persistant damage. On a successful save they take half damage and no persistant. On a failure they take full damage and are frightened 1. On a Crit Fail they take full damage and become frightened 3.</t>
  </si>
  <si>
    <t>Believing their teeth are falling out, the upto 7 targets takes 8d4 mental damage and 4d4 persistant mental damage. The target has -1 to all teeth based attacks while suffering from the persistant damage. On a successful save they take half damage and no persistant. On a failure they take full damage and are frightened 1. On a Crit Fail they take full damage and become frightened 3.</t>
  </si>
  <si>
    <t>Believing their teeth are falling out, the upto 9 targets takes 10d4 mental damage and 5d4 persistant mental damage. The target has -1 to all teeth based attacks while suffering from the persistant damage. On a successful save they take half damage and no persistant. On a failure they take full damage and are frightened 1. On a Crit Fail they take full damage and become frightened 3.</t>
  </si>
  <si>
    <t>Telekinetic Maneuver</t>
  </si>
  <si>
    <t>Infernal Temptation</t>
  </si>
  <si>
    <t>With a rush of telekinetic power, you move a foe or something they carry. You can attempt to Disarm, Shove, or Trip the target using a spell attack roll instead of an Athletics check.</t>
  </si>
  <si>
    <t>Thundering Dominance</t>
  </si>
  <si>
    <t>Steal Shadow</t>
  </si>
  <si>
    <t>Companion or eidolon</t>
  </si>
  <si>
    <t>A shroud of predatory power amplify its vocals giving it a +1 status bonus to intimidation checks, and can use the Thundering Roar action once. Thundering Roar: Each enemy in a 10ft emanation takes 4d8 sonic damage with a basic Will save against your spell DC, and are frightened 1 on a failure.</t>
  </si>
  <si>
    <t>A shroud of predatory power amplify its vocals giving it a +2 status bonus to intimidation checks, and can use the Thundering Roar action once. Thundering Roar: Each enemy in a 10ft emanation takes 6d8 sonic damage with a basic Will save against your spell DC, and are frightened 1 on a failure.</t>
  </si>
  <si>
    <t>A shroud of predatory power amplify its vocals giving it a +3 status bonus to intimidation checks, and can use the Thundering Roar action once. Thundering Roar: Each enemy in a 10ft emanation takes 8d8 sonic damage with a basic Will save against your spell DC, and are frightened 1 on a failure.</t>
  </si>
  <si>
    <t>A shroud of predatory power amplify its vocals giving it a +4 status bonus to intimidation checks, and can use the Thundering Roar action once. Thundering Roar: Each enemy in a 10ft emanation takes 10d8 sonic damage with a basic Will save against your spell DC, and are frightened 1 on a failure.</t>
  </si>
  <si>
    <t>A shroud of predatory power amplify its vocals giving it a +4 status bonus to intimidation checks, and can use the Thundering Roar action once. Thundering Roar: Each enemy in a 10ft emanation takes 12d8 sonic damage with a basic Will save against your spell DC, and are frightened 1 on a failure.</t>
  </si>
  <si>
    <t>Timely Tutor</t>
  </si>
  <si>
    <t>Your eidolon or familiar</t>
  </si>
  <si>
    <t>Allowing the target to enter the Akashic record (a demiplane of libraries) they get to add you spellcasting ability mod to Recall Knowledge checks with a Lore of your choice. Familiars must have the speech ability to share knowledge. Eidolons simply become trained in a Lore skill.</t>
  </si>
  <si>
    <t>Calligraphy Wyrm</t>
  </si>
  <si>
    <t>Touch of Idiocy</t>
  </si>
  <si>
    <t>Construct</t>
  </si>
  <si>
    <t>You dull the target's mind. On a successful save the target is unaffected. On a failure the target is stupefied 2. Critical failure results in the target being stupefied 4.</t>
  </si>
  <si>
    <t>Vulnerability to sonic attacks. Weakness to sonic damage equal to level.</t>
  </si>
  <si>
    <t>Tree Shape</t>
  </si>
  <si>
    <t>1/10min: use an action to spray a 10ft cone of ink. Each creature makes a Reflex save or be affected by Glitterydust, except the creature is not dazzled. Takes an action to remove the effect.</t>
  </si>
  <si>
    <t>You become a Large tree. Perceptions checks only see tree, but successful Nature or Survival checks against spell DC reveal you are a newer tree. While in this form you can observe your surroundings, but cant take any actions other the ending the spell (single action that ends your turn). As a tree your AC is 20, auto fail Reflex saves, and can only be affected by status and circumstance bonuses/penalties.</t>
  </si>
  <si>
    <t>Umbral Extraction</t>
  </si>
  <si>
    <t>As an action can blow a smoke screen to grant a +1 to intimidation and is conceals its square. Lasts for 1 round, can be done once per minute, and costs 1 hour of operation time.</t>
  </si>
  <si>
    <t>3 rounds</t>
  </si>
  <si>
    <t>Gain the Steal a Spell action, attempt a Thievery check to steal a level 1 spell slot (or lv 2 on a crit) from a caster. The spell stolen is randomly picked from its level, must be cast within the duration, you know what the spell is, and deals 1d4 mental damage per lv of spellslot stolen. You can not steal focus, innate, cantrips, or more than 1 spell. Prepared casters lose the prepared spell, and spontanious casters lose the spell slot.</t>
  </si>
  <si>
    <t>Gain the Steal a Spell action, attempt a Thievery check to steal a level 2 spell slot (or lv 3 on a crit) from a caster. The spell stolen is randomly picked from its level, must be cast within the duration, you know what the spell is, and deals 1d4 mental damage per lv of spellslot stolen. You can not steal focus, innate, cantrips, or more than 1 spell. Prepared casters lose the prepared spell, and spontanious casters lose the spell slot.</t>
  </si>
  <si>
    <t>Gain the Steal a Spell action, attempt a Thievery check to steal a level 3 spell slot (or lv 4 on a crit) from a caster. The spell stolen is randomly picked from its level, must be cast within the duration, you know what the spell is, and deals 1d4 mental damage per lv of spellslot stolen. You can not steal focus, innate, cantrips, or more than 1 spell. Prepared casters lose the prepared spell, and spontanious casters lose the spell slot.</t>
  </si>
  <si>
    <t>Gain the Steal a Spell action, attempt a Thievery check to steal a level 4 spell slot (or lv 5 on a crit) from a caster. The spell stolen is randomly picked from its level, must be cast within the duration, you know what the spell is, and deals 1d4 mental damage per lv of spellslot stolen. You can not steal focus, innate, cantrips, or more than 1 spell. Prepared casters lose the prepared spell, and spontanious casters lose the spell slot.</t>
  </si>
  <si>
    <t>Gain the Steal a Spell action, attempt a Thievery check to steal a level 5 spell slot (or lv 6 on a crit) from a caster. The spell stolen is randomly picked from its level, must be cast within the duration, you know what the spell is, and deals 1d4 mental damage per lv of spellslot stolen. You can not steal focus, innate, cantrips, or more than 1 spell. Prepared casters lose the prepared spell, and spontanious casters lose the spell slot.</t>
  </si>
  <si>
    <t>Crystalline</t>
  </si>
  <si>
    <t>Gain the Steal a Spell action, attempt a Thievery check to steal a level 6 spell slot (or lv 7 on a crit) from a caster. The spell stolen is randomly picked from its level, must be cast within the duration, you know what the spell is, and deals 1d4 mental damage per lv of spellslot stolen. You can not steal focus, innate, cantrips, or more than 1 spell. Prepared casters lose the prepared spell, and spontanious casters lose the spell slot.</t>
  </si>
  <si>
    <t>Gain the Steal a Spell action, attempt a Thievery check to steal a level 7 spell slot (or lv 8 on a crit) from a caster. The spell stolen is randomly picked from its level, must be cast within the duration, you know what the spell is, and deals 1d4 mental damage per lv of spellslot stolen. You can not steal focus, innate, cantrips, or more than 1 spell. Prepared casters lose the prepared spell, and spontanious casters lose the spell slot.</t>
  </si>
  <si>
    <t>Gain the Steal a Spell action, attempt a Thievery check to steal a level 8 spell slot (or lv 9 on a crit) from a caster. The spell stolen is randomly picked from its level, must be cast within the duration, you know what the spell is, and deals 1d4 mental damage per lv of spellslot stolen. You can not steal focus, innate, cantrips, or more than 1 spell. Prepared casters lose the prepared spell, and spontanious casters lose the spell slot.</t>
  </si>
  <si>
    <t>Gain the Steal a Spell action, attempt a Thievery check to steal a level 9 spell slot (or lv 10 on a crit) from a caster. The spell stolen is randomly picked from its level, must be cast within the duration, you know what the spell is, and deals 1d4 mental damage per lv of spellslot stolen. You can not steal focus, innate, cantrips, or more than 1 spell. Prepared casters lose the prepared spell, and spontanious casters lose the spell slot.</t>
  </si>
  <si>
    <t>Umbral Mindtheft</t>
  </si>
  <si>
    <t>Ink Spray</t>
  </si>
  <si>
    <t>Can use the Steal action to take a random Lore proficiency from the target, dealing 2d6 mental damage per rank in the skill. On a crit you can choose the stolen Lore. Your new Lore proficiency lasts until your next Daily prep or when you are incapacitated. You can only steal one lore and must keep it.</t>
  </si>
  <si>
    <t>Undetectable Alignment</t>
  </si>
  <si>
    <t>You shroud a creature or object in wards that hide its alignment. The target appears to be neutral to all effects that would detect its alignment.</t>
  </si>
  <si>
    <t>Steam Screen</t>
  </si>
  <si>
    <t>Vicious Jealousy</t>
  </si>
  <si>
    <t>You warp the target's mind with resentment against other creatures. On a successful save the target no longer treats anyone as its allies for 1 round, then the spell ends. On a Failure the target no longer treats anyone as allies, doesnt direcly take helpful actions, or cast beneficial spells on them, but will still fight the same foe. Crit failure is the same as failure, but its first action on each turn must be used insulting a former ally within reach.</t>
  </si>
  <si>
    <t>You warp upto 10 targets' mind with resentment against other creatures. On a successful save the target no longer treats anyone as its allies for 1 round, then the spell ends. On a Failure the target no longer treats anyone as allies, doesnt direcly take helpful actions, or cast beneficial spells on them, but will still fight the same foe. Crit failure is the same as failure, but its first action on each turn must be used insulting a former ally within reach.</t>
  </si>
  <si>
    <t>Vomit Swarm</t>
  </si>
  <si>
    <t>Spewing out magical vermin that swarm over all, dealing 2d8 piercing damage. A creature that fails its save is sickened 1. The vermin are usually a mix of centipedes, roaches, wasps, and worms.</t>
  </si>
  <si>
    <t>Spewing out magical vermin that swarm over all, dealing 3d8 piercing damage. A creature that fails its save is sickened 1. The vermin are usually a mix of centipedes, roaches, wasps, and worms.</t>
  </si>
  <si>
    <t>Spewing out magical vermin that swarm over all, dealing 4d8 piercing damage. A creature that fails its save is sickened 1. The vermin are usually a mix of centipedes, roaches, wasps, and worms.</t>
  </si>
  <si>
    <t>Spewing out magical vermin that swarm over all, dealing 5d8 piercing damage. A creature that fails its save is sickened 1. The vermin are usually a mix of centipedes, roaches, wasps, and worms.</t>
  </si>
  <si>
    <t>After spending 10 minutes in dim light or darkness regain HP equal to half lv.</t>
  </si>
  <si>
    <t>Spewing out magical vermin that swarm over all, dealing 6d8 piercing damage. A creature that fails its save is sickened 1. The vermin are usually a mix of centipedes, roaches, wasps, and worms.</t>
  </si>
  <si>
    <t>Spewing out magical vermin that swarm over all, dealing 7d8 piercing damage. A creature that fails its save is sickened 1. The vermin are usually a mix of centipedes, roaches, wasps, and worms.</t>
  </si>
  <si>
    <t>Spewing out magical vermin that swarm over all, dealing 8d8 piercing damage. A creature that fails its save is sickened 1. The vermin are usually a mix of centipedes, roaches, wasps, and worms.</t>
  </si>
  <si>
    <t>Spewing out magical vermin that swarm over all, dealing 9d8 piercing damage. A creature that fails its save is sickened 1. The vermin are usually a mix of centipedes, roaches, wasps, and worms.</t>
  </si>
  <si>
    <t>Spewing out magical vermin that swarm over all, dealing 10d8 piercing damage. A creature that fails its save is sickened 1. The vermin are usually a mix of centipedes, roaches, wasps, and worms.</t>
  </si>
  <si>
    <t>Warrior's Regret</t>
  </si>
  <si>
    <t>Gains 30ft imprecise sense to smell magic of its tradition.</t>
  </si>
  <si>
    <t>You fill the target's mind with regret for its violence. On a successful save, the spell lasts until the end of the target's next turn where it takes 1d8 damage for each creature it harmed this turn (max of 4 creatures). Failure results in the spell lasting until the target goes an entire round not harming anyone. Critical failure has the spell last until the target has taken 24 hours atoning for the harm it has caused.</t>
  </si>
  <si>
    <t>You fill the target's mind with regret for its violence. On a successful save, the spell lasts until the end of the target's next turn where it takes 2d8 damage for each creature it harmed this turn (max of 4 creatures). Failure results in the spell lasting until the target goes an entire round not harming anyone. Critical failure has the spell last until the target has taken 24 hours atoning for the harm it has caused.</t>
  </si>
  <si>
    <t>You fill the target's mind with regret for its violence. On a successful save, the spell lasts until the end of the target's next turn where it takes 3d8 damage for each creature it harmed this turn (max of 4 creatures). Failure results in the spell lasting until the target goes an entire round not harming anyone. Critical failure has the spell last until the target has taken 24 hours atoning for the harm it has caused.</t>
  </si>
  <si>
    <t>Can use its claw as a pen without having to purchase ink.</t>
  </si>
  <si>
    <t>You fill the target's mind with regret for its violence. On a successful save, the spell lasts until the end of the target's next turn where it takes 4d8 damage for each creature it harmed this turn (max of 4 creatures). Failure results in the spell lasting until the target goes an entire round not harming anyone. Critical failure has the spell last until the target has taken 24 hours atoning for the harm it has caused.</t>
  </si>
  <si>
    <t>You fill the target's mind with regret for its violence. On a successful save, the spell lasts until the end of the target's next turn where it takes 5d8 damage for each creature it harmed this turn (max of 4 creatures). Failure results in the spell lasting until the target goes an entire round not harming anyone. Critical failure has the spell last until the target has taken 24 hours atoning for the harm it has caused.</t>
  </si>
  <si>
    <t>Water Breathing</t>
  </si>
  <si>
    <t>5 creatures</t>
  </si>
  <si>
    <t>The targets can breath underwater.</t>
  </si>
  <si>
    <t>The targets can breath underwater for the next 8 hours.</t>
  </si>
  <si>
    <t>The targets can breath underwater until your next daily preperations.</t>
  </si>
  <si>
    <t>Darkeater</t>
  </si>
  <si>
    <t>Water Walk</t>
  </si>
  <si>
    <t>The target can walk on the surface of water and other liquids without falling through. It can go underwater if it wishes, but in that case it must Swim normally. This spell doesn't grant the ability to breathe underwater.</t>
  </si>
  <si>
    <t>You can target upto 10 creature within 30ft granting them the ability to walk on the surface of water and other liquids without falling through for the next hour. It can go underwater if it wishes, but in that case it must Swim normally. This spell doesn't grant the ability to breathe underwater.</t>
  </si>
  <si>
    <t>Magic Scent</t>
  </si>
  <si>
    <t>Web</t>
  </si>
  <si>
    <t>Stylus Claws</t>
  </si>
  <si>
    <t>Athletics or Reflex</t>
  </si>
  <si>
    <t>You create a sticky web in the area, entangling those who move into or from it. Each 5ft of web can be removed with 5 slashing, or 1 fire damage (AC 5, fails saving throw). Crit Success - unaffected; athletics clears the path. Success - unaffected; athletics clears the space behind them. Failure - -10ft speed penalty until its next turn. Crit Fail - immobilized until start of next turn (Escape to end early), after which -10ft speed penalty for 1 round</t>
  </si>
  <si>
    <t>You create a sticky web in a 20ft burst within 60ft, slowing those who move into or from it. Each 5ft of web can be removed with 5 slashing, or 1 fire damage (AC 5, fails saving throw). Crit Success - unaffected; athletics clears the path. Success - unaffected; athletics clears the space behind them. Failure - -10ft speed penalty until its next turn. Crit Fail - immobilized until start of next turn (Escape to end early), after which -10ft speed penalty for 1 round</t>
  </si>
  <si>
    <t>Worm's Repast</t>
  </si>
  <si>
    <t>1 corporeal creature</t>
  </si>
  <si>
    <t>Manifesting gut worms, you deal 4d6 piercing damage and 1d6 persistant piercing damage to the target as they eat their way out. If the target is an non-skeleton undead it takes an extra 2d6 persistant damage. Success - the target takes full initial damage but no persistant. Failire - full damage, and flat footed as long as it takes persistant damage. Crit fail - as failure, but double inital damage and slowed 1 until persistant damage ends.</t>
  </si>
  <si>
    <t>Manifesting gut worms, you deal 6d6 piercing damage and 2d6 persistant piercing damage to the target as they eat their way out. If the target is an non-skeleton undead it takes an extra 2d6 persistant damage. Success - the target takes full initial damage but no persistant. Failire - full damage, and flat footed as long as it takes persistant damage. Crit fail - as failure, but double inital damage and slowed 1 until persistant damage ends.</t>
  </si>
  <si>
    <t>Manifesting gut worms, you deal 8d6 piercing damage and 3d6 persistant piercing damage to the target as they eat their way out. If the target is an non-skeleton undead it takes an extra 2d6 persistant damage. Success - the target takes full initial damage but no persistant. Failire - full damage, and flat footed as long as it takes persistant damage. Crit fail - as failure, but double inital damage and slowed 1 until persistant damage ends.</t>
  </si>
  <si>
    <t>Innate cast lv 1 Detect Magic</t>
  </si>
  <si>
    <t>Manifesting gut worms, you deal 10d6 piercing damage and 4d6 persistant piercing damage to the target as they eat their way out. If the target is an non-skeleton undead it takes an extra 2d6 persistant damage. Success - the target takes full initial damage but no persistant. Failire - full damage, and flat footed as long as it takes persistant damage. Crit fail - as failure, but double inital damage and slowed 1 until persistant damage ends.</t>
  </si>
  <si>
    <t>Manifesting gut worms, you deal 12d6 piercing damage and 5d6 persistant piercing damage to the target as they eat their way out. If the target is an non-skeleton undead it takes an extra 2d6 persistant damage. Success - the target takes full initial damage but no persistant. Failire - full damage, and flat footed as long as it takes persistant damage. Crit fail - as failure, but double inital damage and slowed 1 until persistant damage ends.</t>
  </si>
  <si>
    <t>#163</t>
  </si>
  <si>
    <t>Agonizing Despair</t>
  </si>
  <si>
    <t>Resistance to Negative and Poison damage equal to half your level.</t>
  </si>
  <si>
    <t>Pulling up the deepest well of dread in the target's mind, you deal 4d6 mental damage. On a Successful save, the target takes half damage and becomes frightened 1. On a failure target takes full damage and frightened 2. Critical failure results in double damage and frightened 3.</t>
  </si>
  <si>
    <t>Pulling up the deepest well of dread in the target's mind, you deal 6d6 mental damage. On a Successful save, the target takes half damage and becomes frightened 1. On a failure target takes full damage and frightened 2. Critical failure results in double damage and frightened 3.</t>
  </si>
  <si>
    <t>Pulling up the deepest well of dread in the target's mind, you deal 8d6 mental damage. On a Successful save, the target takes half damage and becomes frightened 1. On a failure target takes full damage and frightened 2. Critical failure results in double damage and frightened 3.</t>
  </si>
  <si>
    <t>Pulling up the deepest well of dread in the target's mind, you deal 10d6 mental damage. On a Successful save, the target takes half damage and becomes frightened 1. On a failure target takes full damage and frightened 2. Critical failure results in double damage and frightened 3.</t>
  </si>
  <si>
    <t>Pulling up the deepest well of dread in the target's mind, you deal 12d6 mental damage. On a Successful save, the target takes half damage and becomes frightened 1. On a failure target takes full damage and frightened 2. Critical failure results in double damage and frightened 3.</t>
  </si>
  <si>
    <t>Pulling up the deepest well of dread in the target's mind, you deal 14d6 mental damage. On a Successful save, the target takes half damage and becomes frightened 1. On a failure target takes full damage and frightened 2. Critical failure results in double damage and frightened 3.</t>
  </si>
  <si>
    <t>Full action. In this mode operational time does not decrease, has a -2 penalty to perception, and can only take this action to leave standby mode</t>
  </si>
  <si>
    <t>Pulling up the deepest well of dread in the target's mind, you deal 16d6 mental damage. On a Successful save, the target takes half damage and becomes frightened 1. On a failure target takes full damage and frightened 2. Critical failure results in double damage and frightened 3.</t>
  </si>
  <si>
    <t>Pulling up the deepest well of dread in the target's mind, you deal 18d6 mental damage. On a Successful save, the target takes half damage and becomes frightened 1. On a failure target takes full damage and frightened 2. Critical failure results in double damage and frightened 3.</t>
  </si>
  <si>
    <t>Animal Vision</t>
  </si>
  <si>
    <t>Tapping into the target's senses you can see, hear, and otherwise sense through the target's senses instead of your own (switching back and forth as an action). If the target wishes to prevent you from doing this, it can make a will save preventing you on a success, but most animals dont bother.</t>
  </si>
  <si>
    <t>Aqueous Orb</t>
  </si>
  <si>
    <t>Nosoi Resistance</t>
  </si>
  <si>
    <t>A 10ft orb of water that moves 10ft each time you sustain the spell. Counteracts check on nonmagical fires, and reflex save for Large or smaller creatures. On a successful save creatures can stay their ground, avoid the orb, or move in front of the orb, and do not need to make another save if the orb moves aginst that round. On a failure the creature becomes grappled, moves with the orb, and must hold its breath. Athletics or Escape against spell DC.</t>
  </si>
  <si>
    <t>Behold the Weave</t>
  </si>
  <si>
    <t>Toggle Standby Mode</t>
  </si>
  <si>
    <t>Bard, Cleric, Druid, Oracle, Witch, Wizard</t>
  </si>
  <si>
    <t>Using the many timelines of fate, you make a creature commit to a single one. On critical success nothing occurs. Success -  the target must commit to at least single action it would take on its next turn such as "biting the fighter" and is now required to do that, failure to do so (such as out of range) wastes the action. Failure - the target must commit two actions that can not be changed. Critical failure - the creature must commit its entire turn.</t>
  </si>
  <si>
    <t>Using the many timelines of fate, you make all enemies within 30ft commit. On critical success nothing occurs. Success -  the target must commit to at least single action it would take on its next turn such as "biting the fighter" and is now required to do that, failure to do so (such as out of range) wastes the action. Failure - the target must commit two actions that can not be changed. Critical failure - the creature must commit its entire turn.</t>
  </si>
  <si>
    <t>2ND LEVEL SPELLS</t>
  </si>
  <si>
    <t>Bind Undead</t>
  </si>
  <si>
    <t>Spellcasters Classes</t>
  </si>
  <si>
    <t>1 mindless undead</t>
  </si>
  <si>
    <t>You sieze control of the target of upto level 3. The target gains the minion trait and is under your control until you or an ally uses hostile actions against the target.</t>
  </si>
  <si>
    <t>You sieze control of the target of upto level 4. The target gains the minion trait and is under your control until you or an ally uses hostile actions against the target.</t>
  </si>
  <si>
    <t>You sieze control of the target of upto level 5. The target gains the minion trait and is under your control until you or an ally uses hostile actions against the target.</t>
  </si>
  <si>
    <t>You sieze control of the target of upto level 6. The target gains the minion trait and is under your control until you or an ally uses hostile actions against the target.</t>
  </si>
  <si>
    <t>You sieze control of the target of upto level 7. The target gains the minion trait and is under your control until you or an ally uses hostile actions against the target.</t>
  </si>
  <si>
    <t>You sieze control of the target of upto level 8. The target gains the minion trait and is under your control until you or an ally uses hostile actions against the target.</t>
  </si>
  <si>
    <t>You sieze control of the target of upto level 9. The target gains the minion trait and is under your control until you or an ally uses hostile actions against the target.</t>
  </si>
  <si>
    <t>You sieze control of the target of upto level 10. The target gains the minion trait and is under your control until you or an ally uses hostile actions against the target.</t>
  </si>
  <si>
    <t>Blazing Drive</t>
  </si>
  <si>
    <t>lv</t>
  </si>
  <si>
    <t>10ft emanation</t>
  </si>
  <si>
    <t>Using super heated air you fly 15ft up, and then straight towards an empty space of your choice within 60ft. When you land the hot air deals 3d4 bludgeoning damage and 3d6 fire damage (basic save) to all creatures within 10ft of you.</t>
  </si>
  <si>
    <t>Using super heated air you fly 15ft up, and then straight towards an empty space of your choice within 60ft. When you land the hot air deals 4d4 bludgeoning damage and 4d6 fire damage (basic save) to all creatures within 10ft of you.</t>
  </si>
  <si>
    <t>Using super heated air you fly 15ft up, and then straight towards an empty space of your choice within 60ft. When you land the hot air deals 5d4 bludgeoning damage and 5d6 fire damage (basic save) to all creatures within 10ft of you.</t>
  </si>
  <si>
    <t>Using super heated air you fly 15ft up, and then straight towards an empty space of your choice within 60ft. When you land the hot air deals 6d4 bludgeoning damage and 6d6 fire damage (basic save) to all creatures within 10ft of you.</t>
  </si>
  <si>
    <t>Using super heated air you fly 15ft up, and then straight towards an empty space of your choice within 60ft. When you land the hot air deals 7d4 bludgeoning damage and 7d6 fire damage (basic save) to all creatures within 10ft of you.</t>
  </si>
  <si>
    <t>Using super heated air you fly 15ft up, and then straight towards an empty space of your choice within 60ft. When you land the hot air deals 8d4 bludgeoning damage and 8d6 fire damage (basic save) to all creatures within 10ft of you.</t>
  </si>
  <si>
    <t>Using super heated air you fly 15ft up, and then straight towards an empty space of your choice within 60ft. When you land the hot air deals 9d4 bludgeoning damage and 9d6 fire damage (basic save) to all creatures within 10ft of you.</t>
  </si>
  <si>
    <t>Using super heated air you fly 15ft up, and then straight towards an empty space of your choice within 60ft. When you land the hot air deals 10d4 bludgeoning damage and 10d6 fire damage (basic save) to all creatures within 10ft of you.</t>
  </si>
  <si>
    <t>Blindness</t>
  </si>
  <si>
    <t>Bard</t>
  </si>
  <si>
    <t>You attempt to blind the target, after which they become immune for 1 minute. On a successful save the target is blind until the start of their next turn. On a failure they are blinded for 1 minute. On a ciritical failure they are blinded permanently.</t>
  </si>
  <si>
    <t>Bottomless Stomach</t>
  </si>
  <si>
    <t>You create a shimmering extradimensional space within the target's mouth that can hold 10 bulk. This does not hamper the target's ability to eat, drink, or speak. A 1 bulk item can be stored or retrieved using an action, and you can not store organic matieral. 3 actions can be used to empty the entire stomach. The contents of the stomach spew outward when the spell ends or the target falls unconciouse.</t>
  </si>
  <si>
    <t>You create a shimmering extradimensional space within the target's mouth that can hold 10 bulk for 8 hours. This does not hamper the target's ability to eat, drink, or speak. A 1 bulk item can be stored or retrieved using an action, and you can not store organic matieral. 3 actions can be used to empty the entire stomach. The contents of the stomach spew outward when the spell ends or the target falls unconciouse.</t>
  </si>
  <si>
    <t>Bracing Tendrils</t>
  </si>
  <si>
    <t>/u/darthmarth28</t>
  </si>
  <si>
    <t>Visible tendrils of force anchor your body to the ground, preventing forced movement. While grounded, creature that attempt to move you must beat the higher of your spell or fortitude DC, even if they normally dont make a check. Effects that would force move you without a check must counteract the spell first. Every time a creature fails to move you the tendrils can lash back and push them 5ft back. The tendrils do not impead voluntary movement.</t>
  </si>
  <si>
    <t>Caster's Imposition</t>
  </si>
  <si>
    <t>Cleric</t>
  </si>
  <si>
    <t>You prevent the target from contributing to any form of cooperative spellcasting. On a failed save the target cant participate in any rituals (unless they do it alone), and they cant acces any coven spells or similar cooperative abilities.</t>
  </si>
  <si>
    <t>You prevent the target from contributing to any form of cooperative spellcasting for an hour. On a failed save the target cant participate in any rituals (unless they do it alone), and they cant acces any coven spells or similar cooperative abilities.</t>
  </si>
  <si>
    <t>You prevent the target from contributing to any form of cooperative spellcasting for a day. On a failed save the target cant participate in any rituals (unless they do it alone), and they cant acces any coven spells or similar cooperative abilities.</t>
  </si>
  <si>
    <t>PF2E Playtest AutoSheet</t>
  </si>
  <si>
    <t>/u/galacticArtificer</t>
  </si>
  <si>
    <t>#182</t>
  </si>
  <si>
    <t>Chilling Darkness</t>
  </si>
  <si>
    <t>With a ray of unholy darkness you deal 5d6 cold damage, and 5d6 evil damage if the target is celestial. If the ray passes through an area of magical light, or hits a target affected by magical light it attempts to counteract the light.</t>
  </si>
  <si>
    <t>With a ray of unholy darkness you deal 7d6 cold damage, and 7d6 evil damage if the target is celestial. If the ray passes through an area of magical light, or hits a target affected by magical light it attempts to counteract the light.</t>
  </si>
  <si>
    <t>With a ray of unholy darkness you deal 9d6 cold damage, and 9d6 evil damage if the target is celestial. If the ray passes through an area of magical light, or hits a target affected by magical light it attempts to counteract the light.</t>
  </si>
  <si>
    <t>With a ray of unholy darkness you deal 11d6 cold damage, and 11d6 evil damage if the target is celestial. If the ray passes through an area of magical light, or hits a target affected by magical light it attempts to counteract the light.</t>
  </si>
  <si>
    <t>With a ray of unholy darkness you deal 13d6 cold damage, and 13d6 evil damage if the target is celestial. If the ray passes through an area of magical light, or hits a target affected by magical light it attempts to counteract the light.</t>
  </si>
  <si>
    <t>PF2E Sheet Design</t>
  </si>
  <si>
    <t>With a ray of unholy darkness you deal 15d6 cold damage, and 15d6 evil damage if the target is celestial. If the ray passes through an area of magical light, or hits a target affected by magical light it attempts to counteract the light.</t>
  </si>
  <si>
    <t>/u/perram</t>
  </si>
  <si>
    <t>With a ray of unholy darkness you deal 17d6 cold damage, and 17d6 evil damage if the target is celestial. If the ray passes through an area of magical light, or hits a target affected by magical light it attempts to counteract the light.</t>
  </si>
  <si>
    <t>With a ray of unholy darkness you deal 19d6 cold damage, and 19d6 evil damage if the target is celestial. If the ray passes through an area of magical light, or hits a target affected by magical light it attempts to counteract the light.</t>
  </si>
  <si>
    <t>Circle of Protection</t>
  </si>
  <si>
    <t>Magus</t>
  </si>
  <si>
    <t>You ward the area around the target against a specific alignment (chaotic, evil, good, or lawful). Creatures in the area gain a +1 status bonus to AC and saving throws from creatures of the chosen alignment. This bonus is +3 if the effect would control the target or creatures in the area. Minions of the alignment can not enter the area without succeeding a Will save (repeat attempts use first result).</t>
  </si>
  <si>
    <t>You ward the area around the target against a specific alignment (chaotic, evil, good, or lawful) for 1 hour. Creatures in the area gain a +1 status bonus to AC and saving throws from creatures of the chosen alignment. This bonus is +3 if the effect would control the target or creatures in the area. Minions of the alignment can not enter the area without succeeding a Will save (repeat attempts use first result).</t>
  </si>
  <si>
    <t>Claim Curse</t>
  </si>
  <si>
    <t>PF2E AutoSheet</t>
  </si>
  <si>
    <t>/u/FireandStone</t>
  </si>
  <si>
    <t>Oracle</t>
  </si>
  <si>
    <t>You draw the target's curse into you to offer them a brief succor. Choose a curse affecting the target you dont have. Until the end of the duration you are affected by the curse (at the same stage of the target) while the target isnt. When the spell ends the curse's effects return to the target as normal.</t>
  </si>
  <si>
    <t>Clairaudience</t>
  </si>
  <si>
    <t>Tweaks to PF2E AutoSheet</t>
  </si>
  <si>
    <t>You create an invisible floating ear at a location within range (reguardless of line of sight). It cant move, but you can hear through the ear as if using normal auditory senses.</t>
  </si>
  <si>
    <t>/u/selfconfessedcynic</t>
  </si>
  <si>
    <t>Consecrate Flesh</t>
  </si>
  <si>
    <t>Psychic</t>
  </si>
  <si>
    <t>Glowing with the holy energy of your faith you gain the following: Weakness 5 to evil damage; Any creature that makes a melee attack against you takes 1d6 good damage; Unarmed attacks deal an additional 1 good damage; Healing spells that restore hp restore an additional 1d4 hp on the inital effect (not gaining this bonus on any secondary healing affects).</t>
  </si>
  <si>
    <t>Glowing with the holy energy of your faith you gain the following: Weakness 10 to evil damage; Any creature that makes a melee attack against you takes 2d6 good damage; Unarmed attacks deal an additional 2 good damage; Healing spells that restore hp restore an additional 2d4 hp on the inital effect (not gaining this bonus on any secondary healing affects).</t>
  </si>
  <si>
    <t>Glowing with the holy energy of your faith you gain the following: Weakness 15 to evil damage; Any creature that makes a melee attack against you takes 3d6 good damage; Unarmed attacks deal an additional 3 good damage; Healing spells that restore hp restore an additional 3d4 hp on the inital effect (not gaining this bonus on any secondary healing affects).</t>
  </si>
  <si>
    <t>Cozy Cabin</t>
  </si>
  <si>
    <t>/u/scientificbruno</t>
  </si>
  <si>
    <t>12 hours</t>
  </si>
  <si>
    <t>You create a cabin 20ft by 20ft by 10ft. It is simply furnished and has 3 cots, a chamber pot, a small fireplace, but no lock. It is comfortable inside the cabin and allows anyone inside to withstand most hostile weather conditions but not increadible ones (such as heat, cold, or hurricanes). The spell ends early if you leave the hut.</t>
  </si>
  <si>
    <t>Sorcerer</t>
  </si>
  <si>
    <t>Crashing Wave</t>
  </si>
  <si>
    <t>With a crashing wave you deal 6d6 bludgeoning damage to all creatures in the area. This extinguishes non-magical fires in the area.</t>
  </si>
  <si>
    <t>With a crashing wave you deal 8d6 bludgeoning damage to all creatures in the area. This extinguishes non-magical fires in the area.</t>
  </si>
  <si>
    <t>With a crashing wave you deal 10d6 bludgeoning damage to all creatures in the area. This extinguishes non-magical fires in the area.</t>
  </si>
  <si>
    <t>With a crashing wave you deal 12d6 bludgeoning damage to all creatures in the area. This extinguishes non-magical fires in the area.</t>
  </si>
  <si>
    <t>With a crashing wave you deal 14d6 bludgeoning damage to all creatures in the area. This extinguishes non-magical fires in the area.</t>
  </si>
  <si>
    <t>With a crashing wave you deal 16d6 bludgeoning damage to all creatures in the area. This extinguishes non-magical fires in the area.</t>
  </si>
  <si>
    <t>With a crashing wave you deal 18d6 bludgeoning damage to all creatures in the area. This extinguishes non-magical fires in the area.</t>
  </si>
  <si>
    <t>Summoner</t>
  </si>
  <si>
    <t>With a crashing wave you deal 20d6 bludgeoning damage to all creatures in the area. This extinguishes non-magical fires in the area.</t>
  </si>
  <si>
    <t>Crisis of Faith</t>
  </si>
  <si>
    <t>By assulting the target's own belief you set them into a turmoil that deals 6d6 mental damage (or 6d8 if they can cast divine spells). On a successful save the target only takes half damage. On a failed save the target takes full damage, but if its a divine spellcaster it is stupified 1 for 1 round. On a crit fail it takes double damage, is stupified 1 for 1 round, and cant cast divine spells for 1 round.</t>
  </si>
  <si>
    <t>By assulting the target's own belief you set them into a turmoil that deals 8d6 mental damage (or 8d8 if they can cast divine spells). On a successful save the target only takes half damage. On a failed save the target takes full damage, but if its a divine spellcaster it is stupified 1 for 1 round. On a crit fail it takes double damage, is stupified 1 for 1 round, and cant cast divine spells for 1 round.</t>
  </si>
  <si>
    <t>By assulting the target's own belief you set them into a turmoil that deals 10d6 mental damage (or 10d8 if they can cast divine spells). On a successful save the target only takes half damage. On a failed save the target takes full damage, but if its a divine spellcaster it is stupified 1 for 1 round. On a crit fail it takes double damage, is stupified 1 for 1 round, and cant cast divine spells for 1 round.</t>
  </si>
  <si>
    <t>By assulting the target's own belief you set them into a turmoil that deals 12d6 mental damage (or 12d8 if they can cast divine spells). On a successful save the target only takes half damage. On a failed save the target takes full damage, but if its a divine spellcaster it is stupified 1 for 1 round. On a crit fail it takes double damage, is stupified 1 for 1 round, and cant cast divine spells for 1 round.</t>
  </si>
  <si>
    <t>By assulting the target's own belief you set them into a turmoil that deals 14d6 mental damage (or 14d8 if they can cast divine spells). On a successful save the target only takes half damage. On a failed save the target takes full damage, but if its a divine spellcaster it is stupified 1 for 1 round. On a crit fail it takes double damage, is stupified 1 for 1 round, and cant cast divine spells for 1 round.</t>
  </si>
  <si>
    <t>By assulting the target's own belief you set them into a turmoil that deals 16d6 mental damage (or 16d8 if they can cast divine spells). On a successful save the target only takes half damage. On a failed save the target takes full damage, but if its a divine spellcaster it is stupified 1 for 1 round. On a crit fail it takes double damage, is stupified 1 for 1 round, and cant cast divine spells for 1 round.</t>
  </si>
  <si>
    <t>By assulting the target's own belief you set them into a turmoil that deals 18d6 mental damage (or 18d8 if they can cast divine spells). On a successful save the target only takes half damage. On a failed save the target takes full damage, but if its a divine spellcaster it is stupified 1 for 1 round. On a crit fail it takes double damage, is stupified 1 for 1 round, and cant cast divine spells for 1 round.</t>
  </si>
  <si>
    <t>Witch</t>
  </si>
  <si>
    <t>By assulting the target's own belief you set them into a turmoil that deals 20d6 mental damage (or 20d8 if they can cast divine spells). On a successful save the target only takes half damage. On a failed save the target takes full damage, but if its a divine spellcaster it is stupified 1 for 1 round. On a crit fail it takes double damage, is stupified 1 for 1 round, and cant cast divine spells for 1 round.</t>
  </si>
  <si>
    <t>Cup of Dust</t>
  </si>
  <si>
    <t>The target is cursed with a thirst no drink can quench. On a critical success the target becomes immune for 1 hour. On a success the creature is fatigued for 1 round. On a failure The target becomes fatigued and takes 1d4 damage that cant be healed each hour. Critical failure is the same as failure but the creates takes 2d4 damage an hour.</t>
  </si>
  <si>
    <t>The target is cursed with a thirst no drink can quench. On a critical success the target becomes immune for 1 hour. On a success the creature is fatigued for 1 round. On a failure The target becomes fatigued and takes 2d4 damage that cant be healed each hour. Critical failure is the same as failure but the creates takes 4d4 damage an hour.</t>
  </si>
  <si>
    <t>The target is cursed with a thirst no drink can quench. On a critical success the target becomes immune for 1 hour. On a success the creature is fatigued for 1 round. On a failure The target becomes fatigued and takes 3d4 damage that cant be healed each hour. Critical failure is the same as failure but the creates takes 6d4 damage an hour.</t>
  </si>
  <si>
    <t>Curse of Lost Time</t>
  </si>
  <si>
    <t>Wizard</t>
  </si>
  <si>
    <t>You curse the target with rapid aging as long as it is a non-precious material. Constructs take 4d6 damage (basic Fortitude), and cant heal, clumsy 1, enfeebled 1 for an hour on failure, unlimited duration on crit fail; Living creatures become clumsey 1 and enfeebled 1 for: 1 round on success, 1 hour on failure, forever on crit fail. Objects get a save if they are attended, otherwise take 4d6 damage, cant be repaired, and are shobby forever.</t>
  </si>
  <si>
    <t>You curse the target with rapid aging as long as it is a non-precious material. Constructs take 5d6 damage (basic Fortitude), and cant heal, clumsy 1, enfeebled 1 for an hour on failure, unlimited duration on crit fail; Living creatures become clumsey 1 and enfeebled 1 for: 1 round on success, 1 hour on failure, forever on crit fail. Objects get a save if they are attended, otherwise take 5d6 damage, cant be repaired, and are shobby forever.</t>
  </si>
  <si>
    <t>You curse the target with rapid aging as long as it is a non-precious material. Constructs take 6d6 damage (basic Fortitude), and cant heal, clumsy 1, enfeebled 1 for an hour on failure, unlimited duration on crit fail; Living creatures become clumsey 1 and enfeebled 1 for: 1 round on success, 1 hour on failure, forever on crit fail. Objects get a save if they are attended, otherwise take 6d6 damage, cant be repaired, and are shobby forever.</t>
  </si>
  <si>
    <t>Ability Modifiers</t>
  </si>
  <si>
    <t>You curse the target with rapid aging as long as it is a non-precious material. Constructs take 7d6 damage (basic Fortitude), and cant heal, clumsy 1, enfeebled 1 for an hour on failure, unlimited duration on crit fail; Living creatures become clumsey 1 and enfeebled 1 for: 1 round on success, 1 hour on failure, forever on crit fail. Objects get a save if they are attended, otherwise take 7d6 damage, cant be repaired, and are shobby forever.</t>
  </si>
  <si>
    <t>You curse the target with rapid aging as long as it is a non-precious material. Constructs take 8d6 damage (basic Fortitude), and cant heal, clumsy 1, enfeebled 1 for an hour on failure, unlimited duration on crit fail; Living creatures become clumsey 1 and enfeebled 1 for: 1 round on success, 1 hour on failure, forever on crit fail. Objects get a save if they are attended, otherwise take 8d6 damage, cant be repaired, and are shobby forever.</t>
  </si>
  <si>
    <t>You curse the target with rapid aging as long as it is a non-precious material. Constructs take 9d6 damage (basic Fortitude), and cant heal, clumsy 1, enfeebled 1 for an hour on failure, unlimited duration on crit fail; Living creatures become clumsey 1 and enfeebled 1 for: 1 round on success, 1 hour on failure, forever on crit fail. Objects get a save if they are attended, otherwise take 9d6 damage, cant be repaired, and are shobby forever.</t>
  </si>
  <si>
    <t>You curse the target with rapid aging as long as it is a non-precious material. Constructs take 10d6 damage (basic Fortitude), and cant heal, clumsy 1, enfeebled 1 for an hour on failure, unlimited duration on crit fail; Living creatures become clumsey 1 and enfeebled 1 for: 1 round on success, 1 hour on failure, forever on crit fail. Objects get a save if they are attended, otherwise take 10d6 damage, cant be repaired, and are shobby forever.</t>
  </si>
  <si>
    <t>You curse the target with rapid aging as long as it is a non-precious material. Constructs take 11d6 damage (basic Fortitude), and cant heal, clumsy 1, enfeebled 1 for an hour on failure, unlimited duration on crit fail; Living creatures become clumsey 1 and enfeebled 1 for: 1 round on success, 1 hour on failure, forever on crit fail. Objects get a save if they are attended, otherwise take 11d6 damage, cant be repaired, and are shobby forever.</t>
  </si>
  <si>
    <t>Day's Weight</t>
  </si>
  <si>
    <t>Basic Spellcaster</t>
  </si>
  <si>
    <t>By fast forward time you make the target feel the weight of a day's work. On a successful save the target is fatigued and enfeebled 1 for 1 round. On a failure they are fatiquged and enfeebled 1 for 1 min.  On a critical failure the target is fatigued and enfeebled 2 for the duration, though the fatigued condition is not end when the spell's end.</t>
  </si>
  <si>
    <t>By fast forward time you make upto 10 targets feel the weight of a day's work. On a successful save the target is fatigued and enfeebled 1 for 1 round. On a failure they are fatiquged and enfeebled 1 for 1 min.  On a critical failure the target is fatigued and enfeebled 2 for the duration, though the fatigued condition is not end when the spell's end.</t>
  </si>
  <si>
    <t>Distracting Chatter</t>
  </si>
  <si>
    <t>You bombard the target's senses with all sorts of sound and dialog, with the following effects: Flatfooted, -1 status penalty to purely auditory perception checks, must make a DC 5 flat check to use auditory abilities or verbal spell components, and makes a DC 5 flat check to be affected by more auditory effects. On a success the effect lasts for 1 round; on a failure the spell lasts for 3 rounds; on a crit fail the duration is 1 minute.</t>
  </si>
  <si>
    <t>You bombard 5 creatures' senses with all sorts of sound and dialog, with the following effects: Flatfooted, -1 status penalty to purely auditory perception checks, must make a DC 5 flat check to use auditory abilities or verbal spell components, and makes a DC 5 flat check to be affected by more auditory effects. On a success the effect lasts for 1 round; on a failure the spell lasts for 3 rounds; on a crit fail the duration is 1 minute.</t>
  </si>
  <si>
    <t>Dividing Trench</t>
  </si>
  <si>
    <t>You dig an earthen trench that is 5ft x 5ft x 15ft in any shape you choose across soft earth. Entering or leaving the trench requires 5ft of additional movement. The trench provides cover from those outside of the trench, but creatures outside of the trench have cover from those inside the trench. Small creatures have this cover increased.</t>
  </si>
  <si>
    <t>You dig an earthen trench that is 5ft x 5ft x 30ft in any shape you choose across soft earth. Entering or leaving the trench requires 5ft of additional movement. The trench provides cover from those outside of the trench, but creatures outside of the trench have cover from those inside the trench. Small creatures have this cover increased.</t>
  </si>
  <si>
    <t>Expert Spellcaster</t>
  </si>
  <si>
    <t>You dig an earthen trench that is 5ft x 5ft x 45ft in any shape you choose across soft earth. Entering or leaving the trench requires 5ft of additional movement. The trench provides cover from those outside of the trench, but creatures outside of the trench have cover from those inside the trench. Small creatures have this cover increased.</t>
  </si>
  <si>
    <t>You dig an earthen trench that is 5ft x 5ft x 60ft in any shape you choose across soft earth. Entering or leaving the trench requires 5ft of additional movement. The trench provides cover from those outside of the trench, but creatures outside of the trench have cover from those inside the trench. Small creatures have this cover increased.</t>
  </si>
  <si>
    <t>Dream Message</t>
  </si>
  <si>
    <t>1 creature you know</t>
  </si>
  <si>
    <t>You send a message to your target's dream. The message is one-way, up to 1 minute of speech (roughly 150 words). If the target is asleep, they receive the message instantly. If not, they receive it the next time they sleep. As soon as they receive it, the spell ends, and you know the message was sent.</t>
  </si>
  <si>
    <t>You send the same message to the dreams of 10 targets. The message is one-way, up to 1 minute of speech (roughly 150 words). If the target is asleep, they receive the message instantly. If not, they receive it the next time they sleep. As soon as they receive it, the spell ends, and you know the message was sent.</t>
  </si>
  <si>
    <t>Earthbind</t>
  </si>
  <si>
    <t>1 flying creature</t>
  </si>
  <si>
    <t>Using the weight of the earth you happer a creature's flight. If a creature reaches the ground safely it does not take fall damage. On a successful save the target falls safely 120ft. On a failure target falls safely 120ft and cant fly, levitate, or otherwise leave the ground for 1 round. Crit fail is the same as failure, but lasts for 1 minute.</t>
  </si>
  <si>
    <t>Master Spellcaster</t>
  </si>
  <si>
    <t>Elemental Absorption</t>
  </si>
  <si>
    <t>Choose an element to begin absorbing: air, earth, fire, or water (cold). You gain resistance 5 to damage delt by effects with the choosen element. Keep track of how much damage you prevented with this spell. As a 2 action activity you can release the stored energy, dealing damage equal to the damage you prevented (max 30) to a target within 60ft (basic reflex save), after which the spell ends. The damage of this activity is based on chosen element.</t>
  </si>
  <si>
    <t>Choose an element to begin absorbing: air, earth, fire, or water (cold). You gain resistance 10 to damage delt by effects with the choosen element. Keep track of how much damage you prevented with this spell. As a 2 action activity you can release the stored energy, dealing damage equal to the damage you prevented (max 60) to a target within 60ft (basic reflex save), after which the spell ends. The damage of this activity is based on chosen element.</t>
  </si>
  <si>
    <t>Choose an element to begin absorbing: air, earth, fire, or water (cold). You gain resistance 15 to damage delt by effects with the choosen element. Keep track of how much damage you prevented with this spell. As a 2 action activity you can release the stored energy, dealing damage equal to the damage you prevented (max 90) to a target within 60ft (basic reflex save), after which the spell ends. The damage of this activity is based on chosen element.</t>
  </si>
  <si>
    <t>Elemental Annihilation Wave</t>
  </si>
  <si>
    <t>Using 2 actions you unleash elemental power in a wave of color that deals 1d6 fire damage, and 3d6 bludgeoning damage. Using 3 actions this cone also pushes creatures that failed the save back 5ft, and creatures that crit failed back 10ft, falling prone. 2 full turns can be used to cast this spell for a 60ft cone in addition to previous tiers of this spell; The area lingers with wind for 1 round - difficult terrain for advancing creatures.</t>
  </si>
  <si>
    <t>Using 2 actions you unleash elemental power in a wave of color that deals 1d6 fire damage, and 5d6 bludgeoning damage. Using 3 actions this cone also pushes creatures that failed the save back 10ft, and creatures that crit failed back 20ft, falling prone. 2 full turns can be used to cast this spell for a 60ft cone in addition to previous tiers of this spell; The area lingers with wind for 1 round - difficult terrain for advancing creatures.</t>
  </si>
  <si>
    <t>Using 2 actions you unleash elemental power in a wave of color that deals 3d6 fire damage, and 5d6 bludgeoning damage. Using 3 actions this cone also pushes creatures that failed the save back 15ft, and creatures that crit failed back 30ft, falling prone. 2 full turns can be used to cast this spell for a 60ft cone in addition to previous tiers of this spell; The area lingers with wind for 1 round - difficult terrain for advancing creatures.</t>
  </si>
  <si>
    <t>Using 2 actions you unleash elemental power in a wave of color that deals 3d6 fire damage, and 7d6 bludgeoning damage. Using 3 actions this cone also pushes creatures that failed the save back 20ft, and creatures that crit failed back 40ft, falling prone. 2 full turns can be used to cast this spell for a 60ft cone in addition to previous tiers of this spell; The area lingers with wind for 1 round - difficult terrain for advancing creatures.</t>
  </si>
  <si>
    <t>Enthrall</t>
  </si>
  <si>
    <t>all creatures in range</t>
  </si>
  <si>
    <t>Your voice fascinates all. Target may have a upto +4 bonus if they are racist to you. On a critical success the creature notices your magic. On a success the target doesnt pay much attention to you. Failure results in being fascinated by you, though get another save if you say something they dont like (potentially becoming immune for an hour). Critical failure result in no more saves and total attention given.</t>
  </si>
  <si>
    <t>Envenom Companion</t>
  </si>
  <si>
    <t>Coating the target's attacks in venom their first attack to hit each round to deals an additional 1d8 poison damage. A creature hit by this poison must make a Fortitude save or become clumsy 1 for 1 round.</t>
  </si>
  <si>
    <t>Coating the target's attacks in venom their first attack to hit each round to deals an additional 2d8 poison damage. A creature hit by this poison must make a Fortitude save or become clumsy 2 for 1 round.</t>
  </si>
  <si>
    <t>Coating the target's attacks in venom their first attack to hit each round to deals an additional 3d8 poison damage. A creature hit by this poison must make a Fortitude save or become clumsy 3 for 1 round.</t>
  </si>
  <si>
    <t>Familiar's Face</t>
  </si>
  <si>
    <t>1 mile</t>
  </si>
  <si>
    <t>Companion or Familiar</t>
  </si>
  <si>
    <t>Without needing line of sight on the target, you turn them into a scrying sensor. You can now use the target's senses without compermising your own, and speak through the target using your voice. You can 'command an animal' as part of sustaining this spell. Revelation spells (such as see invisibility) can be used to affect the target of this spell instead of yourself.</t>
  </si>
  <si>
    <t>Far Sight</t>
  </si>
  <si>
    <t>You can make out the details of objects upto 300ft away as if they were 1/10th the distance. This only affects sight, can not be used to extend the range of spells, nor can it increase limited sight range (ie 60ft sight becomes 60ft closer sight).</t>
  </si>
  <si>
    <t>Hit Points</t>
  </si>
  <si>
    <t>#177</t>
  </si>
  <si>
    <t>Feet to Fins</t>
  </si>
  <si>
    <t>Dwarf</t>
  </si>
  <si>
    <t>The target's feet transform into fins, improving mobility in the water but reducing it on land. The target gains a swim Speed equal to its normal land Speed, but its land Speed becomes 5 feet.</t>
  </si>
  <si>
    <t>The target's feet transform into fins until your next daily preperations, improving mobility in the water but reducing it on land. The target gains a swim Speed equal to its normal land Speed, but its land Speed becomes 5 feet.</t>
  </si>
  <si>
    <t>Fireball</t>
  </si>
  <si>
    <t>A roaring blast of fire appears at a spot you designate, dealing 6d6 fire damage.</t>
  </si>
  <si>
    <t>A roaring blast of fire appears at a spot you designate, dealing 8d6 fire damage.</t>
  </si>
  <si>
    <t>A roaring blast of fire appears at a spot you designate, dealing 10d6 fire damage.</t>
  </si>
  <si>
    <t>A roaring blast of fire appears at a spot you designate, dealing 12d6 fire damage.</t>
  </si>
  <si>
    <t>A roaring blast of fire appears at a spot you designate, dealing 14d6 fire damage.</t>
  </si>
  <si>
    <t>A roaring blast of fire appears at a spot you designate, dealing 16d6 fire damage.</t>
  </si>
  <si>
    <t>A roaring blast of fire appears at a spot you designate, dealing 18d6 fire damage.</t>
  </si>
  <si>
    <t>A roaring blast of fire appears at a spot you designate, dealing 20d6 fire damage.</t>
  </si>
  <si>
    <t>Focusing Hum</t>
  </si>
  <si>
    <t>Elf</t>
  </si>
  <si>
    <t>Magus, Summoner</t>
  </si>
  <si>
    <t>15ft emanation</t>
  </si>
  <si>
    <t>With a sustained hum creatures within the area resist distractions. The DC of any flat check to Cast a Spell while stupefied for creatures within the area is 2 lower. Confused creatures in the area don't attack anyone, including themselves, and instead lose the ability to speak coherently. You take a –2 penalty to Stealth checks to Hide and Sneak.</t>
  </si>
  <si>
    <t>Gasping Marsh</t>
  </si>
  <si>
    <t>Goblin</t>
  </si>
  <si>
    <t>Each time you sustain the spell, a location within range bubbles with poisonous marsh gas, dealing 4d6 poison damage to each breathing creature that starts its turn within the gas. On failed save the target is sickened 1 in addition to damage. On a Critical failure creature is sickened 2, and takes 1d8 persistant poison damage in addition to double damage.</t>
  </si>
  <si>
    <t>Halfling</t>
  </si>
  <si>
    <t>Ghostly Weapon</t>
  </si>
  <si>
    <t>The weapon held by you or an ally becomes translucent and ghostly as it is capable of affecting materal anc incorporeal creatures and objects. It can be wielded by corporeal or incorporeal creatures and gains the Ghost Touch property rune. If the weapon is already at max runes, another rune is selected to be suppressed.</t>
  </si>
  <si>
    <t>Human</t>
  </si>
  <si>
    <t>Glyph of Warding</t>
  </si>
  <si>
    <t>container or 10ft area</t>
  </si>
  <si>
    <t>You store a hostile spell to create a trap by casting another spell of lower level to trigger when a creature without the password (or matches a specific trigger) comes into contact with the ward. The stored spell must take 3 actions or less, and effect a target/area. The glyph uses your spell DC to be noticed/disarmed. The maximum number of glyphs is equal to your spellcasting ability mod.</t>
  </si>
  <si>
    <t>Catfolk</t>
  </si>
  <si>
    <t>Gravity Well</t>
  </si>
  <si>
    <t>30ft burst</t>
  </si>
  <si>
    <t>By altering gravity you move all unsecured objects and creatures towards the center of the area. Using forced movement you move all affected towards the center as close as they can go. On a successful save creatures move 5ft towards the center. Failure results in creature movving 15ft towards the center. Critical failure has the creature moved 30ft.</t>
  </si>
  <si>
    <t>Kobold</t>
  </si>
  <si>
    <t>Haste</t>
  </si>
  <si>
    <t>Orc</t>
  </si>
  <si>
    <t>Magic empowers the target to act faster. It gains the quickened condition and can use the extra action each round only for Strike and Stride actions.</t>
  </si>
  <si>
    <t>Magic empowers the upto 6 targets to act faster. They gain the quickened condition and can use the extra action each round only for Strike and Stride actions.</t>
  </si>
  <si>
    <t>Heroism</t>
  </si>
  <si>
    <t>Tengu</t>
  </si>
  <si>
    <t>You tap into the target's inner heroism, granting it a +1 status bonus to attack rolls, Perception checks, saving throws, and skill checks.</t>
  </si>
  <si>
    <t>You tap into the target's inner heroism, granting it a +2 status bonus to attack rolls, Perception checks, saving throws, and skill checks.</t>
  </si>
  <si>
    <t>You tap into the target's inner heroism, granting it a +3 status bonus to attack rolls, Perception checks, saving throws, and skill checks.</t>
  </si>
  <si>
    <t>Hypercognition</t>
  </si>
  <si>
    <t>You rapidly catalog and collate information relevant to your current situation. You can instantly use up to 6 Recall Knowledge actions as part of Casting this Spell. For these actions, you can't use any special abilities, reactions, or free actions that trigger when you Recall Knowledge.</t>
  </si>
  <si>
    <t>Hypnotic Pattern</t>
  </si>
  <si>
    <t>Creating a cloud of geometric patterns, creatures inside the area are dazzled. In addition, creatures that are inside the pattern, end their turn in, move into the pattern, or Seek the pattern make a save. Creatures fascinated by the patterns do not make a save. Successful - target is unaffected. Failure - Fascinated by pattern. Crit Fail - Fascinated by pattern, cant use reactions.</t>
  </si>
  <si>
    <t>Impending Doom</t>
  </si>
  <si>
    <t>Alchemist</t>
  </si>
  <si>
    <t>You find a future where the target meets a gruesome fate and reviel it to them. It takes 3 rounds for the future to pass, dealing 6d6 mental damage. Success - 1: unaffected; 2: flat-footed; 3: frightened 1, half damage. Failure - 1: flat-footed; frightened 2; stunned 1, full damage. Critial Failure - 1 - flat-footed, frightened 3; 2 - stunned 1; 3 - paralyzed, double damage.</t>
  </si>
  <si>
    <t>You find a future where the target meets a gruesome fate and reviel it to them. It takes 3 rounds for the future to pass, dealing 8d6 mental damage. Success - 1: unaffected; 2: flat-footed; 3: frightened 1, half damage. Failure - 1: flat-footed; frightened 2; stunned 1, full damage. Critial Failure - 1 - flat-footed, frightened 3; 2 - stunned 1; 3 - paralyzed, double damage.</t>
  </si>
  <si>
    <t>You find a future where the target meets a gruesome fate and reviel it to them. It takes 3 rounds for the future to pass, dealing 10d6 mental damage. Success - 1: unaffected; 2: flat-footed; 3: frightened 1, half damage. Failure - 1: flat-footed; frightened 2; stunned 1, full damage. Critial Failure - 1 - flat-footed, frightened 3; 2 - stunned 1; 3 - paralyzed, double damage.</t>
  </si>
  <si>
    <t>You find a future where the target meets a gruesome fate and reviel it to them. It takes 3 rounds for the future to pass, dealing 12d6 mental damage. Success - 1: unaffected; 2: flat-footed; 3: frightened 1, half damage. Failure - 1: flat-footed; frightened 2; stunned 1, full damage. Critial Failure - 1 - flat-footed, frightened 3; 2 - stunned 1; 3 - paralyzed, double damage.</t>
  </si>
  <si>
    <t>You find a future where the target meets a gruesome fate and reviel it to them. It takes 3 rounds for the future to pass, dealing 14d6 mental damage. Success - 1: unaffected; 2: flat-footed; 3: frightened 1, half damage. Failure - 1: flat-footed; frightened 2; stunned 1, full damage. Critial Failure - 1 - flat-footed, frightened 3; 2 - stunned 1; 3 - paralyzed, double damage.</t>
  </si>
  <si>
    <t>You find a future where the target meets a gruesome fate and reviel it to them. It takes 3 rounds for the future to pass, dealing 16d6 mental damage. Success - 1: unaffected; 2: flat-footed; 3: frightened 1, half damage. Failure - 1: flat-footed; frightened 2; stunned 1, full damage. Critial Failure - 1 - flat-footed, frightened 3; 2 - stunned 1; 3 - paralyzed, double damage.</t>
  </si>
  <si>
    <t>You find a future where the target meets a gruesome fate and reviel it to them. It takes 3 rounds for the future to pass, dealing 18d6 mental damage. Success - 1: unaffected; 2: flat-footed; 3: frightened 1, half damage. Failure - 1: flat-footed; frightened 2; stunned 1, full damage. Critial Failure - 1 - flat-footed, frightened 3; 2 - stunned 1; 3 - paralyzed, double damage.</t>
  </si>
  <si>
    <t>You find a future where the target meets a gruesome fate and reviel it to them. It takes 3 rounds for the future to pass, dealing 20d6 mental damage. Success - 1: unaffected; 2: flat-footed; 3: frightened 1, half damage. Failure - 1: flat-footed; frightened 2; stunned 1, full damage. Critial Failure - 1 - flat-footed, frightened 3; 2 - stunned 1; 3 - paralyzed, double damage.</t>
  </si>
  <si>
    <t>Insect Form</t>
  </si>
  <si>
    <t>Barbarian</t>
  </si>
  <si>
    <t>Medium animal. AC [18+lv]; 10 temp hp; low light vision; +13 Athletics, attack +13 (+2 unarmed damage). Form: Beetle: 25ft, Bite (2d10 bludg); Mantis: 40ft, impr. scent 30ft, Foreleg (2d8 bludg); Scorpion: 40ft, darkvision, impr. tremor sense 60ft, Stinger (1d8 pierc, 1d4 pers poison), Princer (agile, 1d6 bludg); Spider: 25ft climb, darkvision, Fang (1d6 pierc, 1d4 pers poison), Web (20ft, entangle 1 round)</t>
  </si>
  <si>
    <t>Large animal. AC [18+lv]; 15 temp hp; low light vision; +16 Athletics, attack +16 (+6 unarmed damage, 10ft reach). Form: Beetle: 25ft, Bite (2d10 bludg); Mantis: 40ft, impr. scent 30ft, Foreleg (2d8 bludg); Scorpion: 40ft, darkvision, impr. tremor sense 60ft, Stinger (1d8 pierc, 1d4 pers poison), Princer (agile, 1d6 bludg); Spider: 25ft climb, darkvision, Fang (1d6 pierc, 1d4 pers poison), Web (20ft, entangle 1 round)</t>
  </si>
  <si>
    <t>Huge animal. AC [18+lv]; 20 temp hp; low light vision; +20 Athletics, attack +18 (+2 unarmed damage, 15ft reach). Form: Beetle: 25ft, Bite (4d10 bludg); Mantis: 40ft, impr. scent 30ft, Foreleg (4d8 bludg); Scorpion: 40ft, darkvision, impr. tremor sense 60ft, Stinger (2d8 pierc, 2d4 pers poison), Princer (agile, 2d6 bludg); Spider: 25ft climb, darkvision, Fang (2d6 pierc, 2d4 pers poison), Web (20ft, entangle 1 round)</t>
  </si>
  <si>
    <t>Invisibility Sphere</t>
  </si>
  <si>
    <t>Champion</t>
  </si>
  <si>
    <t>You and all creatures within the area become invisible as long as they stay within the area. If a creature leaves it becomes visible and dont not become invisible if it returns to the area. An invisible creature becomes visible if they use a hostile action. It is easy to explore and remian together, but in the chaos of combat the spell will end after a single round.</t>
  </si>
  <si>
    <t>You and all creatures within the area become invisible as long as they stay within the area, upto 1 hour. If a creature leaves it becomes visible and dont not become invisible if it returns to the area. An invisible creature becomes visible if they use a hostile action. It is easy to explore and remian together, but in the chaos of combat the spell will end after a single round.</t>
  </si>
  <si>
    <t>Levitate</t>
  </si>
  <si>
    <t>1 object or ally</t>
  </si>
  <si>
    <t>Defying gravity, the target levitates 5ft off the ground, and can be moved up or down 10ft with a single action. Floating creatures have a -2 to attacks unless they spend an action to stabalize themselves, removing the penalty for the rest of their turn. If the target is adjacent to a wall or floor it may climb/crawl.</t>
  </si>
  <si>
    <t>Fighter</t>
  </si>
  <si>
    <t>Life Connection</t>
  </si>
  <si>
    <t>Placing a failsafe deep in the life force of the target, you can feel when they take damage as long as they are within 1 mile. When the target takes damage, you can use the Defend Life reacton: After calculating how much damage the target would take (after resistance/weaknesses) you lose that much health (cant reduce further) and the target takes no damage, but still takes any secondary effects, such as poison.</t>
  </si>
  <si>
    <t>Investigator</t>
  </si>
  <si>
    <t>Life Pact</t>
  </si>
  <si>
    <t>6 willing creatures</t>
  </si>
  <si>
    <t>Using spirits you enter a pact with the targets. If any member of the pact take damage that would reduce it to 0hp, all other members lose 3hp immeadately, and the triggering target regains the number of HP lost this way before taking the damage. If the attack is still enough to reduce them to 0hp with the additional health, they fall unconcious. The spell then immeadately ends.</t>
  </si>
  <si>
    <t>Using spirits you enter a pact with the targets. If any member of the pact take damage that would reduce it to 0hp, all other members lose 4hp immeadately, and the triggering target regains the number of HP lost this way before taking the damage. If the attack is still enough to reduce them to 0hp with the additional health, they fall unconcious. The spell then immeadately ends.</t>
  </si>
  <si>
    <t>Using spirits you enter a pact with the targets. If any member of the pact take damage that would reduce it to 0hp, all other members lose 5hp immeadately, and the triggering target regains the number of HP lost this way before taking the damage. If the attack is still enough to reduce them to 0hp with the additional health, they fall unconcious. The spell then immeadately ends.</t>
  </si>
  <si>
    <t>Using spirits you enter a pact with the targets. If any member of the pact take damage that would reduce it to 0hp, all other members lose 6hp immeadately, and the triggering target regains the number of HP lost this way before taking the damage. If the attack is still enough to reduce them to 0hp with the additional health, they fall unconcious. The spell then immeadately ends.</t>
  </si>
  <si>
    <t>Using spirits you enter a pact with the targets. If any member of the pact take damage that would reduce it to 0hp, all other members lose 7hp immeadately, and the triggering target regains the number of HP lost this way before taking the damage. If the attack is still enough to reduce them to 0hp with the additional health, they fall unconcious. The spell then immeadately ends.</t>
  </si>
  <si>
    <t>Using spirits you enter a pact with the targets. If any member of the pact take damage that would reduce it to 0hp, all other members lose 8hp immeadately, and the triggering target regains the number of HP lost this way before taking the damage. If the attack is still enough to reduce them to 0hp with the additional health, they fall unconcious. The spell then immeadately ends.</t>
  </si>
  <si>
    <t>Using spirits you enter a pact with the targets. If any member of the pact take damage that would reduce it to 0hp, all other members lose 9hp immeadately, and the triggering target regains the number of HP lost this way before taking the damage. If the attack is still enough to reduce them to 0hp with the additional health, they fall unconcious. The spell then immeadately ends.</t>
  </si>
  <si>
    <t>Using spirits you enter a pact with the targets. If any member of the pact take damage that would reduce it to 0hp, all other members lose 10hp immeadately, and the triggering target regains the number of HP lost this way before taking the damage. If the attack is still enough to reduce them to 0hp with the additional health, they fall unconcious. The spell then immeadately ends.</t>
  </si>
  <si>
    <t>Monk</t>
  </si>
  <si>
    <t>Lightning Bolt</t>
  </si>
  <si>
    <t>120ft line</t>
  </si>
  <si>
    <t>A bolt of lightning strikes outward from your hand, dealing 4d12 electricity damage.</t>
  </si>
  <si>
    <t>A bolt of lightning strikes outward from your hand, dealing 5d12 electricity damage.</t>
  </si>
  <si>
    <t>A bolt of lightning strikes outward from your hand, dealing 6d12 electricity damage.</t>
  </si>
  <si>
    <t>A bolt of lightning strikes outward from your hand, dealing 7d12 electricity damage.</t>
  </si>
  <si>
    <t>A bolt of lightning strikes outward from your hand, dealing 8d12 electricity damage.</t>
  </si>
  <si>
    <t>A bolt of lightning strikes outward from your hand, dealing 9d12 electricity damage.</t>
  </si>
  <si>
    <t>A bolt of lightning strikes outward from your hand, dealing 10d12 electricity damage.</t>
  </si>
  <si>
    <t>A bolt of lightning strikes outward from your hand, dealing 11d12 electricity damage.</t>
  </si>
  <si>
    <t>Locate</t>
  </si>
  <si>
    <t>You learn the direction to the target (if specific object, such as "my mother's sword") or the nearest target type (such as sword). You must know what the object looks like to locate it, and it can not be behind lead or running water.</t>
  </si>
  <si>
    <t>You learn the direction to the target (if specific object, such as "my mother's sword") or the nearest target type (such as sword), choosing between object, person, or ancestry. You must know what the object looks like to locate it, and it can not be behind lead or running water.</t>
  </si>
  <si>
    <t>Mad Monkeys</t>
  </si>
  <si>
    <t>Magical monkey spirits cause chaos, can not be attacked or harmed, but calm emotions settles them. Choose the effect: Burglary - They steal any item within reach (Spell DC -10), and you must steal it from them. Raucous Din - Fortitude save or deafen area for 1 round. Gymnastics - Climbing over the area, anyone inside must make a reflex save or make a DC 5 flat check any time they manipulate for 1 round.</t>
  </si>
  <si>
    <t>Magical Fetters</t>
  </si>
  <si>
    <t>Ghostly manacles launch from your outstretched hand and clasp around the target's limbs, impeding its movements. On a successful save the target is clumsy 1 and takes a -10ft status penalty to its speed for 1 round. Failure target is clumsy 3, and a -10ft speed penalty for 1 minute. Critical Failure is as failure, but slowed 1 as well.</t>
  </si>
  <si>
    <t>Magnetic Acceleration</t>
  </si>
  <si>
    <t>Ranger</t>
  </si>
  <si>
    <t>You magnetize a small metal object, such as a coin or nail, and lauch it at massive speeds, dealing 3d6 bludgeoning damage and 3d6 peircing damage. The attack roll has a +1 circumstance bonus if the target is wearing metal armor or is made out of metal.</t>
  </si>
  <si>
    <t>You magnetize a small metal object, such as a coin or nail, and lauch it at massive speeds, dealing 4d6 bludgeoning damage and 4d6 peircing damage. The attack roll has a +1 circumstance bonus if the target is wearing metal armor or is made out of metal.</t>
  </si>
  <si>
    <t>You magnetize a small metal object, such as a coin or nail, and lauch it at massive speeds, dealing 5d6 bludgeoning damage and 5d6 peircing damage. The attack roll has a +1 circumstance bonus if the target is wearing metal armor or is made out of metal.</t>
  </si>
  <si>
    <t>You magnetize a small metal object, such as a coin or nail, and lauch it at massive speeds, dealing 6d6 bludgeoning damage and 6d6 peircing damage. The attack roll has a +1 circumstance bonus if the target is wearing metal armor or is made out of metal.</t>
  </si>
  <si>
    <t>You magnetize a small metal object, such as a coin or nail, and lauch it at massive speeds, dealing 7d6 bludgeoning damage and 7d6 peircing damage. The attack roll has a +1 circumstance bonus if the target is wearing metal armor or is made out of metal.</t>
  </si>
  <si>
    <t>You magnetize a small metal object, such as a coin or nail, and lauch it at massive speeds, dealing 8d6 bludgeoning damage and 8d6 peircing damage. The attack roll has a +1 circumstance bonus if the target is wearing metal armor or is made out of metal.</t>
  </si>
  <si>
    <t>You magnetize a small metal object, such as a coin or nail, and lauch it at massive speeds, dealing 9d6 bludgeoning damage and 9d6 peircing damage. The attack roll has a +1 circumstance bonus if the target is wearing metal armor or is made out of metal.</t>
  </si>
  <si>
    <t>You magnetize a small metal object, such as a coin or nail, and lauch it at massive speeds, dealing 10d6 bludgeoning damage and 10d6 peircing damage. The attack roll has a +1 circumstance bonus if the target is wearing metal armor or is made out of metal.</t>
  </si>
  <si>
    <t>Martyr's Intervention</t>
  </si>
  <si>
    <t>Rogue</t>
  </si>
  <si>
    <t>If a creature within range would take enough damage to reduce it to 0hp, and you dont have the wounded condition, you can use your life force to protect them. The target is instead reduced to 1hp, and all extra damage is delt to you instead. Both you and the target increase the wounded condition by 1.</t>
  </si>
  <si>
    <t>Meld into Stone</t>
  </si>
  <si>
    <t>You merge with an adjcaent block of stone you can touch as long as it has enough volume to fit you and your possessions. You can hear but not see outside of the stone, and can cast spells that dont require line of sight. You can leave the stone early, but if the stone is destroyed with you inside it deals 10d6 damage to you. Passwall expels you without the damage.</t>
  </si>
  <si>
    <t>Mind of Menace</t>
  </si>
  <si>
    <t>Swashbuckler</t>
  </si>
  <si>
    <t>You ward yourself against mental magic, gaining the Fight the Fear reaction you can use once before the spell ends. As a reaction, when a creature uses a mental effect against you they make a will save. Success - target is unaffected. Failure - target is frightened 2, and you gain a +2 status bonus against the triggering effect. Critical Failure - target is frightened 2, you are unaffected by triggering effect.</t>
  </si>
  <si>
    <t>Thaumaturge</t>
  </si>
  <si>
    <t>Mind Reading</t>
  </si>
  <si>
    <t>You attempt to read the targets mind, after which they become immune for 1 hour. Critical success - the target recieves surface thoughts from the caster. Success - you find out the target's relative Intelligence mod. Failure - Same as success, in addition to vague surface thoughts. Crit Fail - As failure, but when you Sustain the spell, you continue to get the target's surface thoughts with no other saves against this spell.</t>
  </si>
  <si>
    <t>Moonlight Ray</t>
  </si>
  <si>
    <t>With a holy beam of freezing moonlight, you deal 5d6 cold damage, and if the target is a Fiend of Undead, an additional 5d6 good damage. This damage is silver damage for purpose of weaknesses and resistances. If the beam passes through magical darkness the spell attempts to counteract.</t>
  </si>
  <si>
    <t>With a holy beam of freezing moonlight, you deal 7d6 cold damage, and if the target is a Fiend of Undead, an additional 7d6 good damage. This damage is silver damage for purpose of weaknesses and resistances. If the beam passes through magical darkness the spell attempts to counteract.</t>
  </si>
  <si>
    <t>With a holy beam of freezing moonlight, you deal 9d6 cold damage, and if the target is a Fiend of Undead, an additional 9d6 good damage. This damage is silver damage for purpose of weaknesses and resistances. If the beam passes through magical darkness the spell attempts to counteract.</t>
  </si>
  <si>
    <t>With a holy beam of freezing moonlight, you deal 11d6 cold damage, and if the target is a Fiend of Undead, an additional 11d6 good damage. This damage is silver damage for purpose of weaknesses and resistances. If the beam passes through magical darkness the spell attempts to counteract.</t>
  </si>
  <si>
    <t>Gunslinger</t>
  </si>
  <si>
    <t>With a holy beam of freezing moonlight, you deal 13d6 cold damage, and if the target is a Fiend of Undead, an additional 13d6 good damage. This damage is silver damage for purpose of weaknesses and resistances. If the beam passes through magical darkness the spell attempts to counteract.</t>
  </si>
  <si>
    <t>With a holy beam of freezing moonlight, you deal 15d6 cold damage, and if the target is a Fiend of Undead, an additional 15d6 good damage. This damage is silver damage for purpose of weaknesses and resistances. If the beam passes through magical darkness the spell attempts to counteract.</t>
  </si>
  <si>
    <t>With a holy beam of freezing moonlight, you deal 17d6 cold damage, and if the target is a Fiend of Undead, an additional 17d6 good damage. This damage is silver damage for purpose of weaknesses and resistances. If the beam passes through magical darkness the spell attempts to counteract.</t>
  </si>
  <si>
    <t>With a holy beam of freezing moonlight, you deal 19d6 cold damage, and if the target is a Fiend of Undead, an additional 19d6 good damage. This damage is silver damage for purpose of weaknesses and resistances. If the beam passes through magical darkness the spell attempts to counteract.</t>
  </si>
  <si>
    <t>Moth's Supper</t>
  </si>
  <si>
    <t>Inventor</t>
  </si>
  <si>
    <t>Turning your breath into a moth that eats nearby blood, it shares its secrets with you. You gain the following effects: Heal 2d4 hp every 10 minutes; the first time someone successfully Treats your Wounds, heal an additional 4d4 hp; and gain an imprecise sense (30ft) for freshly spilled blood and rotten flesh.</t>
  </si>
  <si>
    <t>Turning your breath into a moth that eats nearby blood, it shares its secrets with you. You gain the following effects: Heal 3d4 hp every 10 minutes; the first time someone successfully Treats your Wounds, heal an additional 6d4 hp; and gain an imprecise sense (30ft) for freshly spilled blood and rotten flesh.</t>
  </si>
  <si>
    <t>Turning your breath into a moth that eats nearby blood, it shares its secrets with you. You gain the following effects: Heal 4d4 hp every 10 minutes; the first time someone successfully Treats your Wounds, heal an additional 8d4 hp; and gain an imprecise sense (30ft) for freshly spilled blood and rotten flesh.</t>
  </si>
  <si>
    <t>Turning your breath into a moth that eats nearby blood, it shares its secrets with you. You gain the following effects: Heal 5d4 hp every 10 minutes; the first time someone successfully Treats your Wounds, heal an additional 10d4 hp; and gain an imprecise sense (30ft) for freshly spilled blood and rotten flesh.</t>
  </si>
  <si>
    <t>Turning your breath into a moth that eats nearby blood, it shares its secrets with you. You gain the following effects: Heal 6d4 hp every 10 minutes; the first time someone successfully Treats your Wounds, heal an additional 12d4 hp; and gain an imprecise sense (30ft) for freshly spilled blood and rotten flesh.</t>
  </si>
  <si>
    <t>Turning your breath into a moth that eats nearby blood, it shares its secrets with you. You gain the following effects: Heal 7d4 hp every 10 minutes; the first time someone successfully Treats your Wounds, heal an additional 14d4 hp; and gain an imprecise sense (30ft) for freshly spilled blood and rotten flesh.</t>
  </si>
  <si>
    <t>Turning your breath into a moth that eats nearby blood, it shares its secrets with you. You gain the following effects: Heal 8d4 hp every 10 minutes; the first time someone successfully Treats your Wounds, heal an additional 16d4 hp; and gain an imprecise sense (30ft) for freshly spilled blood and rotten flesh.</t>
  </si>
  <si>
    <t>Turning your breath into a moth that eats nearby blood, it shares its secrets with you. You gain the following effects: Heal 9d4 hp every 10 minutes; the first time someone successfully Treats your Wounds, heal an additional 18d4 hp; and gain an imprecise sense (30ft) for freshly spilled blood and rotten flesh.</t>
  </si>
  <si>
    <t>Neutralize Poison</t>
  </si>
  <si>
    <t>You pour healing magic through the target in an attempt to cure one poison afflicting it. Attempt a counteract check against the poison.</t>
  </si>
  <si>
    <t>Nondetection</t>
  </si>
  <si>
    <t>You ward the target from detection via magic. This spell attempts to counteract all detection, revelation, and scrying made against the target and their gear for the duration. Cantrips count as 1st level spells for against this spell. Counteracting an AoE detection ability only hides the target from sight.</t>
  </si>
  <si>
    <t>Oneiric Mire</t>
  </si>
  <si>
    <t>Animal Companion Ability Modifiers</t>
  </si>
  <si>
    <t>Using illusions you make the ground appear to be made of quicksand, turning it into difficult terrain. Each creature that is in the area must make a save, and again at the end of their turn. On a success the creature fully disbelieves the spell and doesnt have to make saves, though the area is still difficult terrain. On a failure the creature has a -10ft speed penalty. Critical failure results in being immobilized. An escape action can be used to free a creature.</t>
  </si>
  <si>
    <t>Ooze Form</t>
  </si>
  <si>
    <t>Medium ooze. AC [7+Lv]; 20 temp hp; immune to crits and precision damage; res. 5 acid, pierc., and slashing; motion sense 30ft only; +14 Athletics, attack +14 (+5 unarmed damage). Forms: Pudding: 15ft (climb), strike (2d6 bludg, 1d8 acid); Cube: 15ft, strike (1d6 acid: fort save or stun 1; crit: paralyz 1); Jelly: 15ft (10ft climb), res. 5 electricity, strike (1d8 bludg, 1d8 acid, action to grab)</t>
  </si>
  <si>
    <t>Large ooze. AC [7+Lv]; 30 temp hp; immune to crits and precision damage; res. 7 acid, pierc., and slashing; motion sense 40ft only; +16 Athletics, attack +16 (+9 unarmed damage, 10ft reach). Forms: Pudding: 15ft (climb), strike (2d6 bludg, 1d8 acid); Cube: 15ft, strike (1d6 acid: fort save or stun 1; crit: paralyz 1); Jelly: 15ft (10ft climb), res. 5 electricity, strike (1d8 bludg, 1d8 acid, action to grab)</t>
  </si>
  <si>
    <t>Huge ooze. AC [7+Lv]; 40 temp hp; immune to crits and precision damage; res. 10 acid, pierc., and slashing; motion sense 60ft only; +20 Athletics, attack +18 (+6 unarmed damage, 15ft reach). Forms: Pudding: 15ft (climb), strike (4d6 bludg, 2d8 acid); Cube: 15ft, strike (2d6 acid: fort save or stun 1; crit: paralyz 1); Jelly: 15ft (10ft climb), res. 5 electricity, strike (2d8 bludg, 2d8 acid, action to grab)</t>
  </si>
  <si>
    <t>Gargantuan ooze. AC [7+Lv]; 60 temp hp; immune to crits and precision damage; res. 12 acid, pierc., and slashing; motion sense 60ft only; +29 Athletics, attack +28 (+13 unarmed damage, 20ft reach). Forms: Pudding: 15ft (climb), strike (4d6 bludg, 2d8 acid); Cube: 15ft, strike (2d6 acid: fort save or stun 1; crit: paralyz 1); Jelly: 15ft (10ft climb), res. 5 electricity, strike (2d8 bludg, 2d8 acid, action to grab)</t>
  </si>
  <si>
    <t>Organsight</t>
  </si>
  <si>
    <t>1 creature with organs</t>
  </si>
  <si>
    <t>You can see the target's organs, gaining a +2 circumstance bonus on organ based Medicine checks, but a -2 penalty if its on skin. As apart of this spell, attempt a Recall Knowledge using Medicine to spot vital organs, on a success the next piercing or slashing damage you deal gains an additional 4d6 precision damage. Once on each turn you can spend an action to reattempt Recall Medicine. This damage is not cumulative.</t>
  </si>
  <si>
    <t>You can see the target's organs, gaining a +2 circumstance bonus on organ based Medicine checks, but a -2 penalty if its on skin. As apart of this spell, attempt a Recall Knowledge using Medicine to spot vital organs, on a success the next piercing or slashing damage you deal gains an additional 5d6 precision damage. Once on each turn you can spend an action to reattempt Recall Medicine. This damage is not cumulative.</t>
  </si>
  <si>
    <t>You can see the target's organs, gaining a +2 circumstance bonus on organ based Medicine checks, but a -2 penalty if its on skin. As apart of this spell, attempt a Recall Knowledge using Medicine to spot vital organs, on a success the next piercing or slashing damage you deal gains an additional 6d6 precision damage. Once on each turn you can spend an action to reattempt Recall Medicine. This damage is not cumulative.</t>
  </si>
  <si>
    <t>You can see the target's organs, gaining a +2 circumstance bonus on organ based Medicine checks, but a -2 penalty if its on skin. As apart of this spell, attempt a Recall Knowledge using Medicine to spot vital organs, on a success the next piercing or slashing damage you deal gains an additional 7d6 precision damage. Once on each turn you can spend an action to reattempt Recall Medicine. This damage is not cumulative.</t>
  </si>
  <si>
    <t>You can see the target's organs, gaining a +2 circumstance bonus on organ based Medicine checks, but a -2 penalty if its on skin. As apart of this spell, attempt a Recall Knowledge using Medicine to spot vital organs, on a success the next piercing or slashing damage you deal gains an additional 8d6 precision damage. Once on each turn you can spend an action to reattempt Recall Medicine. This damage is not cumulative.</t>
  </si>
  <si>
    <t>You can see the target's organs, gaining a +2 circumstance bonus on organ based Medicine checks, but a -2 penalty if its on skin. As apart of this spell, attempt a Recall Knowledge using Medicine to spot vital organs, on a success the next piercing or slashing damage you deal gains an additional 9d6 precision damage. Once on each turn you can spend an action to reattempt Recall Medicine. This damage is not cumulative.</t>
  </si>
  <si>
    <t>You can see the target's organs, gaining a +2 circumstance bonus on organ based Medicine checks, but a -2 penalty if its on skin. As apart of this spell, attempt a Recall Knowledge using Medicine to spot vital organs, on a success the next piercing or slashing damage you deal gains an additional 10d6 precision damage. Once on each turn you can spend an action to reattempt Recall Medicine. This damage is not cumulative.</t>
  </si>
  <si>
    <t>You can see the target's organs, gaining a +2 circumstance bonus on organ based Medicine checks, but a -2 penalty if its on skin. As apart of this spell, attempt a Recall Knowledge using Medicine to spot vital organs, on a success the next piercing or slashing damage you deal gains an additional 11d6 precision damage. Once on each turn you can spend an action to reattempt Recall Medicine. This damage is not cumulative.</t>
  </si>
  <si>
    <t>Painted Scout</t>
  </si>
  <si>
    <t>Stone surface</t>
  </si>
  <si>
    <t>As long as you keep a hand on the target, a painted scout will explore at your command. The scouts have a maximum range of 120ft and move at your movement speed each time you sustain the spell, though they can not transfer walls. You can use all of your senses as if they came from the scouts. The scouts can use your Nature or Occultism to hide. Scouts are destoyed when smeared or splashed with water.</t>
  </si>
  <si>
    <t>As long as you keep a hand on the target, 5 painted scouts will explore at your command. The scouts have a maximum range of 500ft and move at your movement speed each time you sustain the spell, though they can not transfer walls. You can use all of your senses as if they came from the scouts. The scouts can use your Nature or Occultism to hide. Scouts are destoyed when smeared or splashed with water.</t>
  </si>
  <si>
    <t>Paralyze</t>
  </si>
  <si>
    <t>Blocking the target's motor impulses you threaten to freeze the target in place. On a successful save the target is stunned 1. On a failure the target is paralyzed for 1 round. On a Critical Failure the target is paralyzed for 4 rounds; at the end of each round can attempt a new will save to reduce the duration by 1 round (or entirely on a crit success).</t>
  </si>
  <si>
    <t>Blocking the 10 creatures's motor impulses you threaten to freeze the target in place. On a successful save the target is stunned 1. On a failure the target is paralyzed for 1 round. On a Critical Failure the target is paralyzed for 4 rounds; at the end of each round can attempt a new will save to reduce the duration by 1 round (or entirely on a crit success).</t>
  </si>
  <si>
    <t>Perseis's Precautions</t>
  </si>
  <si>
    <t>10 minutes</t>
  </si>
  <si>
    <t>You weave precaution into the target against ambush. For the duration the target has fortune on its next iniative roll (rolling twice and taking the higher) if it uses any of the following skills for iniative: Perception, Arcana, Crafting, Lore, Occultism, or Society. After which the target becomes immune to this spell for 24 hours.</t>
  </si>
  <si>
    <t>PFS Guide</t>
  </si>
  <si>
    <t>Phantom Prison</t>
  </si>
  <si>
    <t>50ft</t>
  </si>
  <si>
    <t>You surround a large or smaller creature in immobile illusory walls, trapping it. No other creature can sense these walls, and the target can not see outside. The target gets a will save when the spell is cast, each time it interacts with the walls to escape, and each time something outside the walls affect the target. On a successful save it disbelieves the illusion.</t>
  </si>
  <si>
    <t>You surround 5 large or smaller creature in immobile illusory walls, trapping it. No other creature can sense these walls, and the target can not see outside. The target gets a will save when the spell is cast, each time it interacts with the walls to escape, and each time something outside the walls affect the target. On a successful save it disbelieves the illusion.</t>
  </si>
  <si>
    <t>Pillar of Water</t>
  </si>
  <si>
    <t>You create a self contained cylinder of fresh water. The pillar has a maximum radius of 15ft and height of 60ft. Creatures can swim through the water with a DC 10 swim check. If the spell was cast on solid ground you can walk through the cylinder (difficult terrain).</t>
  </si>
  <si>
    <t>#152</t>
  </si>
  <si>
    <t>Positive Attunement</t>
  </si>
  <si>
    <t>You attune the target to the positive energy plane, immeadiately healing 1d8 and again at the end of each of your turns. Effects that increase healing only affect inital healing. Undead instead take 1d8 positive damage with a save. Success - damaged once, spell ends. Failure - damaged once and again at the end of each turn (twice in the first round). Crit Fail - as failure, but damage is doubled.</t>
  </si>
  <si>
    <t>You attune the target to the positive energy plane, immeadiately healing 2d8 and again at the end of each of your turns. Effects that increase healing only affect inital healing. Undead instead take 2d8 positive damage with a save. Success - damaged once, spell ends. Failure - damaged once and again at the end of each turn (twice in the first round). Crit Fail - as failure, but damage is doubled.</t>
  </si>
  <si>
    <t>You attune the target to the positive energy plane, immeadiately healing 3d8 and again at the end of each of your turns. Effects that increase healing only affect inital healing. Undead instead take 3d8 positive damage with a save. Success - damaged once, spell ends. Failure - damaged once and again at the end of each turn (twice in the first round). Crit Fail - as failure, but damage is doubled.</t>
  </si>
  <si>
    <t>Pyrotechnics</t>
  </si>
  <si>
    <t>1 fire</t>
  </si>
  <si>
    <t>Turn a fire into the effect you choose, extinguishing the target fire, or dealing 1d6 cold to fire creature. Each creature becomes immune for 1 min after save. Fireworks: 20ft burst of color that rises 20ft each Sustain; Success - Dazzled until end of next turn. Fail - Blinded until end of next turn. Crit fail - blind for 1 min.  Smoke Cloud: 20ft burst of smoke; -4 to perception checks; decends 20ft each Sustain; Fail - Sickened 1; Crit Fail - Sickened 1 in the smoke.</t>
  </si>
  <si>
    <t>Animal Type</t>
  </si>
  <si>
    <t>Rally Point</t>
  </si>
  <si>
    <t>You mark the ground as a rally point you can spend an action to teleport to. The spell fails if the area is occupied, further than 120ft away, or if you try to bring an ally (even through extradimensional means). After teleporting to the rally point the spell ends.</t>
  </si>
  <si>
    <t>You mark the ground as a rally point for you and 4 other creatures within 30ft when casting the spell, each creature can spend an action to teleport to the rally point. The spell fails if the area is occupied, further than 120ft away, or if you try to bring an ally (even through extradimensional means). Each creature can only teleport in this manner once per casting of this spell.</t>
  </si>
  <si>
    <t>Remove Disease</t>
  </si>
  <si>
    <t>Ape</t>
  </si>
  <si>
    <t>Healing magic purges disease from a creature's body. You attempt to counteract one disease afflicting the target.</t>
  </si>
  <si>
    <t>Roaring Applause</t>
  </si>
  <si>
    <t>Badger</t>
  </si>
  <si>
    <t>With a flourish you invoke cheers from the target as long as they can understand you. On a successful save the target is too distracted to use reactions. On a failure the target cheers so hard it becomes slowed 1 and cant use reactions; this cheering as the manipulate trait and triggers any reactions at the start of its turn. Critical fail is same as failure, but target is also fascinated with you.</t>
  </si>
  <si>
    <t>With a flourish you invoke cheers from 10 targets as long as they can understand you. On a successful save the target is too distracted to use reactions. On a failure the target cheers so hard it becomes slowed 1 and cant use reactions; this cheering as the manipulate trait and triggers any reactions at the start of its turn. Critical fail is same as failure, but target is also fascinated with you.</t>
  </si>
  <si>
    <t>Bear</t>
  </si>
  <si>
    <t>Rouse Skeleton</t>
  </si>
  <si>
    <t>Bird</t>
  </si>
  <si>
    <t>Misshapen skeletal forms erupt in the area, turning the ground into difficult terrain. The skeletons deal 2d6 slashing damage to all creatures in the area. When you sustain the spell you can move the area 20ft, dealing damage to all creatures in the area. Damagaing the skeletons is irrelevant as new bones will appear.</t>
  </si>
  <si>
    <t>Misshapen skeletal forms erupt in the area, turning the ground into difficult terrain. The skeletons deal 3d6 slashing damage to all creatures in the area. When you sustain the spell you can move the area 20ft, dealing damage to all creatures in the area. Damagaing the skeletons is irrelevant as new bones will appear.</t>
  </si>
  <si>
    <t>Misshapen skeletal forms erupt in the area, turning the ground into difficult terrain. The skeletons deal 4d6 slashing damage to all creatures in the area. When you sustain the spell you can move the area 20ft, dealing damage to all creatures in the area. Damagaing the skeletons is irrelevant as new bones will appear.</t>
  </si>
  <si>
    <t>Misshapen skeletal forms erupt in the area, turning the ground into difficult terrain. The skeletons deal 5d6 slashing damage to all creatures in the area. When you sustain the spell you can move the area 20ft, dealing damage to all creatures in the area. Damagaing the skeletons is irrelevant as new bones will appear.</t>
  </si>
  <si>
    <t>Safe Passage</t>
  </si>
  <si>
    <t>Boar</t>
  </si>
  <si>
    <t>10x10x60ft terrain</t>
  </si>
  <si>
    <t>You protect the area against any enviromental hazards. Those passing through the area gain a +2 status to AC, saving throws, and resistance 5 against enviromental damage, hazardious terrain, and hazards. Frail structures no longer collapse, unless under extreme stress. This spell does not remove difficult terrain.</t>
  </si>
  <si>
    <t>Capabara</t>
  </si>
  <si>
    <t>You protect the area against any enviromental hazards within an area an area of 10x10x120ft. Those passing through the area gain a +2 status to AC, saving throws, and resistance 10 against enviromental damage, hazardious terrain, and hazards. Frail structures no longer collapse, unless under extreme stress. This spell does not remove difficult terrain.</t>
  </si>
  <si>
    <t>You protect the area against any enviromental hazards within an area an area of 10x10x500ft. Those passing through the area gain a +2 status to AC, saving throws, and resistance 15 against enviromental damage, hazardious terrain, and hazards. Frail structures no longer collapse, unless under extreme stress. This spell does not remove difficult terrain.</t>
  </si>
  <si>
    <t>Sanctified Ground</t>
  </si>
  <si>
    <t>Sanctifying the ground with holy water you ward against one of the following: aberrations, celestials, dragons, fiends, monitors, or undead. All creatures in the area gain a +1 status bonus to AC, attack rolls, damage rolls, and saving throws against the chosen creatures.</t>
  </si>
  <si>
    <t>Cat</t>
  </si>
  <si>
    <t>Sculpt Sound</t>
  </si>
  <si>
    <t>Crocodile</t>
  </si>
  <si>
    <t>You change the sound of the target slightly, entirely, or quiet it. A successful perception check against spell DC can reviel the sound was altered but needs a critical success to realize where the sound came from. Affected creatures can still cast verbal components. Unwilling creatures get a save. Failure - target is affected. Critical Failure - affected and stupefied 2 for 1 min as it figured out its new voice.</t>
  </si>
  <si>
    <t>You change the sound of 5 targets slightly, entirely, or quiet it. A successful perception check against spell DC can reviel the sound was altered but needs a critical success to realize where the sound came from. Affected creatures can still cast verbal components. Unwilling creatures get a save. Failure - target is affected. Critical Failure - affected and stupefied 2 for 1 min as it figured out its new voice.</t>
  </si>
  <si>
    <t>Dromaeosaur</t>
  </si>
  <si>
    <t>Sea of Thought</t>
  </si>
  <si>
    <t>You cover a 15ft burst area in a sloshing torrent of ankle deep, semi solidified thoughts. The area becomes difficult terrain. Each creature that starts its turn in the area must make a save. Failure - -10ft circumstance penalty until it leaves the area. Crit Fail - same as failure, also knocked prone.</t>
  </si>
  <si>
    <t>You cover a 20ft burst area in a sloshing torrent of ankle deep, semi solidified thoughts. The area becomes difficult terrain. Each creature that starts its turn in the area must make a save. Failure - -10ft circumstance penalty until it leaves the area. Crit Fail - same as failure, also knocked prone.</t>
  </si>
  <si>
    <t>You cover a 25ft burst area in a sloshing torrent of ankle deep, semi solidified thoughts. The area becomes difficult terrain. Each creature that starts its turn in the area must make a save. Failure - -10ft circumstance penalty until it leaves the area. Crit Fail - same as failure, also knocked prone.</t>
  </si>
  <si>
    <t>You cover a 30ft burst area in a sloshing torrent of ankle deep, semi solidified thoughts. The area becomes difficult terrain. Each creature that starts its turn in the area must make a save. Failure - -10ft circumstance penalty until it leaves the area. Crit Fail - same as failure, also knocked prone.</t>
  </si>
  <si>
    <t>You cover a 35ft burst area in a sloshing torrent of ankle deep, semi solidified thoughts. The area becomes difficult terrain. Each creature that starts its turn in the area must make a save. Failure - -10ft circumstance penalty until it leaves the area. Crit Fail - same as failure, also knocked prone.</t>
  </si>
  <si>
    <t>You cover a 40ft burst area in a sloshing torrent of ankle deep, semi solidified thoughts. The area becomes difficult terrain. Each creature that starts its turn in the area must make a save. Failure - -10ft circumstance penalty until it leaves the area. Crit Fail - same as failure, also knocked prone.</t>
  </si>
  <si>
    <t>You cover a 45ft burst area in a sloshing torrent of ankle deep, semi solidified thoughts. The area becomes difficult terrain. Each creature that starts its turn in the area must make a save. Failure - -10ft circumstance penalty until it leaves the area. Crit Fail - same as failure, also knocked prone.</t>
  </si>
  <si>
    <t>You cover a 50ft burst area in a sloshing torrent of ankle deep, semi solidified thoughts. The area becomes difficult terrain. Each creature that starts its turn in the area must make a save. Failure - -10ft circumstance penalty until it leaves the area. Crit Fail - same as failure, also knocked prone.</t>
  </si>
  <si>
    <t>Searing Light</t>
  </si>
  <si>
    <t>Moth</t>
  </si>
  <si>
    <t>Shooting a beam of holy light that deals 5d6 fire damage, and an extra 5d6 good damage if the target is fiend or undead. If this spell passes through an area of magical darkness it attempts to counteract the effect.</t>
  </si>
  <si>
    <t>Shooting a beam of holy light that deals 7d6 fire damage, and an extra 7d6 good damage if the target is fiend or undead. If this spell passes through an area of magical darkness it attempts to counteract the effect.</t>
  </si>
  <si>
    <t>Shooting a beam of holy light that deals 9d6 fire damage, and an extra 9d6 good damage if the target is fiend or undead. If this spell passes through an area of magical darkness it attempts to counteract the effect.</t>
  </si>
  <si>
    <t>Shooting a beam of holy light that deals 11d6 fire damage, and an extra 11d6 good damage if the target is fiend or undead. If this spell passes through an area of magical darkness it attempts to counteract the effect.</t>
  </si>
  <si>
    <t>Shooting a beam of holy light that deals 13d6 fire damage, and an extra 13d6 good damage if the target is fiend or undead. If this spell passes through an area of magical darkness it attempts to counteract the effect.</t>
  </si>
  <si>
    <t>Shooting a beam of holy light that deals 15d6 fire damage, and an extra 15d6 good damage if the target is fiend or undead. If this spell passes through an area of magical darkness it attempts to counteract the effect.</t>
  </si>
  <si>
    <t>Riding Drake</t>
  </si>
  <si>
    <t>Shooting a beam of holy light that deals 17d6 fire damage, and an extra 17d6 good damage if the target is fiend or undead. If this spell passes through an area of magical darkness it attempts to counteract the effect.</t>
  </si>
  <si>
    <t>Shooting a beam of holy light that deals 19d6 fire damage, and an extra 19d6 good damage if the target is fiend or undead. If this spell passes through an area of magical darkness it attempts to counteract the effect.</t>
  </si>
  <si>
    <t>Secret Page</t>
  </si>
  <si>
    <t>1 page upto 3 square ft</t>
  </si>
  <si>
    <t>You change the target's text entirely. Can alter a spellbook or scroll to appear as a new spell you know of this level or lower. This spell scroll can not be used to cast the spell. You may set a password when casting the spell that allows another creature to change the text back and forth.</t>
  </si>
  <si>
    <t>Snake</t>
  </si>
  <si>
    <t>Shadow Projectile</t>
  </si>
  <si>
    <t>20ft</t>
  </si>
  <si>
    <t>Wolf</t>
  </si>
  <si>
    <t>When an ally within range makes a ranged attack you launch an illusory double of the projectile against the enemy, confusing it. This deals 3d8 mental damage depending on save, after which it becomes immune to this spell for 1 hour. Success - no extra damage, creature is flat-footed to triggering attack. Failure - flat footed to attack, full illusion damage. Crit Fail - as failure, double illusion damage.</t>
  </si>
  <si>
    <t>When an ally within range makes a ranged attack you launch an illusory double of the projectile against the enemy, confusing it. This deals 4d8 mental damage depending on save, after which it becomes immune to this spell for 1 hour. Success - no extra damage, creature is flat-footed to triggering attack. Failure - flat footed to attack, full illusion damage. Crit Fail - as failure, double illusion damage.</t>
  </si>
  <si>
    <t>When an ally within range makes a ranged attack you launch an illusory double of the projectile against the enemy, confusing it. This deals 5d8 mental damage depending on save, after which it becomes immune to this spell for 1 hour. Success - no extra damage, creature is flat-footed to triggering attack. Failure - flat footed to attack, full illusion damage. Crit Fail - as failure, double illusion damage.</t>
  </si>
  <si>
    <t>When an ally within range makes a ranged attack you launch an illusory double of the projectile against the enemy, confusing it. This deals 6d8 mental damage depending on save, after which it becomes immune to this spell for 1 hour. Success - no extra damage, creature is flat-footed to triggering attack. Failure - flat footed to attack, full illusion damage. Crit Fail - as failure, double illusion damage.</t>
  </si>
  <si>
    <t>Shadow Spy</t>
  </si>
  <si>
    <t>Using a mix of soil, shadow, and blood you create a bird shaped homunculus that flies to location within range and observes its surroundings (using your perception bonus). Once the duration ends or a trigger you set passes the bird flies back, where you must snap its neck and drink its blood to learn what it saw.</t>
  </si>
  <si>
    <t>Shift Blame</t>
  </si>
  <si>
    <t>You alter the memories of events as they form in the target's mind. If someone within range makes an attack, or fails a Deception, Diplomacy, or Intimidation check you can choose another creature to make responsible in the target's mind. Crit success - target knows you tried altering its memories. Success - target knows you cast a spell. Failure - You alter the target's memories, but it is not forced to act on them.</t>
  </si>
  <si>
    <t>Shifting Sand</t>
  </si>
  <si>
    <t>You cause the surface to heave, becoming difficult terrain. Creatures in the area have a -1 penalty to Balance, Tumble, and Jump checks. Each time you sustain the spell you can move the area 10ft, dragging immoble creatures. Creatures that move into or start their turn in the area get a save. Crit success - ignore spell for turn. Success - ignore penalty for turn. Fail - affacted as normal. Crit fail - immobile until it Escapes.</t>
  </si>
  <si>
    <t>You cause the surface within 60ft to heave, becoming difficult terrain. Creatures in the area have a -2 penalty to Balance, Tumble, and Jump checks. Each time you sustain the spell you can move the area 10ft, dragging immoble creatures. Creatures that move into or start their turn in the area get a save. Crit success - ignore spell for turn. Success - ignore penalty for turn. Fail - affacted as normal. Crit fail - immobile until it Escapes.</t>
  </si>
  <si>
    <t>You cause the surface within 60ft to heave, becoming difficult terrain within a 30ft burst. Creatures in the area have a -3 penalty to Balance, Tumble, and Jump checks. Each time you sustain the spell you can move the area 10ft, dragging immoble creatures. Creatures that move into or start their turn in the area get a save. Crit success - ignore spell for turn. Success - ignore penalty for turn. Fail - affacted as normal. Crit fail - immobile until it Escapes.</t>
  </si>
  <si>
    <t>You cause the surface within 60ft to heave, becoming difficult terrain within a 40ft burst. Creatures in the area have a -4 penalty to Balance, Tumble, and Jump checks. Each time you sustain the spell you can move the area 10ft, dragging immoble creatures. Creatures that move into or start their turn in the area get a save. Crit success - ignore spell for turn. Success - ignore penalty for turn. Fail - affacted as normal. Crit fail - immobile until it Escapes.</t>
  </si>
  <si>
    <t>Show the Way</t>
  </si>
  <si>
    <t>You and all allies in range innately understand how to traverse the path and avoid potential obstacles. Difficult terrain during long travel slows you down by 3/4th instead of half, and greater difficult terrain slows you to half instead of 1/3rd speed. This spell does not protect you from pit traps.</t>
  </si>
  <si>
    <t>You and all allies in range innately understand how to traverse the path and avoid potential obstacles. Difficult terrain during long travel doesnt slow your speed, and greater difficult terrain slows you to 3/4th instead of 1/3rd speed. This spell does not protect you from pit traps.</t>
  </si>
  <si>
    <t>Shrink Item</t>
  </si>
  <si>
    <t>You shrink a non-magical object upto 20 cubic ft and 80bulk to the size of a coin, becoming negligible bulk. The spell ends when you dismiss it, throw the object onto a solid surface, or if the duration ends the next time it has enough space to safely return to its original size. The reenlargement of the object does not do damage, nor can it be attacked with.</t>
  </si>
  <si>
    <t>Sign of Conviction</t>
  </si>
  <si>
    <t>With a floating symbol of your religion overhead you gain a +1 status to your AC and saving throws, and are immobilized. Uses higher of spell DC or normal DC for any attempts to move you; if successful the spell ends. Each time you sustain the spell, make an attack with 100ft range dealing 2d10 damage with the type based on the god's alignment (Good: good or fire damage; Neutral: force; Evil: evil or cold)</t>
  </si>
  <si>
    <t>With a floating symbol of your religion overhead you gain a +1 status to your AC and saving throws, and are immobilized. Uses higher of spell DC or normal DC for any attempts to move you; if successful the spell ends. Each time you sustain the spell, make an attack with 100ft range dealing 3d10 damage with the type based on the god's alignment (Good: good or fire damage; Neutral: force; Evil: evil or cold)</t>
  </si>
  <si>
    <t>With a floating symbol of your religion overhead you gain a +1 status to your AC and saving throws, and are immobilized. Uses higher of spell DC or normal DC for any attempts to move you; if successful the spell ends. Each time you sustain the spell, make an attack with 100ft range dealing 4d10 damage with the type based on the god's alignment (Good: good or fire damage; Neutral: force; Evil: evil or cold)</t>
  </si>
  <si>
    <t>With a floating symbol of your religion overhead you gain a +1 status to your AC and saving throws, and are immobilized. Uses higher of spell DC or normal DC for any attempts to move you; if successful the spell ends. Each time you sustain the spell, make an attack with 100ft range dealing 5d10 damage with the type based on the god's alignment (Good: good or fire damage; Neutral: force; Evil: evil or cold)</t>
  </si>
  <si>
    <t>Slow</t>
  </si>
  <si>
    <t xml:space="preserve">Dialating time, you slow the target's actions. On a successful save the target is slowed 1 for 1 round. Failure results in the target slowed 1 for 1 minute. Critical Failure results in the target slowed 2 for 1 minute. </t>
  </si>
  <si>
    <t xml:space="preserve">Dialating time for 10 creatures, slowing their actions. On a successful save the target is slowed 1 for 1 round. Failure results in the target slowed 1 for 1 minute. Critical Failure results in the target slowed 2 for 1 minute. </t>
  </si>
  <si>
    <t>Soothing Blossoms</t>
  </si>
  <si>
    <t>Growing blossoms that aid in recovery, any creature in the area that gets a success ahainst poison or disease gets a critical success instead. In addition the blossoms grant Assisted Recovery to everyone in the area to end their persistant damage, both when the spell is cast and at the start of each of your turns. When the spell ends the magic ends, but the flowers may survive if the enviroment can support them.</t>
  </si>
  <si>
    <t>Stinking Cloud</t>
  </si>
  <si>
    <t>A cloud of purtrid mist that conceals and poisons creatures that end their turn in the mist. On a successful save creature is sickened 1. On failure creature is sickened 1 and slowed 1 while in the cloud. Crit Fail results in sickened 2 and slowed 1 until it leaves the cloud</t>
  </si>
  <si>
    <t>Sudden Recollection</t>
  </si>
  <si>
    <t>Placing knowledge, or letting a willing creature forget until the time is right. Make a save if the target resists. Crit Success - target knows you tried to alter its memory. Success - target knows you cast a spell. Failure - Implanting information the target doesnt know, you set a trigger that will give them the information; If the target is willing information can be suppressed until it experiences the trigger.</t>
  </si>
  <si>
    <t>Temportal Twin</t>
  </si>
  <si>
    <t>Pulling a duplicate from the past you create a double of the target within range. The original target can spend a reaction to give the duplicate a single basic action to use; this action must be an action the target used within the last round (such as strike, stride, or pull a lever). The twin can flank. The spell fails if you dont know what the target did last turn, or the spell is cast on the same target within the past 24 hours.</t>
  </si>
  <si>
    <t>Threefold Aspect</t>
  </si>
  <si>
    <t>Switching between three versions of yourself , you can look like a maiden (young adult), a mother (adult), or matriarch (elderly) version of yourself, swapping between forms as an action. You have a +4 status bonus to deception checks to pass off the chosen age, adding your level if untrained. People that know you recognize you.</t>
  </si>
  <si>
    <t>Time Jump</t>
  </si>
  <si>
    <t>Dashing through time, you can almost teleport. Upon casting this spell time freezes and you immeadately gain 2 actions that can be used to Leap, Stand, Step, or Stride, after which time resumes. You must take these move actions immeadately, and no other actions that would be triggered by your movement can be taken. If you use this spell again within 1 minute, you become stupefied 4 for 1 minute.</t>
  </si>
  <si>
    <t>Time Pocket</t>
  </si>
  <si>
    <t>You fling the target object forward in time while an ally holds it, linking the two. The item dissapears and will reappear in the hands of the linked creature when the spell ends, or on the ground if the creature as their hands full. The spell ends early if you dismiss it or drop to 0hp.</t>
  </si>
  <si>
    <t>Unseasonable Squall</t>
  </si>
  <si>
    <t>A blast of wind ripples out, extingishing fires, dispersing fog, scattering objects, and pushing objects of 1bulk 5ft. Each medium or smaller creature get a save when the spell is cast or they move into the area. Sucess - unaffected. Failure - knocked prone, if flying get crit fail. Crit Fail - pushed 30ft, knocked prone, 2d6 bludgeoning damage.</t>
  </si>
  <si>
    <t>Vampiric Touch</t>
  </si>
  <si>
    <t>Leaching the lifeforce of the target, you deal 6d6 negative damage. You gain temp HP equal to half of the damage the target takes (after resistance and weakness) that lasts for 1 minute.</t>
  </si>
  <si>
    <t>Leaching the lifeforce of the target, you deal 8d6 negative damage. You gain temp HP equal to half of the damage the target takes (after resistance and weakness) that lasts for 1 minute.</t>
  </si>
  <si>
    <t>Leaching the lifeforce of the target, you deal 10d6 negative damage. You gain temp HP equal to half of the damage the target takes (after resistance and weakness) that lasts for 1 minute.</t>
  </si>
  <si>
    <t>Leaching the lifeforce of the target, you deal 12d6 negative damage. You gain temp HP equal to half of the damage the target takes (after resistance and weakness) that lasts for 1 minute.</t>
  </si>
  <si>
    <t>Leaching the lifeforce of the target, you deal 14d6 negative damage. You gain temp HP equal to half of the damage the target takes (after resistance and weakness) that lasts for 1 minute.</t>
  </si>
  <si>
    <t>Leaching the lifeforce of the target, you deal 16d6 negative damage. You gain temp HP equal to half of the damage the target takes (after resistance and weakness) that lasts for 1 minute.</t>
  </si>
  <si>
    <t>Leaching the lifeforce of the target, you deal 18d6 negative damage. You gain temp HP equal to half of the damage the target takes (after resistance and weakness) that lasts for 1 minute.</t>
  </si>
  <si>
    <t>Leaching the lifeforce of the target, you deal 20d6 negative damage. You gain temp HP equal to half of the damage the target takes (after resistance and weakness) that lasts for 1 minute.</t>
  </si>
  <si>
    <t>Wall of Radiance</t>
  </si>
  <si>
    <t>A wall of light, upto 60ft long and 10ft high. Creatures adjacent to the wall are Dazzled, and creatures that move through the wall take 2d6 fire damage (w/ save). The wall must be unbroken, and can not pass through a creature's space.</t>
  </si>
  <si>
    <t>A wall of light, upto 60ft long and 10ft high. Creatures adjacent to the wall are Dazzled, and creatures that move through the wall take 3d6 fire damage (w/ save). The wall must be unbroken, and can not pass through a creature's space. The wall proveds Concealment from creatures on the other side.</t>
  </si>
  <si>
    <t>Wall of Shadow</t>
  </si>
  <si>
    <t>A wall of pure darkness, upto 60ft long and 10ft high. The wall must be unbroken, and can not pass through a creature's space. The wall prevents light, so creatures without darkvision can not see through the wall. The wall can be hidden behind, but not in.</t>
  </si>
  <si>
    <t>A wall of pure darkness, upto 60ft long and 10ft high. The wall must be unbroken, and can not pass through a creature's space. The wall prevents light, so creatures without greater darkvision can not see through the wall (darkvision can bearily see through, treat as concealed). The wall can be hidden behind, but not in.</t>
  </si>
  <si>
    <t>A wall of pure darkness, upto 60ft long and 10ft high. The wall must be unbroken, and can not pass through a creature's space. The wall prevents light, creatures greater darkvision can hardly see through the wall, resulting in concealed. The wall can be hidden behind, but not in.</t>
  </si>
  <si>
    <t>Wall of Thorns</t>
  </si>
  <si>
    <t>A wall of vines, upto 60ft long and 10ft high. The wall must be unbroken, and can not pass through a creature's space. The wall provides cover and counts as difficult terrain that deals 3d4 piercing damage to creatures moving through the area. Each 5ft section of wall has an AC of 10, Hardness 10, 20hp, and immunity to crits.</t>
  </si>
  <si>
    <t>A wall of vines, upto 60ft long and 10ft high. The wall must be unbroken, and can not pass through a creature's space. The wall provides cover and counts as difficult terrain that deals 4d4 piercing damage to creatures moving through the area. Each 5ft section of wall has an AC of 10, Hardness 10, 25hp, and immunity to crits.</t>
  </si>
  <si>
    <t>A wall of vines, upto 60ft long and 10ft high. The wall must be unbroken, and can not pass through a creature's space. The wall provides cover and counts as difficult terrain that deals 5d4 piercing damage to creatures moving through the area. Each 5ft section of wall has an AC of 10, Hardness 10, 30hp, and immunity to crits.</t>
  </si>
  <si>
    <t>A wall of vines, upto 60ft long and 10ft high. The wall must be unbroken, and can not pass through a creature's space. The wall provides cover and counts as difficult terrain that deals 6d4 piercing damage to creatures moving through the area. Each 5ft section of wall has an AC of 10, Hardness 10, 35hp, and immunity to crits.</t>
  </si>
  <si>
    <t>A wall of vines, upto 60ft long and 10ft high. The wall must be unbroken, and can not pass through a creature's space. The wall provides cover and counts as difficult terrain that deals 7d4 piercing damage to creatures moving through the area. Each 5ft section of wall has an AC of 10, Hardness 10, 40hp, and immunity to crits.</t>
  </si>
  <si>
    <t>A wall of vines, upto 60ft long and 10ft high. The wall must be unbroken, and can not pass through a creature's space. The wall provides cover and counts as difficult terrain that deals 8d4 piercing damage to creatures moving through the area. Each 5ft section of wall has an AC of 10, Hardness 10, 45hp, and immunity to crits.</t>
  </si>
  <si>
    <t>A wall of vines, upto 60ft long and 10ft high. The wall must be unbroken, and can not pass through a creature's space. The wall provides cover and counts as difficult terrain that deals 9d4 piercing damage to creatures moving through the area. Each 5ft section of wall has an AC of 10, Hardness 10, 50hp, and immunity to crits.</t>
  </si>
  <si>
    <t>A wall of vines, upto 60ft long and 10ft high. The wall must be unbroken, and can not pass through a creature's space. The wall provides cover and counts as difficult terrain that deals 10d4 piercing damage to creatures moving through the area. Each 5ft section of wall has an AC of 10, Hardness 10, 55hp, and immunity to crits.</t>
  </si>
  <si>
    <t>Wall of Virtue</t>
  </si>
  <si>
    <t>A wall of celestial power, upto 60ft long and 10ft high, or a ring with a 10ft radius. The area attempts to counteract magical darkness it comes into contact with. Any creature that moves into the wall or starts its turn there takes 1d8 good and 1d8 positive damage.</t>
  </si>
  <si>
    <t>A wall of celestial power, upto 60ft long and 10ft high, or a ring with a 10ft radius. The area attempts to counteract magical darkness it comes into contact with. Any creature that moves into the wall or starts its turn there takes 2d8 good and 2d8 positive damage.</t>
  </si>
  <si>
    <t>A wall of celestial power, upto 60ft long and 10ft high, or a ring with a 10ft radius. The area attempts to counteract magical darkness it comes into contact with. Any creature that moves into the wall or starts its turn there takes 3d8 good and 3d8 positive damage.</t>
  </si>
  <si>
    <t>A wall of celestial power, upto 60ft long and 10ft high, or a ring with a 10ft radius. The area attempts to counteract magical darkness it comes into contact with. Any creature that moves into the wall or starts its turn there takes 4d8 good and 4d8 positive damage.</t>
  </si>
  <si>
    <t>Wall of Water</t>
  </si>
  <si>
    <t>A wall of water, upto 60ft long and 10ft high. The wall extinguises fires and attempts to counteract magical fires. Bludgeoning and Slashing projectiles cant pass through the wall, and peircing projectiles have their range halved. Creatures must swim through the wall, and aquatic combat rules apply (such as -2 attack penalty)</t>
  </si>
  <si>
    <t>Wall of Wind</t>
  </si>
  <si>
    <t>A wall of wind, upto 60ft long and 30ft high. The wall wont let most projectiles through (arrow sized); larger projectiles (javelines) take a -2 penalty; Massive  projectiles take no penalty. The wall is difficult terrain and gaseous creatures cant pass through. Flying creatures must make a Fort save to pass through. Success - difficult terrain. Fail - stops the creature, wasting movement. Crit Fail - failure, pushed 10ft away.</t>
  </si>
  <si>
    <t>Wanderer's Guide</t>
  </si>
  <si>
    <t>You select a destination and you instinctly know the best route. As long as you and your allies travel overland you reduce movement penalties from difficult terrain by half. This doesnt affect encounter movement.</t>
  </si>
  <si>
    <t>Warding Aggression</t>
  </si>
  <si>
    <t>You use violence to make a ward. Each time you make a successful melee strike against the target creature the ward's duration extends to the following round, upto 1 minute. Your attacks determine the ward's potency. Critical Success - Your AC against the target gets a +3 bonus for 1 round, and a +2 bonus for the rest of the duration. Success - +2 AC bonus against the target. Failure - +1 AC bonus against target.</t>
  </si>
  <si>
    <t>Web of Eyes</t>
  </si>
  <si>
    <t>5 willing creatures</t>
  </si>
  <si>
    <t>You place a invisible scrying sensor on the forhead of each of the targets. The sensors are linked, and using an action one of the targets can share what they see to all others connected. Only one vision can be shared at a time. This allows for greater observation if one target shares line of sight to the others.</t>
  </si>
  <si>
    <t>Whirling Scarves</t>
  </si>
  <si>
    <t>With a vortex of colorful scarves you gain the concealed condition against attacks. When a melee attack misses because of the flat check the weapon is tangled, and further attacks with that weapon have a -1 circumstance penalty for the round. Ranged attacks are harder to time, the flat check to hit DC becomes 6.</t>
  </si>
  <si>
    <t>With a vortex of colorful scarves you gain the concealed condition against attacks. When a melee attack misses because of the flat check the weapon is tangled, and further attacks with that weapon have a -2 circumstance penalty for the round. Ranged attacks are harder to time, the flat check to hit DC becomes 7.</t>
  </si>
  <si>
    <t>With a vortex of colorful scarves you gain the concealed condition against attacks. When a melee attack misses because of the flat check the weapon is tangled, and further attacks with that weapon have a -3 circumstance penalty for the round. Ranged attacks are harder to time, the flat check to hit DC becomes 8.</t>
  </si>
  <si>
    <t>With a vortex of colorful scarves you gain the concealed condition against attacks. When a melee attack misses because of the flat check the weapon is tangled, and further attacks with that weapon have a -4 circumstance penalty for the round. Ranged attacks are harder to time, the flat check to hit DC becomes 9.</t>
  </si>
  <si>
    <t>Zone of Truth</t>
  </si>
  <si>
    <t>Making a zone of truth, all creatures in the area or enter it must make a save. Leaving the area and reentering uses the inital save. Affected creatures are aware of the enchantment, and can be evasive. Success - -2 status penalty to Deception checks. Fail - cant speak deliberate lies, -2 penalty to Deception checks. Crit Fail - cant speak deliberate lies, -4 penalty to Deception checks.</t>
  </si>
  <si>
    <t>Aerial Form</t>
  </si>
  <si>
    <t>Medium flying animal. AC [18 + Lv]; 5 temp hp; low light vision; +16 Acrobatics; +16 attack (+5 unarmed damage). Bat: 20ft speed (30ft flying), 40ft echo location, bite (2d8 pierc); Bird: 10ft speed (50ft flying), beak (2d8 pierc), talon (agile 1d10); Pterosaur: 10ft speed (40ft flying), imprecise scent 30ft, Beak (3d6 pierc): Wasp: 20ft speed (40ft fly), Stinger (1d8 pierc, 1d6 persist poison).</t>
  </si>
  <si>
    <t>Large flying animal. AC [18 + Lv]; 10 temp hp; low light vision; +20 Acrobatics; +18 attack (+8 unarmed damage). Bat: 20ft speed (40ft flying), 40ft echo location, bite (2d8 pierc); Bird: 10ft speed (60ft flying), beak (2d8 pierc), talon (agile 1d10); Pterosaur: 10ft speed (50ft flying), imprecise scent 30ft, Beak (3d6 pierc): Wasp: 20ft speed (50ft fly), Stinger (1d8 pierc, 1d6 persist poison).</t>
  </si>
  <si>
    <t>Huge flying animal. AC [21 + Lv]; 15 temp hp; low light vision; +23 Acrobatics; +21 attack (+4 unarmed damage, 10ft reach). Bat: 20ft speed (45ft flying), 40ft echo location, bite (4d8 pierc); Bird: 10ft speed (65ft flying), beak (4d8 pierc), talon (agile 2d10); Pterosaur: 10ft speed (55ft flying), imprecise scent 30ft, Beak (6d6 pierc): Wasp: 20ft speed (55ft fly), Stinger (2d8 pierc, 2d6 persist poison).</t>
  </si>
  <si>
    <t>Air Walk</t>
  </si>
  <si>
    <t>The target can walk on air as if it were solid ground. It can ascend and descend in this way at a maximum of a 45-degree angle.</t>
  </si>
  <si>
    <t>Anathematic Reprisal</t>
  </si>
  <si>
    <t>You punish a creature for pissing you off. As a reaction upon seeing a creature break your diety's anathema you deal 4d6 mental damage, after which it is immune for 1 minute. On a failed save the target is stupefied 1 for 1 round. For example, if an anathema is about raising undead you can cast this spell if you see a necromancer raise undead, but cant target undead for existing.</t>
  </si>
  <si>
    <t>You punish a creature for pissing you off. As a reaction upon seeing a creature break your diety's anathema you deal 5d6 mental damage, after which it is immune for 1 minute. On a failed save the target is stupefied 1 for 1 round. For example, if an anathema is about raising undead you can cast this spell if you see a necromancer raise undead, but cant target undead for existing.</t>
  </si>
  <si>
    <t>You punish a creature for pissing you off. As a reaction upon seeing a creature break your diety's anathema you deal 6d6 mental damage, after which it is immune for 1 minute. On a failed save the target is stupefied 1 for 1 round. For example, if an anathema is about raising undead you can cast this spell if you see a necromancer raise undead, but cant target undead for existing.</t>
  </si>
  <si>
    <t>You punish a creature for pissing you off. As a reaction upon seeing a creature break your diety's anathema you deal 7d6 mental damage, after which it is immune for 1 minute. On a failed save the target is stupefied 1 for 1 round. For example, if an anathema is about raising undead you can cast this spell if you see a necromancer raise undead, but cant target undead for existing.</t>
  </si>
  <si>
    <t>You punish a creature for pissing you off. As a reaction upon seeing a creature break your diety's anathema you deal 8d6 mental damage, after which it is immune for 1 minute. On a failed save the target is stupefied 1 for 1 round. For example, if an anathema is about raising undead you can cast this spell if you see a necromancer raise undead, but cant target undead for existing.</t>
  </si>
  <si>
    <t>You punish a creature for pissing you off. As a reaction upon seeing a creature break your diety's anathema you deal 9d6 mental damage, after which it is immune for 1 minute. On a failed save the target is stupefied 1 for 1 round. For example, if an anathema is about raising undead you can cast this spell if you see a necromancer raise undead, but cant target undead for existing.</t>
  </si>
  <si>
    <t>You punish a creature for pissing you off. As a reaction upon seeing a creature break your diety's anathema you deal 10d6 mental damage, after which it is immune for 1 minute. On a failed save the target is stupefied 1 for 1 round. For example, if an anathema is about raising undead you can cast this spell if you see a necromancer raise undead, but cant target undead for existing.</t>
  </si>
  <si>
    <t>Aromatic Lure</t>
  </si>
  <si>
    <t>You trick the target's nose to head towards an unoccupied / nonhazerdous space within range. Success - target is stupefied 1 by the smell. Failure - stupefied 2, spends its turn moving to the area in a safe manner. Crit Fail - stupefied 4, and moves to the location, upon arriving it will remain their for 1d4 rounds acting normally.</t>
  </si>
  <si>
    <t>You trick 2 targets' nose to head towards an unoccupied / nonhazerdous space within range. Success - target is stupefied 1 by the smell. Failure - stupefied 2, spends its turn moving to the area in a safe manner. Crit Fail - stupefied 4, and moves to the location, upon arriving it will remain their for 1d4 rounds acting normally.</t>
  </si>
  <si>
    <t>You trick 3 targets' nose to head towards an unoccupied / nonhazerdous space within range. Success - target is stupefied 1 by the smell. Failure - stupefied 2, spends its turn moving to the area in a safe manner. Crit Fail - stupefied 4, and moves to the location, upon arriving it will remain their for 1d4 rounds acting normally.</t>
  </si>
  <si>
    <t>You trick 4 targets' nose to head towards an unoccupied / nonhazerdous space within range. Success - target is stupefied 1 by the smell. Failure - stupefied 2, spends its turn moving to the area in a safe manner. Crit Fail - stupefied 4, and moves to the location, upon arriving it will remain their for 1d4 rounds acting normally.</t>
  </si>
  <si>
    <t>Bestrial Curse</t>
  </si>
  <si>
    <t>1 living humanoid</t>
  </si>
  <si>
    <t>Tapping into the target's inner beast to become more. Success - Mildly beastial features as it becomes clumsy 1 for 1 round. Failure - Bestial for 1 hour, clumsy 1, and weakness 1 to silver, gains a melee jaw/horn/hoof attack, and DC 5 flat check to manipulate. Crit Failure - as failure, but unlimited duration.</t>
  </si>
  <si>
    <t>Blink</t>
  </si>
  <si>
    <t>Blinking between planes, you gain resistance 5 to all damage (except force). You can sustain the spell to vanish and reappear 10ft away in a random direction without triggering reactions. At the end of your turn you vanish and reappear as above.</t>
  </si>
  <si>
    <t>Blinking between planes, you gain resistance 8 to all damage (except force). You can sustain the spell to vanish and reappear 10ft away in a random direction without triggering reactions. At the end of your turn you vanish and reappear as above.</t>
  </si>
  <si>
    <t>Blinking between planes, you gain resistance 11 to all damage (except force). You can sustain the spell to vanish and reappear 10ft away in a random direction without triggering reactions. At the end of your turn you vanish and reappear as above.</t>
  </si>
  <si>
    <t>Blinking between planes, you gain resistance 14 to all damage (except force). You can sustain the spell to vanish and reappear 10ft away in a random direction without triggering reactions. At the end of your turn you vanish and reappear as above.</t>
  </si>
  <si>
    <t>Bloodspray Curse</t>
  </si>
  <si>
    <t>The target's wounds gush blood. Success - The first time each round the target takes at least 10 piercing or slashing damage from a single strike, it takes an additional 2d6 damage of the same type. Failure - as success, but the target also takes 2d6 persistant bleed damage.</t>
  </si>
  <si>
    <t>The target's wounds gush blood. Success - The first time each round the target takes at least 10 piercing or slashing damage from a single strike, it takes an additional 3d6 damage of the same type. Failure - as success, but the target also takes 3d6 persistant bleed damage.</t>
  </si>
  <si>
    <t>The target's wounds gush blood. Success - The first time each round the target takes at least 10 piercing or slashing damage from a single strike, it takes an additional 4d6 damage of the same type. Failure - as success, but the target also takes 4d6 persistant bleed damage.</t>
  </si>
  <si>
    <t>The target's wounds gush blood. Success - The first time each round the target takes at least 10 piercing or slashing damage from a single strike, it takes an additional 5d6 damage of the same type. Failure - as success, but the target also takes 5d6 persistant bleed damage.</t>
  </si>
  <si>
    <t>Call the Blood</t>
  </si>
  <si>
    <t xml:space="preserve">The target's blood explodes out of its mouth/nose/eyes, dealing 8d4 negative damage. The blood then flows into your mouth, if you are a living creature you become sickened 2. If you have negative healing you can either gain temp hp equal to half the damage and become quickened 1 for 1 round, or quickened 1 for 1 minute. </t>
  </si>
  <si>
    <t xml:space="preserve">The target's blood explodes out of its mouth/nose/eyes, dealing 10d4 negative damage. The blood then flows into your mouth, if you are a living creature you become sickened 2. If you have negative healing you can either gain temp hp equal to half the damage and become quickened 1 for 1 round, or quickened 1 for 1 minute. </t>
  </si>
  <si>
    <t xml:space="preserve">The target's blood explodes out of its mouth/nose/eyes, dealing 12d4 negative damage. The blood then flows into your mouth, if you are a living creature you become sickened 2. If you have negative healing you can either gain temp hp equal to half the damage and become quickened 1 for 1 round, or quickened 1 for 1 minute. </t>
  </si>
  <si>
    <t xml:space="preserve">The target's blood explodes out of its mouth/nose/eyes, dealing 14d4 negative damage. The blood then flows into your mouth, if you are a living creature you become sickened 2. If you have negative healing you can either gain temp hp equal to half the damage and become quickened 1 for 1 round, or quickened 1 for 1 minute. </t>
  </si>
  <si>
    <t xml:space="preserve">The target's blood explodes out of its mouth/nose/eyes, dealing 16d4 negative damage. The blood then flows into your mouth, if you are a living creature you become sickened 2. If you have negative healing you can either gain temp hp equal to half the damage and become quickened 1 for 1 round, or quickened 1 for 1 minute. </t>
  </si>
  <si>
    <t xml:space="preserve">The target's blood explodes out of its mouth/nose/eyes, dealing 18d4 negative damage. The blood then flows into your mouth, if you are a living creature you become sickened 2. If you have negative healing you can either gain temp hp equal to half the damage and become quickened 1 for 1 round, or quickened 1 for 1 minute. </t>
  </si>
  <si>
    <t xml:space="preserve">The target's blood explodes out of its mouth/nose/eyes, dealing 20d4 negative damage. The blood then flows into your mouth, if you are a living creature you become sickened 2. If you have negative healing you can either gain temp hp equal to half the damage and become quickened 1 for 1 round, or quickened 1 for 1 minute. </t>
  </si>
  <si>
    <t>#165</t>
  </si>
  <si>
    <t>Chroma Leach</t>
  </si>
  <si>
    <t>With a handful of colors that should not exist, your touch saps color and vitality from the living. Gnomes have a -2 penalty to the same. Success - target is enfeebled 2 for 1 round. Failure - target is enfeebled 2 for 1 minute and drained 1, for 1 round if the target tries to move it must make a will save (spell dc) or lose the action. Crit Fail - as failure but perminately enfeebled 2 and drained 2 (until restoration magic is used).</t>
  </si>
  <si>
    <t>Chromatic Armor</t>
  </si>
  <si>
    <t>Wrapping the target in colors that shed 20ft bright light, you give them resistance 5 to the colors of the armor. Roll twice on the table, or 3 times if you spend 3 actions to cast the spell: 1 fire, 2 acid, 3 electricity, 4 poison, 5 sonic, 6 mental, 7 force, 8 most recent damage. Creatures who melee attack the target must make a will save at the end of their turn, becoming dazzled until the end of their next turn on a failure.</t>
  </si>
  <si>
    <t>Wrapping the target in colors that shed 20ft bright light, you give them resistance 8 to the colors of the armor. Roll twice on the table, or 3 times if you spend 3 actions to cast the spell: 1 fire, 2 acid, 3 electricity, 4 poison, 5 sonic, 6 mental, 7 force, 8 most recent damage. Creatures who melee attack the target must make a will save at the end of their turn, becoming dazzled until the end of their next turn on a failure.</t>
  </si>
  <si>
    <t>Wrapping the target in colors that shed 20ft bright light, you give them resistance 11 to the colors of the armor. Roll twice on the table, or 3 times if you spend 3 actions to cast the spell: 1 fire, 2 acid, 3 electricity, 4 poison, 5 sonic, 6 mental, 7 force, 8 most recent damage. Creatures who melee attack the target must make a will save at the end of their turn, becoming dazzled until the end of their next turn on a failure.</t>
  </si>
  <si>
    <t>Chromatic Ray</t>
  </si>
  <si>
    <t>With a blast of color, roll a d4 to determine the damage. 1 - 30 fire, 2 - 40 acid, 3 - 50 electricity, 4 - 25 poison (Fort save or enfeebled 1 for 1 min).</t>
  </si>
  <si>
    <t>With a blast of color, roll a d8 to determine the damage. 1 - 40 fire, 2 - 50 acid, 3 - 60 electricity, 4 - 35 poison (Fort save or enfeebled 1 for 1 min), 5 - flesh to stone, 6 - Confusion spell (mind warp on crit), 7 - slowed for 1 min, Will save or teleport 120ft back, 8 - Dazzled 1 round, reroll add the effect.</t>
  </si>
  <si>
    <t>Clairvoyance</t>
  </si>
  <si>
    <t>You create an invisible floating eye at a location within range (even if it's outside your line of sight or line of effect). The eye can't move, but you can see in all directions from that point as if using your normal visual senses.</t>
  </si>
  <si>
    <t>Cloak of Light</t>
  </si>
  <si>
    <t>[S] 5 rounds</t>
  </si>
  <si>
    <t>You surround yourself in holy light, sheding 30ft bright light. Creatures that start their turn adjacent to you are affected: Living creatures heal 2d4 HP, and undead take 4d4 posititve damage.</t>
  </si>
  <si>
    <t>You surround yourself in holy light, sheding 30ft bright light. Creatures that start their turn adjacent to you are affected: Living creatures heal 3d4 HP, and undead take 6d4 posititve damage.</t>
  </si>
  <si>
    <t>You surround yourself in holy light, sheding 30ft bright light. Creatures that start their turn adjacent to you are affected: Living creatures heal 4d4 HP, and undead take 8d4 posititve damage.</t>
  </si>
  <si>
    <t>You surround yourself in holy light, sheding 30ft bright light. Creatures that start their turn adjacent to you are affected: Living creatures heal 5d4 HP, and undead take 10d4 posititve damage.</t>
  </si>
  <si>
    <t>Clownish Curse</t>
  </si>
  <si>
    <t>You force the target into comically uncordinated movements and sounds, wearing oversized gloves and shoes. On a Successful save for 1 round the target must roll twice and take the worse result whenever attempting Acrobatics, Stealth, or Thievery checks, and any failures on these checks become critical failures. Failure - as success, but the effect lasts 1 hour. Crit Fail - the effect is permanent.</t>
  </si>
  <si>
    <t>Compel True Name</t>
  </si>
  <si>
    <t>Using their true name, you compel the target into actions that are not self destructive. The target doesnt need to know its own true name. Crit Success - immune to this spell for a week, and learns its true name. Success - immune for a day, learns fragment of their true name. Fail - Follows your commands for 10 minutes, or upon completeing the finite instructions, afterwhich immune for 1 hour. Crit Fail - as fail, lasts 8 hours no immunity.</t>
  </si>
  <si>
    <t>Confusion</t>
  </si>
  <si>
    <t>With befuddlement, the target acts randomly. Success - target babbles incoherently, stunned 1. Failure - confused for 1 minute, and can attempt a new save at the end of its turns. Crit fail - confused for 1 minute, no save to end early.</t>
  </si>
  <si>
    <t>With befuddlement, upto 10 target acts randomly. Success - target babbles incoherently, stunned 1. Failure - confused for 1 minute, and can attempt a new save at the end of its turns. Crit fail - confused for 1 minute, no save to end early.</t>
  </si>
  <si>
    <t>Coral Eruption</t>
  </si>
  <si>
    <t>Two 10ft burst</t>
  </si>
  <si>
    <t>You transform the ground into a dangerious coral reef, dealing 6d6 piercing damage to creatures in the area when you cast the spell, and 1d6 persistant bleed damage on a critical failure. The ground is difficult terrain, that deals 3 piercing damage for every square a creature moves through. 3 bursts of coral can be summoned if they are all underwater.</t>
  </si>
  <si>
    <t>You transform the ground into a dangerious coral reef, dealing 9d6 piercing damage to creatures in the area when you cast the spell, and 1d6 persistant bleed damage on a critical failure. The ground is difficult terrain, that deals 4 piercing damage for every square a creature moves through. 3 bursts of coral can be summoned if they are all underwater.</t>
  </si>
  <si>
    <t>You transform the ground into a dangerious coral reef, dealing 12d6 piercing damage to creatures in the area when you cast the spell, and 1d6 persistant bleed damage on a critical failure. The ground is difficult terrain, that deals 5 piercing damage for every square a creature moves through. 3 bursts of coral can be summoned if they are all underwater.</t>
  </si>
  <si>
    <t>You transform the ground into a dangerious coral reef, dealing 15d6 piercing damage to creatures in the area when you cast the spell, and 1d6 persistant bleed damage on a critical failure. The ground is difficult terrain, that deals 6 piercing damage for every square a creature moves through. 3 bursts of coral can be summoned if they are all underwater.</t>
  </si>
  <si>
    <t>Countless Eyes</t>
  </si>
  <si>
    <t>Eyes form across the target's body, allowing it to see in all directions at once. The subject can't be flanked for the spell's duration. In addition, when the subject Seeks, it can Seek in a 30-foot burst centered on itself or up to four 15-foot bursts within line of sight.</t>
  </si>
  <si>
    <t>Using eldritch energy, you conjure an object of upto 5 cubic feet of vegetable matter (wood or paper). The item is obviously summoned, cant be sold, cant have moving parts, and cant have precious materials (rarity of uncommon or higher).</t>
  </si>
  <si>
    <t>Using eldritch energy, you conjure an object of upto 5 cubic feet of vegetable matter (wood or paper) or metal/stone. The item is obviously summoned, cant be sold, cant have moving parts, and cant have precious materials (rarity of uncommon or higher).</t>
  </si>
  <si>
    <t>Daydreamer's Curse</t>
  </si>
  <si>
    <t>You impose a curse that causes the target's mind to drift. Successful - for 10 minutes, the target must roll twice and use the worse result whenever attempting a Medicine, Nature, Perception, or Survival check, and critical successes become normal successes. Failure - As success, but the effect is perminent. Crit Fail - as failure, but all results of the checks become one stage worse.</t>
  </si>
  <si>
    <t>#164</t>
  </si>
  <si>
    <t>Detect Creator</t>
  </si>
  <si>
    <t>1 destroyed undead</t>
  </si>
  <si>
    <t>Examining the remains or spiritual residue of a destroyed undead, you are able to locate the creature's creator. If the creator is within range, you can sense the direction to them. Once you are within 100ft of the creator the spell ends and you can not locate them further. Lead or running water blocks the spell. The spell fails if the undead doesnt have a creator or if they are on a different plane.</t>
  </si>
  <si>
    <t>Detect Scrying</t>
  </si>
  <si>
    <t>By tapping into trace divinatory auras, you detect the presence of scrying effects in the area. If detect scrying is higher level than a scrying effect, you gain a glimpse of the scrying creature and learn its approximate distance and direction.</t>
  </si>
  <si>
    <t>By tapping into trace divinatory auras, you detect the presence of scrying effects in the area until your next daily preparations. If detect scrying is higher level than a scrying effect, you gain a glimpse of the scrying creature and learn its approximate distance and direction.</t>
  </si>
  <si>
    <t>Dimension Door</t>
  </si>
  <si>
    <t>You open a door that instantly transports yourself and any items you are carrying into a clear space within range. The spell fails if you attempt to bring another creature with you, even if they are in an extradimensional container.</t>
  </si>
  <si>
    <t>You open a door that instantly transports yourself and any items you are carrying into a clear space within 1 mile, assuming you have at least seen the location you are teleporting to. After which you are immune to this spell for 1 hour. The spell fails if you attempt to bring another creature with you, even if they are in an extradimensional container.</t>
  </si>
  <si>
    <t>Dimensional Anchor</t>
  </si>
  <si>
    <t>You interfere with the target's ability to teleport and travel between dimensions via attempting to counteract. Successful save - the effect's duration lasts 1 minute. Failure - the effect lasts 10 minutes. Crit Fail - the effect lasts 1 hour.</t>
  </si>
  <si>
    <t>Dinosaur Form</t>
  </si>
  <si>
    <t>Large Dinosaur. AC (18+Lv), 15 temp hp, Low light Vision, Imprecise scent 30ft, +18 athletics, +16 (unarmed +9 damage). Form: Bronto - 25ft, Tail (15ft, 2d6 bludg), Foot (2d8 bludg). Deinony - 40ft, Talon (Agile, 2d4 pierc, 1 bleed), Jaw (1d10 pierc). Tricer - 30ft, Horn (2d8 pierc, 1d6 bleed on crit), Foot (2d6 blud). Trex - 30ft, Jaws (deadly, 10ft, 1d12 pierc), Tail (10ft, 1d10 blud).</t>
  </si>
  <si>
    <t>Huge Dinosaur. AC (18+Lv), 20 temp hp, Low light Vision, Imprecise scent 30ft, +21 athletics, +18 (unarmed +6 damage, 15ft). Form: Bronto - 25ft, Tail (20ft, 4d6 bludg), Foot (4d8 bludg). Deinony - 40ft, Talon (Agile, 4d4 pierc, 1 bleed), Jaw (2d10 pierc). Tricer - 30ft, Horn (4d8 pierc, 2d6 bleed on crit), Foot (4d6 blud). Trex - 30ft, Jaws (deadly, 15ft, 2d12 pierc), Tail (15ft, 2d10 blud).</t>
  </si>
  <si>
    <t>Gargantuan Dinosaur. AC (21+Lv), 25 temp hp, Low light Vision, Imprecise scent 30ft, +25 athletics, +25 (unarmed +15 damage, 20ft reach). Form: Bronto - 25ft, Tail (25ft, 4d6 bludg), Foot (4d8 bludg). Deinony - 40ft, Talon (Agile, 4d4 pierc, 1 bleed), Jaw (2d10 pierc). Tricer - 30ft, Horn (4d8 pierc, 2d6 bleed on crit), Foot (4d6 blud). Trex - 30ft, Jaws (deadly, 20ft, 2d12 pierc), Tail (20ft, 2d10 blud).</t>
  </si>
  <si>
    <t>Discern Lies</t>
  </si>
  <si>
    <t>Falsehoods ring in your ears like discordant notes. You gain a +4 status bonus to Perception checks when someone Lies.</t>
  </si>
  <si>
    <t>Divine Wrath</t>
  </si>
  <si>
    <t>Drawing upon the power of alignment from your diety you deal 4d10 alignment damage to the area. Creatures matching the alignment are immune, nuetral creatures treat their save as one degree better. Success - Half damage. Failure - full damage and sickened 1. Crit Fail - Full damage, sickened 2, while sickened also slowed 1.</t>
  </si>
  <si>
    <t>Drawing upon the power of alignment from your diety you deal 5d10 alignment damage to the area. Creatures matching the alignment are immune, nuetral creatures treat their save as one degree better. Success - Half damage. Failure - full damage and sickened 1. Crit Fail - Full damage, sickened 2, while sickened also slowed 1.</t>
  </si>
  <si>
    <t>Drawing upon the power of alignment from your diety you deal 6d10 alignment damage to the area. Creatures matching the alignment are immune, nuetral creatures treat their save as one degree better. Success - Half damage. Failure - full damage and sickened 1. Crit Fail - Full damage, sickened 2, while sickened also slowed 1.</t>
  </si>
  <si>
    <t>Drawing upon the power of alignment from your diety you deal 7d10 alignment damage to the area. Creatures matching the alignment are immune, nuetral creatures treat their save as one degree better. Success - Half damage. Failure - full damage and sickened 1. Crit Fail - Full damage, sickened 2, while sickened also slowed 1.</t>
  </si>
  <si>
    <t>Drawing upon the power of alignment from your diety you deal 8d10 alignment damage to the area. Creatures matching the alignment are immune, nuetral creatures treat their save as one degree better. Success - Half damage. Failure - full damage and sickened 1. Crit Fail - Full damage, sickened 2, while sickened also slowed 1.</t>
  </si>
  <si>
    <t>Drawing upon the power of alignment from your diety you deal 9d10 alignment damage to the area. Creatures matching the alignment are immune, nuetral creatures treat their save as one degree better. Success - Half damage. Failure - full damage and sickened 1. Crit Fail - Full damage, sickened 2, while sickened also slowed 1.</t>
  </si>
  <si>
    <t>Drawing upon the power of alignment from your diety you deal 10d10 alignment damage to the area. Creatures matching the alignment are immune, nuetral creatures treat their save as one degree better. Success - Half damage. Failure - full damage and sickened 1. Crit Fail - Full damage, sickened 2, while sickened also slowed 1.</t>
  </si>
  <si>
    <t>Draw the Lightning</t>
  </si>
  <si>
    <t>Call upon the forming storm overhead lightning strikes a foe taller then you before entering your weapon. A creature taller then you or higher in the air takes 3d12 electricity damage (basic save). The lightning bolt then empowers your weapon to deal 1d12 extra electricity damage. If you cast this spell during a lightning storm increase the bolts damage by 2d12.</t>
  </si>
  <si>
    <t>Call upon the forming storm overhead lightning strikes a foe taller then you before entering your weapon. A creature taller then you or higher in the air takes 4d12 electricity damage (basic save). The lightning bolt then empowers your weapon to deal 2d12 extra electricity damage. If you cast this spell during a lightning storm increase the bolts damage by 2d12.</t>
  </si>
  <si>
    <t>Dull Ambition</t>
  </si>
  <si>
    <t>You curse the target to fail in all avenues of life that require drive and ambition, undermining its goals. Success - for 1 hour the target rolls twice and uses the lower result on iniative rolls. Failure - for 1 day the target rolls twice, using the lower result on iniative and downtime activities. Crit Fail - as failure, but unlimited duration.</t>
  </si>
  <si>
    <t>Elemental Gift</t>
  </si>
  <si>
    <t>You fill the target with an elemental force. Air - gains +30ft bonus to land speed, and a fly speed equal to unmodified land speed; Earth - gains +2 status bonus to Fort and Reflex saves against being shoved, triped, or knocked prone, additional the adjacent ground is difficult terrain; Fire - melee strikes deal 1d6 persistant fire damage on hit; Water - Resistant 5 to fire, swim speed equal to land speed.</t>
  </si>
  <si>
    <t>You fill the 5 targets with an elemental force. Air - gains +30ft bonus to land speed, and a fly speed equal to unmodified land speed; Earth - gains +2 status bonus to Fort and Reflex saves against being shoved, triped, or knocked prone, additional the adjacent ground is difficult terrain; Fire - melee strikes deal 1d6 persistant fire damage on hit; Water - Resistant 5 to fire, swim speed equal to land speed.</t>
  </si>
  <si>
    <t>Elephant Form</t>
  </si>
  <si>
    <t>Large Elephant. AC (18+Lv), 15 temp hp, Low light Vision, Imprecise scent 30ft, +18 athletics, +16 (unarmed +9 damage). Form: Elephant - 40ft speed, Foot (2d8 bludg), Trunk (10ft, grab), Tusk (10ft, 2d6 pierc). If you grapple with the trunk and target is 2 sizes smaller you can relocate them within your reach.</t>
  </si>
  <si>
    <t>Huge Elephant. AC (18+Lv), 20 temp hp, Low light Vision, Imprecise scent 30ft, +21 athletics, +18 (unarmed +6 damage). Form: Elephant - 40ft speed, Foot (10ft, 4d8 bludg), Trunk (15ft, grab), Tusk (15ft, 4d6 pierc). If you grapple with the trunk and target is 2 sizes smaller you can relocate them within your reach.</t>
  </si>
  <si>
    <t>Gargantuan Elephant. AC (21+Lv), 25 temp hp, Low light Vision, Imprecise scent 30ft, +25 athletics, +25 (unarmed +18 damage). Form: Elephant - 40ft speed, Foot (15ft, 4d8 bludg), Trunk (20ft, grab), Tusk (20ft, 4d6 pierc). If you grapple with the trunk and target is 2 sizes smaller you can relocate them within your reach.</t>
  </si>
  <si>
    <t>Enervation</t>
  </si>
  <si>
    <t>With a beam of negative energy, each living creature must make a save. Success - 2d8 persistent negative damage. Failure - 4d8 persistant negative damage, drained 1. Crit Fail - 4d8 persistant negative damage, drained 2, doomed 1.</t>
  </si>
  <si>
    <t>With a beam of negative energy, each living creature must make a save. Success - 3d8 persistent negative damage. Failure - 6d8 persistant negative damage, drained 1. Crit Fail - 6d8 persistant negative damage, drained 2, doomed 1.</t>
  </si>
  <si>
    <t>With a beam of negative energy, each living creature must make a save. Success - 4d8 persistent negative damage. Failure - 8d8 persistant negative damage, drained 1. Crit Fail - 8d8 persistant negative damage, drained 2, doomed 1.</t>
  </si>
  <si>
    <t>With a beam of negative energy, each living creature must make a save. Success - 5d8 persistent negative damage. Failure - 10d8 persistant negative damage, drained 1. Crit Fail - 10d8 persistant negative damage, drained 2, doomed 1.</t>
  </si>
  <si>
    <t>Enhance Senses</t>
  </si>
  <si>
    <t>You enhance the target's senses. The target gains low-light vision, and all of the target's imprecise senses have their distances doubled. If the target already has low-light vision, they gain darkvision.</t>
  </si>
  <si>
    <t>You enhance 2 targets' senses. The target gains low-light vision, and all of the target's imprecise senses have their distances doubled. If the target already has low-light vision, they gain darkvision.</t>
  </si>
  <si>
    <t>You enhance 3 targets' senses. The target gains low-light vision, and all of the target's imprecise senses have their distances doubled. If the target already has low-light vision, they gain darkvision.</t>
  </si>
  <si>
    <t>You enhance 4 targets' senses. The target gains low-light vision, and all of the target's imprecise senses have their distances doubled. If the target already has low-light vision, they gain darkvision.</t>
  </si>
  <si>
    <t>False Nature</t>
  </si>
  <si>
    <t>You speak a command statement to turn the object into a nonspecific object, such as 'stone' or 'antidote'. Creatures who see the change get a Will save, with their recent memory being rewriten to believe the illusion on a failure. Creatures interacting with the object can attempt to disbelieve using perception against spell DC.</t>
  </si>
  <si>
    <t>Favorable Review</t>
  </si>
  <si>
    <t>You enchant a creature to only say good things about a single show of a specified creature, location, or performance. Crit Success - unaffected and aware of the attempt. Success - unaffected and unaware of the spell. Fail - Words twist so any unforvorable opinions become praise for 1 week, and the target is aware of the words it speaks. Crit Fail - as failure, but the effect is perminent and the target genuinely enjoys the show.</t>
  </si>
  <si>
    <t>You enchant 10 creature within 60ft to only say good things about a single show of a specified creature, location, or performance. Crit Success - unaffected and aware of the attempt. Success - unaffected and unaware of the spell. Fail - Words twist so any unforvorable opinions become praise for 1 week, and the target is aware of the words it speaks. Crit Fail - as failure, but the effect is perminent and the target genuinely enjoys the show.</t>
  </si>
  <si>
    <t>Fey Form</t>
  </si>
  <si>
    <t>Medium fey. AC [19 + Lv]; 15 temp hp, weakness 5 cold iron; low light vision; +16 Acrobatics; +16 attack (+8 unarmed damage). Dryad - temp hp 30, 25ft, weakness 5 fire, Branch (1d12 blud); Naiad - 25ft (swim), resistant 5 fire, fist (1d8 blud); Redcap - 40ft, small, Scythe (deadly d10, trip, 1d10 slash); Unicorn - 40ft, Large, resistant 5 poison, ghost touch, Horn (1d10 peirc, 1 good), Hoof (agile, 1d8 blud)</t>
  </si>
  <si>
    <t>Fire Shield</t>
  </si>
  <si>
    <t>You wreathe yourself in ghostly flames, gaining cold resistance 5. Additionally, adjacent creatures that hit you with a melee attack, as well as creatures that touch you or hit you with an unarmed attack, take 2d6 fire damage each time they do.</t>
  </si>
  <si>
    <t>You wreathe yourself in ghostly flames, gaining cold resistance 10. Additionally, adjacent creatures that hit you with a melee attack, as well as creatures that touch you or hit you with an unarmed attack, take 3d6 fire damage each time they do.</t>
  </si>
  <si>
    <t>You wreathe yourself in ghostly flames, gaining cold resistance 15. Additionally, adjacent creatures that hit you with a melee attack, as well as creatures that touch you or hit you with an unarmed attack, take 4d6 fire damage each time they do.</t>
  </si>
  <si>
    <t>You wreathe yourself in ghostly flames, gaining cold resistance 20. Additionally, adjacent creatures that hit you with a melee attack, as well as creatures that touch you or hit you with an unarmed attack, take 5d6 fire damage each time they do.</t>
  </si>
  <si>
    <t>Fly</t>
  </si>
  <si>
    <t>The target can soar through the air, gaining a fly Speed equal to its Speed or 20 feet, whichever is greater.</t>
  </si>
  <si>
    <t>The target can soar through the air, gaining a fly Speed equal to its Speed or 20 feet, whichever is greater for 1 hour.</t>
  </si>
  <si>
    <t>Forgotten Lines</t>
  </si>
  <si>
    <t>1 text</t>
  </si>
  <si>
    <t>You learn one piece of information that was removed from the target text after its creation. You can instead learn one piece of information from a text that was destroyed as long as you have a fragment of the text (such as piece of the cover or its clasp).</t>
  </si>
  <si>
    <t>You learn all the information of your chosen topic that was removed from the target text after its creation. You can instead learn the same information from a text that was destroyed as long as you have a fragment of the text (such as piece of the cover or its clasp).</t>
  </si>
  <si>
    <t>You learn all the information of your chosen topic that was removed from the target text after its creation. You can instead learn the same information from a text that was destroyed as long as you have a fragment of the text (such as piece of the cover or its clasp). You also learn the things the author self censored and didnt commit to paper.</t>
  </si>
  <si>
    <t>Freedom of Movement</t>
  </si>
  <si>
    <t>The target ignores effects that would give them a circumstance penalty to their speed. When the target attempts to escape an effect that has them immobilized, grabbed, or restained, they automatically success unless the effect is magical and a higher level then this spell.</t>
  </si>
  <si>
    <t>Gaseous Form</t>
  </si>
  <si>
    <t>The target transforms in a vaporous state, losing the effects of their armor (becoming unarmored), gaining resistant 8 to physical damage, and immunity to precision damage. The target can not cast spells, activate items, or make attacks in this form. They gain a fly speed of 10ft and can slip through tiny cracks. The target can dismiss the spell.</t>
  </si>
  <si>
    <t>Ghostly Tragedy</t>
  </si>
  <si>
    <t>You compel the local spirits to recreate an event you are of. You take the roll of the primary victim and reenact the last 9 minutes of the person's life and the minutes after. The participating spirits dont take the form of the perpetrators. When the scene ends you take 2d6 negative damage for each ghostly apparition that participated. All creatures that viewed the spell can attempt to investigate using the new information.</t>
  </si>
  <si>
    <t>Girzanje's March</t>
  </si>
  <si>
    <t>Singing a prayer for war, all alied creatures who can hear and understand you gain a +1 status bonus to attack rolls, fortitude saves, and Will saves against mental effects.</t>
  </si>
  <si>
    <t>Singing a prayer for war, all alied creatures who can hear and understand you gain a +2 status bonus to attack rolls, fortitude saves, and Will saves against mental effects.</t>
  </si>
  <si>
    <t>Singing a prayer for war, all alied creatures who can hear and understand you gain a +3 status bonus to attack rolls, fortitude saves, and Will saves against mental effects.</t>
  </si>
  <si>
    <t>Glibness</t>
  </si>
  <si>
    <t>Lying like silk, you gain a +4 status bonus to Deception checks to lie, and against Perception checks to discern the truth, adding your level even if you are untrained. If the lies you speak are so implausible the DC increases reduce that penalty or increase by half.</t>
  </si>
  <si>
    <t>Globe of Invulnerability</t>
  </si>
  <si>
    <t>An immobile glope appears, attempting to counteract any spell from outside the globe, as if the globe was Dispel Magic of 1 level lower then the globe. The spell only protects against portions of spell that would affect space inside the globe. The globe must not run through a creature's space when it is cast, and creatures can enter the globe after it is cast.</t>
  </si>
  <si>
    <t>Hallucinatory Terrain</t>
  </si>
  <si>
    <t>50ft burst</t>
  </si>
  <si>
    <t>You create an illusion that causes natural terrain to look, sound, feel, and smell like a different kind of terrain. This doesn't disguise any structures or creatures in the area. Any creature that touches the illusion or uses the Seek action to examine it can attempt to disbelieve your illusion.</t>
  </si>
  <si>
    <t>You create an illusion that causes natural terrain to look, sound, feel, and smell like a different kind of terrain, hiding structures or adding new ones. This doesn't disguise any creatures in the area. Any creature that touches the illusion or uses the Seek action to examine it can attempt to disbelieve your illusion.</t>
  </si>
  <si>
    <t>Holy Cascade</t>
  </si>
  <si>
    <t>Calling upon sacred energy you amplify a vial of holy water (which the spell consumes), causing it to deal 3d6 bludgeoning damage to creatures in the area. The water deals an additional 6d6 positive damage to undead, and 6d6 good damage to fiends.</t>
  </si>
  <si>
    <t>Calling upon sacred energy you amplify a vial of holy water (which the spell consumes), causing it to deal 4d6 bludgeoning damage to creatures in the area. The water deals an additional 8d6 positive damage to undead, and 8d6 good damage to fiends.</t>
  </si>
  <si>
    <t>Calling upon sacred energy you amplify a vial of holy water (which the spell consumes), causing it to deal 5d6 bludgeoning damage to creatures in the area. The water deals an additional 10d6 positive damage to undead, and 10d6 good damage to fiends.</t>
  </si>
  <si>
    <t>Calling upon sacred energy you amplify a vial of holy water (which the spell consumes), causing it to deal 6d6 bludgeoning damage to creatures in the area. The water deals an additional 12d6 positive damage to undead, and 12d6 good damage to fiends.</t>
  </si>
  <si>
    <t>Calling upon sacred energy you amplify a vial of holy water (which the spell consumes), causing it to deal 7d6 bludgeoning damage to creatures in the area. The water deals an additional 14d6 positive damage to undead, and 14d6 good damage to fiends.</t>
  </si>
  <si>
    <t>Calling upon sacred energy you amplify a vial of holy water (which the spell consumes), causing it to deal 8d6 bludgeoning damage to creatures in the area. The water deals an additional 16d6 positive damage to undead, and 16d6 good damage to fiends.</t>
  </si>
  <si>
    <t>Calling upon sacred energy you amplify a vial of holy water (which the spell consumes), causing it to deal 9d6 bludgeoning damage to creatures in the area. The water deals an additional 18d6 positive damage to undead, and 18d6 good damage to fiends.</t>
  </si>
  <si>
    <t>Hydraulic Torrent</t>
  </si>
  <si>
    <t>With a swirling torrent of water, you deal 8d6 bluedgeoning damage to all creatures in the line. Unattended objects automatically fail. Creatures and objects that fail the save are also knocked by 5ft (10ft on a critical failure).</t>
  </si>
  <si>
    <t>With a swirling torrent of water, you deal 10d6 bluedgeoning damage to all creatures in the line. Unattended objects automatically fail. Creatures and objects that fail the save are also knocked by 5ft (10ft on a critical failure).</t>
  </si>
  <si>
    <t>With a swirling torrent of water, you deal 12d6 bluedgeoning damage to all creatures in the line. Unattended objects automatically fail. Creatures and objects that fail the save are also knocked by 5ft (10ft on a critical failure).</t>
  </si>
  <si>
    <t>With a swirling torrent of water, you deal 14d6 bluedgeoning damage to all creatures in the line. Unattended objects automatically fail. Creatures and objects that fail the save are also knocked by 5ft (10ft on a critical failure).</t>
  </si>
  <si>
    <t>With a swirling torrent of water, you deal 16d6 bluedgeoning damage to all creatures in the line. Unattended objects automatically fail. Creatures and objects that fail the save are also knocked by 5ft (10ft on a critical failure).</t>
  </si>
  <si>
    <t>With a swirling torrent of water, you deal 18d6 bluedgeoning damage to all creatures in the line. Unattended objects automatically fail. Creatures and objects that fail the save are also knocked by 5ft (10ft on a critical failure).</t>
  </si>
  <si>
    <t>With a swirling torrent of water, you deal 20d6 bluedgeoning damage to all creatures in the line. Unattended objects automatically fail. Creatures and objects that fail the save are also knocked by 5ft (10ft on a critical failure).</t>
  </si>
  <si>
    <t>Ice Storm</t>
  </si>
  <si>
    <t>With a storm of icy deluge, you deal 2d8 bludgeoning and 2d8 cold damage to all creatures in the area when you first cast the spell. As the spell is sustained it continues to rain sleet, dealing 2 cold damage to any creature that ends its turn in the area. If you are outdoors when you cast this spell you can summon 2 nonoverlapping clouds; Large creatures in both areas dont take extra damage.</t>
  </si>
  <si>
    <t>With a storm of icy deluge, you deal 3d8 bludgeoning and 3d8 cold damage to all creatures in the area when you first cast the spell. As the spell is sustained it continues to rain sleet, dealing 3 cold damage to any creature that ends its turn in the area. If you are outdoors when you cast this spell you can summon 2 nonoverlapping clouds; Large creatures in both areas dont take extra damage.</t>
  </si>
  <si>
    <t>With a storm of icy deluge, you deal 4d8 bludgeoning and 4d8 cold damage to all creatures in the area when you first cast the spell. As the spell is sustained it continues to rain sleet, dealing 4 cold damage to any creature that ends its turn in the area. If you are outdoors when you cast this spell you can summon 2 nonoverlapping clouds; Large creatures in both areas dont take extra damage.</t>
  </si>
  <si>
    <t>With a storm of icy deluge, you deal 5d8 bludgeoning and 5d8 cold damage to all creatures in the area when you first cast the spell. As the spell is sustained it continues to rain sleet, dealing 5 cold damage to any creature that ends its turn in the area. If you are outdoors when you cast this spell you can summon 2 nonoverlapping clouds; Large creatures in both areas dont take extra damage.</t>
  </si>
  <si>
    <t>Implement of Destruction</t>
  </si>
  <si>
    <t>1 creature and weapon</t>
  </si>
  <si>
    <t>You declare that a weapon wielded by you or an ally will kill the target, linking them in the target's mind. Success - The target weapon deals 2d6 mental damage the first time it hits the target. Failure - the weapon deals 2d6 persistant mental damage, on a crititcal hit the target is doomed 1 while it takes this damage. Crit fail - the weapon deals 4d6 persistant damage, crititcal hits result in the target being doomed 1.</t>
  </si>
  <si>
    <t>You declare that a weapon wielded by you or an ally will kill the target, linking them in the target's mind. Success - The target weapon deals 3d6 mental damage the first time it hits the target. Failure - the weapon deals 3d6 persistant mental damage, on a crititcal hit the target is doomed 1 while it takes this damage. Crit fail - the weapon deals 6d6 persistant damage, crititcal hits result in the target being doomed 1.</t>
  </si>
  <si>
    <t>You declare that a weapon wielded by you or an ally will kill the target, linking them in the target's mind. Success - The target weapon deals 4d6 mental damage the first time it hits the target. Failure - the weapon deals 4d6 persistant mental damage, on a crititcal hit the target is doomed 1 while it takes this damage. Crit fail - the weapon deals 8d6 persistant damage, crititcal hits result in the target being doomed 1.</t>
  </si>
  <si>
    <t>You declare that a weapon wielded by you or an ally will kill the target, linking them in the target's mind. Success - The target weapon deals 5d6 mental damage the first time it hits the target. Failure - the weapon deals 10d6 persistant mental damage, on a crititcal hit the target is doomed 1 while it takes this damage. Crit fail - the weapon deals 10d6 persistant damage, crititcal hits result in the target being doomed 1.</t>
  </si>
  <si>
    <t>Infectious Melody</t>
  </si>
  <si>
    <t>Using music you disrupt the enemies' ability to communicate in the area. Success - for 1 round a creature must sing along to communicate, spending an action; make a DC 5 flat check to cast a spell; and can not hide. Fail - as success, but the duration is 3 rounds. Crit fail - as success, but the duration is 1 hour.</t>
  </si>
  <si>
    <t>Internal Insurrection</t>
  </si>
  <si>
    <t>You afflict the target with the Internal Insurrection disease. Success - Clumsy 1 for 1 round. Fail - stage 1. Crit Fail - stage 2; Disease (lv 7, cant remove clumsy while affected); Stage 1 - clumsy 1 (1 day); Stage 2 - Clumsy 2 (1 day); Stage 3 - Clumsy 2, flat footed (1 day), Stage 4 - clumsy 3 (flatfooted); Stage 5 - death, as the body explodes</t>
  </si>
  <si>
    <t>Malevolence</t>
  </si>
  <si>
    <t>Invisibility Curtain</t>
  </si>
  <si>
    <t>You create an invisible wall that makes any creature behind it invisible to those on the other side. The wall can be upto 60ft long, or a 10ft radious ring; both options are an inch thick and 10ft tall. The wall is intangible, and passed through. If a creature invisible in this way takes a hostile action, the spell ends after the action is complete.</t>
  </si>
  <si>
    <t>You create an invisible wall that makes any creature behind it invisible to those on the other side. The wall can be upto 60ft long, or a 10ft radious ring; both options are an inch thick and 10ft tall. The wall is intangible, and passed through.</t>
  </si>
  <si>
    <t>Magic Mailbox</t>
  </si>
  <si>
    <t>2 containers</t>
  </si>
  <si>
    <t>Linking two closeable containers, you can transfer upto 3 bulk of nonliving, nonmagical materials as long as both containers are closed for 10 minutes. Both containers must be opened before you can transfer something again, and they do not work on different planes.</t>
  </si>
  <si>
    <t>Mirror's Misfortune</t>
  </si>
  <si>
    <t>With an illusion of yourself, can Step as a free action. The duplicate follows simple orders (such as walk forward), and a creature must use a Seek action against spell DC to see which is the real you. If your duplicate is attacked, it shatters, cursing the attacker with misfortune (will save). Fail - within the next hour, the creature's next attack rolls twice using lower. Crit fail - as fail, but applies to the next 4 attacks.</t>
  </si>
  <si>
    <t>Modify Memory</t>
  </si>
  <si>
    <t>You can erase, enhance, alter, or add a false memory to the target. Crit Success - unaffected, knows you cast this spell. Success - unaffected, doesnt know spell. Failure - You alter memories 6 seconds at a time, and can sustain the spell for upto 5 minutes to alter 5 continuous minutes worth of memories; if the target moves out of range you can not alter more memories.</t>
  </si>
  <si>
    <t>You can erase, enhance, alter, or add a false memory to the target, or all the memories of a willing creature specified in less then 50 words. Crit Success - unaffected, knows you cast this spell. Success - unaffected, doesnt know spell. Failure - You alter memories 6 seconds at a time, and can sustain the spell for upto 5 minutes to alter 5 continuous minutes worth of memories; if the target moves out of range you can not alter more memories.</t>
  </si>
  <si>
    <t>Morass of Ages</t>
  </si>
  <si>
    <t>Slowing time for creatures in the area, and each time you sustain the spell you can increase the emanation by 5ft to a max of 60ft. A creature that reenters the area uses its previous save. Success - area is difficult terrain. Fail - difficult terrain, creatures are slowed when if they start their turn in the area. Crit Fail - as failure, plus the creature becomes restrained; can escape against spell DC.</t>
  </si>
  <si>
    <t>Movanic Glimmer</t>
  </si>
  <si>
    <t>Partially awakening an animal, it gains a +2 status bonus to perception checks and Will saves, and any Nature checks to command the animal gain a +1. If the animal is a minion it can take 1 action each turn even if its master doesnt command it.</t>
  </si>
  <si>
    <t>Partially awakening 5 animals, it gains a +2 status bonus to perception checks and Will saves, and any Nature checks to command the animal gain a +1. If the animal is a minion it can take 1 action each turn even if its master doesnt command it.</t>
  </si>
  <si>
    <t>#183</t>
  </si>
  <si>
    <t>Murderous Vine</t>
  </si>
  <si>
    <t>You summon a slithering, thorny vine to attack a creature against their Fortitude DC. On a success, the target is grabbed, takes 3d6 bludgeoning, and 2d8 piercing damage. At the end of the target's turn it takes 2d6 bludgeoning. Escape DC is equal to spell DC. A creature can attack the vine, AC equal to spell DC, 20hp.</t>
  </si>
  <si>
    <t>You summon a slithering, thorny vine to attack a creature against their Fortitude DC. On a success, the target is grabbed, takes 4d6 bludgeoning, and 3d8 piercing damage. At the end of the target's turn it takes 3d6 bludgeoning. Escape DC is equal to spell DC. A creature can attack the vine, AC equal to spell DC, 20hp.</t>
  </si>
  <si>
    <t>You summon a slithering, thorny vine to attack a creature against their Fortitude DC. On a success, the target is grabbed, takes 5d6 bludgeoning, and 4d8 piercing damage. At the end of the target's turn it takes 4d6 bludgeoning. Escape DC is equal to spell DC. A creature can attack the vine, AC equal to spell DC, 20hp.</t>
  </si>
  <si>
    <t>You summon a slithering, thorny vine to attack a creature against their Fortitude DC. On a success, the target is grabbed, takes 6d6 bludgeoning, and 5d8 piercing damage. At the end of the target's turn it takes 5d6 bludgeoning. Escape DC is equal to spell DC. A creature can attack the vine, AC equal to spell DC, 20hp.</t>
  </si>
  <si>
    <t>Necrotic Radiation</t>
  </si>
  <si>
    <t>1 object or area</t>
  </si>
  <si>
    <t>A touch that fills the target with necrotic radiation, dealing 2d6 negative damage. Objects harm their holder at the end of their turn; if you target an area any creature ending its turn in the 10ft square area take damage. You can try to target a held object (Will save): Success - spell lasts 1 minute; Fail - duration 10 minutes; Crit Fail - full duration.</t>
  </si>
  <si>
    <t>A touch that fills the target with necrotic radiation, dealing 3d6 negative damage. Objects harm their holder at the end of their turn; if you target an area any creature ending its turn in the 10ft square area take damage. You can try to target a held object (Will save): Success - spell lasts 1 minute; Fail - duration 10 minutes; Crit Fail - full duration.</t>
  </si>
  <si>
    <t>A touch that fills the target with necrotic radiation, dealing 4d6 negative damage. Objects harm their holder at the end of their turn; if you target an area any creature ending its turn in the 10ft square area take damage. You can try to target a held object (Will save): Success - spell lasts 1 minute; Fail - duration 10 minutes; Crit Fail - full duration.</t>
  </si>
  <si>
    <t>A touch that fills the target with necrotic radiation, dealing 5d6 negative damage. Objects harm their holder at the end of their turn; if you target an area any creature ending its turn in the 10ft square area take damage. You can try to target a held object (Will save): Success - spell lasts 1 minute; Fail - duration 10 minutes; Crit Fail - full duration.</t>
  </si>
  <si>
    <t>#154</t>
  </si>
  <si>
    <t>Nightmare</t>
  </si>
  <si>
    <t xml:space="preserve">You send nightmares to a target you know the name of. If you have never met them, they have a +4 circumstance bonus to their save. The next time the target falls asleep, it makes a save. Crit Success - unaffected, immune for 1 week; Success - Unplesent dreams; Fail - nightmares, awakens fatiqued; Crit fail -awakens fatiqued, and drained 2 until no longer fatiqued. </t>
  </si>
  <si>
    <t>Ocular Overload</t>
  </si>
  <si>
    <t>You gain a reaction to overload the sense with color of a creature that would attack you within 60ft. Once the reaction is used the spell ends. Attacking creature makes a Fort save; Success - Dazzled until end of turn; Fail - Blinded until end of turn; Crit Fail - Blinded until end of turn, and dazzled for 1 min.</t>
  </si>
  <si>
    <t>Outcast's Curse</t>
  </si>
  <si>
    <t>You afflict the target with an abrasive curse. Success - Misfortune for 10 min, target must roll twice and use the lower result for all Deception, Diplomancy, Intimidation, or Performance checks, and all creatures they meet have initial attitude one step worse (unfriendly instead of indifferent); Failure - As success, but the effect is permanent. Crit Fail - as failure, but inital attitude is two steps worse.</t>
  </si>
  <si>
    <t>Painful Vibrations</t>
  </si>
  <si>
    <t>With sound waves you violently vibrate the target's organs and bones, dealing 8d6 sonic damage. Success - half damage; Failure - full damage, sickened 1, deafened 1 for 1 round; Crit fail - double damage, sickened 2, deafened for 1 min.</t>
  </si>
  <si>
    <t>With sound waves you violently vibrate the target's organs and bones, dealing 10d6 sonic damage. Success - half damage; Failure - full damage, sickened 1, deafened 1 for 1 round; Crit fail - double damage, sickened 2, deafened for 1 min.</t>
  </si>
  <si>
    <t>With sound waves you violently vibrate the target's organs and bones, dealing 12d6 sonic damage. Success - half damage; Failure - full damage, sickened 1, deafened 1 for 1 round; Crit fail - double damage, sickened 2, deafened for 1 min.</t>
  </si>
  <si>
    <t>With sound waves you violently vibrate the target's organs and bones, dealing 14d6 sonic damage. Success - half damage; Failure - full damage, sickened 1, deafened 1 for 1 round; Crit fail - double damage, sickened 2, deafened for 1 min.</t>
  </si>
  <si>
    <t>With sound waves you violently vibrate the target's organs and bones, dealing 18d6 sonic damage. Success - half damage; Failure - full damage, sickened 1, deafened 1 for 1 round; Crit fail - double damage, sickened 2, deafened for 1 min.</t>
  </si>
  <si>
    <t>With sound waves you violently vibrate the target's organs and bones, dealing 20d6 sonic damage. Success - half damage; Failure - full damage, sickened 1, deafened 1 for 1 round; Crit fail - double damage, sickened 2, deafened for 1 min.</t>
  </si>
  <si>
    <t>Pernicious Poltergeist</t>
  </si>
  <si>
    <t>With an echo of an invisible and powerful poltergeist, you can command it to do any of the following (changing when Sustain): Deathly Assult - Basic Fortitude, 4d10 negative damage to one creature in area; Frighten - Will save for all creatures in the area, frightened 2 on failure; Telekinetic Storm - Basic Reflex, 4d8 force damage to all creatures in the area.</t>
  </si>
  <si>
    <t>With an echo of an invisible and powerful poltergeist, you can command it to do any of the following (changing when Sustain): Deathly Assult - Basic Fortitude, 5d10 negative damage to one creature in area; Frighten - Will save for all creatures in the area, frightened 2 on failure; Telekinetic Storm - Basic Reflex, 5d8 force damage to all creatures in the area.</t>
  </si>
  <si>
    <t>With an echo of an invisible and powerful poltergeist, you can command it to do any of the following (changing when Sustain): Deathly Assult - Basic Fortitude, 6d10 negative damage to one creature in area; Frighten - Will save for all creatures in the area, frightened 2 on failure; Telekinetic Storm - Basic Reflex, 6d8 force damage to all creatures in the area.</t>
  </si>
  <si>
    <t>With an echo of an invisible and powerful poltergeist, you can command it to do any of the following (changing when Sustain): Deathly Assult - Basic Fortitude, 7d10 negative damage to one creature in area; Frighten - Will save for all creatures in the area, frightened 2 on failure; Telekinetic Storm - Basic Reflex, 7d8 force damage to all creatures in the area.</t>
  </si>
  <si>
    <t>Petal Storm</t>
  </si>
  <si>
    <t>Swirling razor-sharp petals deal 2d10 slashing damage to all creatures that start their turn in the area or move into it. A creature can only take damage once per round.</t>
  </si>
  <si>
    <t>Swirling razor-sharp petals deal 3d10 slashing damage to all creatures that start their turn in the area or move into it. A creature can only take damage once per round.</t>
  </si>
  <si>
    <t>Swirling razor-sharp petals deal 4d10 slashing damage to all creatures that start their turn in the area or move into it. A creature can only take damage once per round.</t>
  </si>
  <si>
    <t>Swirling razor-sharp petals deal 5d10 slashing damage to all creatures that start their turn in the area or move into it. A creature can only take damage once per round.</t>
  </si>
  <si>
    <t>Phantasmal Killer</t>
  </si>
  <si>
    <t>With an illusion of fear itself that only the target can see, the target makes a save; Success - 4d6 mental damage and frightened 1; Failure - 8d6 mental damage, frightened 2; Crit Fail - Fortitude save dying outright on a failure, on success taking 12d6 mental damage, frightened 4, and fleeing until end of its next turn.</t>
  </si>
  <si>
    <t>With an illusion of fear itself that only the target can see, the target makes a save; Success - 4d6 mental damage and frightened 1; Failure - 10d6 mental damage, frightened 2; Crit Fail - Fortitude save dying outright on a failure, on success taking 15d6 mental damage, frightened 4, and fleeing until end of its next turn.</t>
  </si>
  <si>
    <t>With an illusion of fear itself that only the target can see, the target makes a save; Success - 4d6 mental damage and frightened 1; Failure - 12d6 mental damage, frightened 2; Crit Fail - Fortitude save dying outright on a failure, on success taking 18d6 mental damage, frightened 4, and fleeing until end of its next turn.</t>
  </si>
  <si>
    <t>With an illusion of fear itself that only the target can see, the target makes a save; Success - 4d6 mental damage and frightened 1; Failure - 14d6 mental damage, frightened 2; Crit Fail - Fortitude save dying outright on a failure, on success taking 21d6 mental damage, frightened 4, and fleeing until end of its next turn.</t>
  </si>
  <si>
    <t>With an illusion of fear itself that only the target can see, the target makes a save; Success - 4d6 mental damage and frightened 1; Failure - 16d6 mental damage, frightened 2; Crit Fail - Fortitude save dying outright on a failure, on success taking 24d6 mental damage, frightened 4, and fleeing until end of its next turn.</t>
  </si>
  <si>
    <t>With an illusion of fear itself that only the target can see, the target makes a save; Success - 4d6 mental damage and frightened 1; Failure - 18d6 mental damage, frightened 2; Crit Fail - Fortitude save dying outright on a failure, on success taking 27d6 mental damage, frightened 4, and fleeing until end of its next turn.</t>
  </si>
  <si>
    <t>With an illusion of fear itself that only the target can see, the target makes a save; Success - 4d6 mental damage and frightened 1; Failure - 20d6 mental damage, frightened 2; Crit Fail - Fortitude save dying outright on a failure, on success taking 30d6 mental damage, frightened 4, and fleeing until end of its next turn.</t>
  </si>
  <si>
    <t>Private Sanctum</t>
  </si>
  <si>
    <t>100ft burst</t>
  </si>
  <si>
    <t>From the outside the area is a bank of impenetrable black fog. No sensory stimuli (sound, smell, light) pass from inside to outside the area. Scrying spells cant percieve inside the fog, and mind reading effects dont work in the area.</t>
  </si>
  <si>
    <t>Procyal Philosophy</t>
  </si>
  <si>
    <t>A racoon (procyal) appears to give aid. It floats next to the target and doesnt occupy space, but can Aid the target as if it had its own reaction (using your spell DC -10 for rolls). Free action to direct the raccoon to aid someone else, regaining its Aid reaction on your turns.</t>
  </si>
  <si>
    <t>Radiant Beam</t>
  </si>
  <si>
    <t>You fire a beam of blinding light, dealing 5d10 good damage. The spell attempts to counteract magical darkness it encounters. Failure - in addition to full damage, the target is dazzled for 1 round; Crit fail - in addition to double damage, target is dazzled for 4 rounds.</t>
  </si>
  <si>
    <t>You fire a beam of blinding light, dealing 6d10 good damage. The spell attempts to counteract magical darkness it encounters. Failure - in addition to full damage, the target is dazzled for 1 round; Crit fail - in addition to double damage, target is dazzled for 4 rounds.</t>
  </si>
  <si>
    <t>You fire a beam of blinding light, dealing 7d10 good damage. The spell attempts to counteract magical darkness it encounters. Failure - in addition to full damage, the target is dazzled for 1 round; Crit fail - in addition to double damage, target is dazzled for 4 rounds.</t>
  </si>
  <si>
    <t>You fire a beam of blinding light, dealing 8d10 good damage. The spell attempts to counteract magical darkness it encounters. Failure - in addition to full damage, the target is dazzled for 1 round; Crit fail - in addition to double damage, target is dazzled for 4 rounds.</t>
  </si>
  <si>
    <t>You fire a beam of blinding light, dealing 9d10 good damage. The spell attempts to counteract magical darkness it encounters. Failure - in addition to full damage, the target is dazzled for 1 round; Crit fail - in addition to double damage, target is dazzled for 4 rounds.</t>
  </si>
  <si>
    <t>You fire a beam of blinding light, dealing 10d10 good damage. The spell attempts to counteract magical darkness it encounters. Failure - in addition to full damage, the target is dazzled for 1 round; Crit fail - in addition to double damage, target is dazzled for 4 rounds.</t>
  </si>
  <si>
    <t>You fire a beam of blinding light, dealing 11d10 good damage. The spell attempts to counteract magical darkness it encounters. Failure - in addition to full damage, the target is dazzled for 1 round; Crit fail - in addition to double damage, target is dazzled for 4 rounds.</t>
  </si>
  <si>
    <t>Radiant Heart of Devotion</t>
  </si>
  <si>
    <t>20ft emanation</t>
  </si>
  <si>
    <t>With a prayer your heart glows with bright light, filling the area. Creatures in the area are effected based on their alignment while in the area: Good - +1 status bonus to attacks and strikes deal an extra 1d6 good damage; Neutral - Save or dazzled for 1 round when starting turn in area; Evil - Save or blinded for 1 round when starting turn in area.</t>
  </si>
  <si>
    <t>With a prayer your heart glows with bright light, filling the area. Creatures in the area are effected based on their alignment while in the area: Good - +1 status bonus to attacks and strikes deal an extra 2d6 good damage; Neutral - Save or dazzled for 1 round when starting turn in area; Evil - Save or blinded for 1 round when starting turn in area.</t>
  </si>
  <si>
    <t>With a prayer your heart glows with bright light, filling the area. Creatures in the area are effected based on their alignment while in the area: Good - +1 status bonus to attacks and strikes deal an extra 3d6 good damage; Neutral - Save or dazzled for 1 round when starting turn in area; Evil - Save or blinded for 1 round when starting turn in area.</t>
  </si>
  <si>
    <t>With a prayer your heart glows with bright light, filling the area. Creatures in the area are effected based on their alignment while in the area: Good - +1 status bonus to attacks and strikes deal an extra 4d6 good damage; Neutral - Save or dazzled for 1 round when starting turn in area; Evil - Save or blinded for 1 round when starting turn in area.</t>
  </si>
  <si>
    <t>Ravenous Portal</t>
  </si>
  <si>
    <t>1 door</t>
  </si>
  <si>
    <t>You ward a door, so if a creature tries to open, unlock, or destroy the door it becomes a mimic and attacks for 1 minute. Select 10 creatures that do not trigger mimic door. While the door is a mimic it can not be passed through by any means, and can not be moved unless the effect moves the entire door and frame. If the mimic dies the spell ends.</t>
  </si>
  <si>
    <t>Read Omens</t>
  </si>
  <si>
    <t>You peek into the future. Choose a particular goal or activity you plan to engage in within 1 week, or an event you expect might happen within 1 week. You learn a cryptic clue or piece of advice that could help with the chosen event, often in the form of a rhyme or omen.</t>
  </si>
  <si>
    <t>Rebounding Barrier</t>
  </si>
  <si>
    <t>You raise a reflective barrier when hit by a physical strike, gaining resistance 10 to one of the damage types the attack deals. The attacker takes 5 damage of the same type.</t>
  </si>
  <si>
    <t>You raise a reflective barrier when hit by a physical strike, gaining resistance 12 to one of the damage types the attack deals. The attacker takes 6 damage of the same type.</t>
  </si>
  <si>
    <t>You raise a reflective barrier when hit by a physical strike, gaining resistance 14 to one of the damage types the attack deals. The attacker takes 7 damage of the same type.</t>
  </si>
  <si>
    <t>You raise a reflective barrier when hit by a physical strike, gaining resistance 16 to one of the damage types the attack deals. The attacker takes 8 damage of the same type.</t>
  </si>
  <si>
    <t>You raise a reflective barrier when hit by a physical strike, gaining resistance 18 to one of the damage types the attack deals. The attacker takes 9 damage of the same type.</t>
  </si>
  <si>
    <t>You raise a reflective barrier when hit by a physical strike, gaining resistance 20 to one of the damage types the attack deals. The attacker takes 10 damage of the same type.</t>
  </si>
  <si>
    <t>You raise a reflective barrier when hit by a physical strike, gaining resistance 22 to one of the damage types the attack deals. The attacker takes 11 damage of the same type.</t>
  </si>
  <si>
    <t>Reflective Scales</t>
  </si>
  <si>
    <t>You grow a set a scales that store energy, gaining resistance 5 to one of the following: acid, cold, fire, electricity, or poison. Keep track of the damage resisted this way, as using a 2 actions you can cause the damage to explode out in a 20ft burst dealing 1d6 of the chosen damage type for every 10 damage resisted, upto a maximum of 10d6.</t>
  </si>
  <si>
    <t>You grow a set a scales that store energy, gaining resistance 10 to one of the following: acid, cold, fire, electricity, or poison. Keep track of the damage resisted this way, as using a 2 actions you can cause the damage to explode out in a 20ft burst dealing 1d6 of the chosen damage type for every 10 damage resisted, upto a maximum of 15d6.</t>
  </si>
  <si>
    <t>You grow a set a scales that store energy, gaining resistance 15 to one of the following: acid, cold, fire, electricity, or poison. Keep track of the damage resisted this way, as using a 2 actions you can cause the damage to explode out in a 20ft burst dealing 1d6 of the chosen damage type for every 10 damage resisted, upto a maximum of 20d6.</t>
  </si>
  <si>
    <t>You grow a set a scales that store energy, gaining resistance 20 to one of the following: acid, cold, fire, electricity, or poison. Keep track of the damage resisted this way, as using a 2 actions you can cause the damage to explode out in a 20ft burst dealing 1d6 of the chosen damage type for every 10 damage resisted, upto a maximum of 25d6.</t>
  </si>
  <si>
    <t>Remove Curse</t>
  </si>
  <si>
    <t>Your touch grants a reprieve to a cursed creature. You attempt to counteract one curse afflicting the target. If the curse comes from a cursed item or other external source, a success indicates that the target creature can rid itself of the cursed item, but it doesn't remove the curse from the item.</t>
  </si>
  <si>
    <t>Replicate</t>
  </si>
  <si>
    <t>So long as the target is willing or unconcious, and upto lv 8 you make a illusory duplicate to serve as your minion. The minion is limited to moving, interacting, and speaking short sentences. It can not cast spells, attack, or use complex skills. Command when sustaining as long as you are within 1 mile. Action to use its senses. The double has 1/4th original's hp, but all the same statistics.</t>
  </si>
  <si>
    <t>So long as the target is willing or unconcious, and upto lv 10 you make a illusory duplicate to serve as your minion. The minion is limited to moving, interacting, and speaking short sentences. It can not cast spells, attack, or use complex skills. Command when sustaining as long as you are within 1 mile. Action to use its senses. The double has 1/4th original's hp, but all the same statistics.</t>
  </si>
  <si>
    <t>So long as the target is willing or unconcious, and upto lv 12 you make a illusory duplicate to serve as your minion. The minion is limited to moving, interacting, and speaking short sentences. It can not cast spells, attack, or use complex skills. Command when sustaining as long as you are within 1 mile. Action to use its senses. The double has 1/4th original's hp, but all the same statistics.</t>
  </si>
  <si>
    <t>So long as the target is willing or unconcious, and upto lv 14 you make a illusory duplicate to serve as your minion. The minion is limited to moving, interacting, and speaking short sentences. It can not cast spells, attack, or use complex skills. Command when sustaining as long as you are within 1 mile. Action to use its senses. The double has 1/4th original's hp, but all the same statistics.</t>
  </si>
  <si>
    <t>So long as the target is willing or unconcious, and upto lv 16 you make a illusory duplicate to serve as your minion. The minion is limited to moving, interacting, and speaking short sentences. It can not cast spells, attack, or use complex skills. Command when sustaining as long as you are within 1 mile. Action to use its senses. The double has 1/4th original's hp, but all the same statistics.</t>
  </si>
  <si>
    <t>So long as the target is willing or unconcious, and upto lv 18 you make a illusory duplicate to serve as your minion. The minion is limited to moving, interacting, and speaking short sentences. It can not cast spells, attack, or use complex skills. Command when sustaining as long as you are within 1 mile. Action to use its senses. The double has 1/4th original's hp, but all the same statistics.</t>
  </si>
  <si>
    <t>So long as the target is willing or unconcious, and upto lv 20 you make a illusory duplicate to serve as your minion. The minion is limited to moving, interacting, and speaking short sentences. It can not cast spells, attack, or use complex skills. Command when sustaining as long as you are within 1 mile. Action to use its senses. The double has 1/4th original's hp, but all the same statistics.</t>
  </si>
  <si>
    <t>Resilient Sphere</t>
  </si>
  <si>
    <t>You create an immobile sphere of force to protect or trap a target upto size Large. The sphere has AC 5, Hardness 10, 40hp, and immunity to critical hits and precision damage. Disintegrate destroys the sphere instantly. Unwilling creatures get a save: Crit Success - sphere collapses instatly; Success - sphere as 10hp; Failure - spell functions as normal.</t>
  </si>
  <si>
    <t>Rope Trick</t>
  </si>
  <si>
    <t>upto 30ft of rope</t>
  </si>
  <si>
    <t>The rope rises straight up, creating an extradimensional space you can access by climbing the rope. The space can hold 8 medium creatures. The rope can not be hidden, but if the rope is removed the space disappears 1d4 rounds later. To remove the rope it takes pulling with 16,000 pounds of force, crit succeding an athletics check against Spell DC, destroying the rope, or over filling the space.</t>
  </si>
  <si>
    <t>Rusting Grasp</t>
  </si>
  <si>
    <t>1 metal target</t>
  </si>
  <si>
    <t>Magical rust targets any nonmagical mostly metal object (1 bulk), creature, or hazard, ignoring hardness. Sky metals (ie adamantine) are immune. Assisting in removing rust lowers flat check DC to 10. If the target is a creature or hazard: 8d6 damage (basic foritude), 2d6 persistant on failed, might trigger hazard. Item: 2d6 damage (basic reflex if held), 1d6 persistant on failed.</t>
  </si>
  <si>
    <t>Magical rust targets any nonmagical mostly metal object (2 bulk), creature, or hazard, ignoring hardness. Sky metals (ie adamantine) are immune. Assisting in removing rust lowers flat check DC to 10. If the target is a creature or hazard: 10d6 damage (basic foritude), 2d6 persistant on failed, might trigger hazard. Item: 2d6 damage (basic reflex if held), 1d6 persistant on failed.</t>
  </si>
  <si>
    <t>Magical rust targets any nonmagical mostly metal object (3 bulk), creature, or hazard, ignoring hardness. Sky metals (ie adamantine) are immune. Assisting in removing rust lowers flat check DC to 10. If the target is a creature or hazard: 12d6 damage (basic foritude), 2d6 persistant on failed, might trigger hazard. Item: 2d6 damage (basic reflex if held), 1d6 persistant on failed.</t>
  </si>
  <si>
    <t>Magical rust targets any nonmagical mostly metal object (4 bulk), creature, or hazard, ignoring hardness. Sky metals (ie adamantine) are immune. Assisting in removing rust lowers flat check DC to 10. If the target is a creature or hazard: 14d6 damage (basic foritude), 2d6 persistant on failed, might trigger hazard. Item: 2d6 damage (basic reflex if held), 1d6 persistant on failed.</t>
  </si>
  <si>
    <t>Magical rust targets any nonmagical mostly metal object (5 bulk), creature, or hazard, ignoring hardness. Sky metals (ie adamantine) are immune. Assisting in removing rust lowers flat check DC to 10. If the target is a creature or hazard: 16d6 damage (basic foritude), 2d6 persistant on failed, might trigger hazard. Item: 2d6 damage (basic reflex if held), 1d6 persistant on failed.</t>
  </si>
  <si>
    <t>Magical rust targets any nonmagical mostly metal object (6 bulk), creature, or hazard, ignoring hardness. Sky metals (ie adamantine) are immune. Assisting in removing rust lowers flat check DC to 10. If the target is a creature or hazard: 18d6 damage (basic foritude), 2d6 persistant on failed, might trigger hazard. Item: 2d6 damage (basic reflex if held), 1d6 persistant on failed.</t>
  </si>
  <si>
    <t>Magical rust targets any nonmagical mostly metal object (7 bulk), creature, or hazard, ignoring hardness. Sky metals (ie adamantine) are immune. Assisting in removing rust lowers flat check DC to 10. If the target is a creature or hazard: 20d6 damage (basic foritude), 2d6 persistant on failed, might trigger hazard. Item: 2d6 damage (basic reflex if held), 1d6 persistant on failed.</t>
  </si>
  <si>
    <t>Sage's Curse</t>
  </si>
  <si>
    <t>A curse that fills the target's mind with second guessing even simple facts. Success - 10 min, the target must roll twice and take the worse result when attempting Arcana, Lore, Occultism, or Society checks. If the target succeeds at recall knowledge, it gains one true and one false knowledge; Fail - as success, but perminent; Crit Fail - as failure, and all checks to Recall Knowledge are one degree worse.</t>
  </si>
  <si>
    <t>Sanguine Mist</t>
  </si>
  <si>
    <t>A cloud of bloody fog drains vitality to bolster your own. Living creatures in the area when you cast this spell besides you take 6d6 negative damage (save). Each time you sustain the spell all creatures in the area take 2d6 negative damage (save), and you gain temp hp equal to half the damage delt to a single creature; temp hp lasts 1 minute. The blood fog conceals creatures inside of it.</t>
  </si>
  <si>
    <t>A cloud of bloody fog drains vitality to bolster your own. Living creatures in the area when you cast this spell besides you take 8d6 negative damage (save). Each time you sustain the spell all creatures in the area take 3d6 negative damage (save), and you gain temp hp equal to half the damage delt to a single creature; temp hp lasts 1 minute. The blood fog conceals creatures inside of it.</t>
  </si>
  <si>
    <t>A cloud of bloody fog drains vitality to bolster your own. Living creatures in the area when you cast this spell besides you take 10d6 negative damage (save). Each time you sustain the spell all creatures in the area take 4d6 negative damage (save), and you gain temp hp equal to half the damage delt to a single creature; temp hp lasts 1 minute. The blood fog conceals creatures inside of it.</t>
  </si>
  <si>
    <t>A cloud of bloody fog drains vitality to bolster your own. Living creatures in the area when you cast this spell besides you take 12d6 negative damage (save). Each time you sustain the spell all creatures in the area take 5d6 negative damage (save), and you gain temp hp equal to half the damage delt to a single creature; temp hp lasts 1 minute. The blood fog conceals creatures inside of it.</t>
  </si>
  <si>
    <t>A cloud of bloody fog drains vitality to bolster your own. Living creatures in the area when you cast this spell besides you take 14d6 negative damage (save). Each time you sustain the spell all creatures in the area take 6d6 negative damage (save), and you gain temp hp equal to half the damage delt to a single creature; temp hp lasts 1 minute. The blood fog conceals creatures inside of it.</t>
  </si>
  <si>
    <t>A cloud of bloody fog drains vitality to bolster your own. Living creatures in the area when you cast this spell besides you take 16d6 negative damage (save). Each time you sustain the spell all creatures in the area take 7d6 negative damage (save), and you gain temp hp equal to half the damage delt to a single creature; temp hp lasts 1 minute. The blood fog conceals creatures inside of it.</t>
  </si>
  <si>
    <t>A cloud of bloody fog drains vitality to bolster your own. Living creatures in the area when you cast this spell besides you take 18d6 negative damage (save). Each time you sustain the spell all creatures in the area take 8d6 negative damage (save), and you gain temp hp equal to half the damage delt to a single creature; temp hp lasts 1 minute. The blood fog conceals creatures inside of it.</t>
  </si>
  <si>
    <t>Seal Fate</t>
  </si>
  <si>
    <t>You predict how the target will die, choosing one damage from the following: acid, bludgeoning, cold, electricity, fire, negative, piercing, slashing, or sonic. Success - weakness 2 to chosen damage until end of your next turn. Failure - as success, duration 1 min, if the creature is reduced to 0hp from chosen damage type and is lv 7 or less dies instantly. Crit fail - as failure, unlimited duration.</t>
  </si>
  <si>
    <t>You predict how the target will die, choosing one damage from the following: acid, bludgeoning, cold, electricity, fire, negative, piercing, slashing, or sonic. Success - weakness 3 to chosen damage until end of your next turn. Failure - as success, duration 1 min, if the creature is reduced to 0hp from chosen damage type and is lv 11 or less dies instantly. Crit fail - as failure, unlimited duration.</t>
  </si>
  <si>
    <t>You predict how the target will die, choosing one damage from the following: acid, bludgeoning, cold, electricity, fire, negative, piercing, slashing, or sonic. Success - weakness 4 to chosen damage until end of your next turn. Failure - as success, duration 1 min, if the creature is reduced to 0hp from chosen damage type and is lv 15 or less dies instantly. Crit fail - as failure, unlimited duration.</t>
  </si>
  <si>
    <t>You predict how the target will die, choosing one damage from the following: acid, bludgeoning, cold, electricity, fire, negative, piercing, slashing, or sonic. Success - weakness 5 to chosen damage until end of your next turn. Failure - as success, duration 1 min, if the creature is reduced to 0hp from chosen damage type and is lv 19 or less dies instantly. Crit fail - as failure, unlimited duration.</t>
  </si>
  <si>
    <t>Shape Stone</t>
  </si>
  <si>
    <t>10ft cube of stone</t>
  </si>
  <si>
    <t>Crudely shape stone of your choice, unable to make intriciate parts, fine details, or moving pieces. Any creature atop the stone must make a Reflex save acrobatics check: Success - unaffected; Failure - falls prone on the stone; Crit fail - falls off the stone (if possible), landing prone.</t>
  </si>
  <si>
    <t>Soft Landing</t>
  </si>
  <si>
    <t>60ft radious cylinder</t>
  </si>
  <si>
    <t>A magical field that prevents fall damage by giving all creatures and objects a safe place to land, reguardless of the height. As you generally fall 1,500ft a round, this spell can be cast to ensure safe landing so long as you can see the ground.</t>
  </si>
  <si>
    <t>Solid Fog</t>
  </si>
  <si>
    <t xml:space="preserve">You conjure a bank of fog so thick it impedes movement as well as sight. All creature's in the mist are concealed, and all creatures outside the mist are concealed to creatures inside the mist. The area's fog is also difficult terrain. </t>
  </si>
  <si>
    <t>Soothing Spring</t>
  </si>
  <si>
    <t>You create a 20ftx20ft wide hot spring that can fit 16 medium sized creatures. All creatures that spend an hour soaking regain 10d8 HP and lose the Fatiqued condition (though it does not remove the source of fatigued, such as lack of sleep). The pool is a structure.</t>
  </si>
  <si>
    <t>You create a 20ftx20ft wide hot spring that can fit 16 medium sized creatures. All creatures that spend an hour soaking regain 12d8 HP and lose the Fatiqued condition (though it does not remove the source of fatigued, such as lack of sleep). The pool is a structure.</t>
  </si>
  <si>
    <t>You create a 20ftx20ft wide hot spring that can fit 16 medium sized creatures. All creatures that spend an hour soaking regain 14d8 HP and lose the Fatiqued condition (though it does not remove the source of fatigued, such as lack of sleep). The pool is a structure.</t>
  </si>
  <si>
    <t>You create a 20ftx20ft wide hot spring that can fit 16 medium sized creatures. All creatures that spend an hour soaking regain 16d8 HP and lose the Fatiqued condition (though it does not remove the source of fatigued, such as lack of sleep). The pool is a structure.</t>
  </si>
  <si>
    <t>You create a 20ftx20ft wide hot spring that can fit 16 medium sized creatures. All creatures that spend an hour soaking regain 18d8 HP and lose the Fatiqued condition (though it does not remove the source of fatigued, such as lack of sleep). The pool is a structure.</t>
  </si>
  <si>
    <t>You create a 20ftx20ft wide hot spring that can fit 16 medium sized creatures. All creatures that spend an hour soaking regain 20d8 HP and lose the Fatiqued condition (though it does not remove the source of fatigued, such as lack of sleep). The pool is a structure.</t>
  </si>
  <si>
    <t>You create a 20ftx20ft wide hot spring that can fit 16 medium sized creatures. All creatures that spend an hour soaking regain 22d8 HP and lose the Fatiqued condition (though it does not remove the source of fatigued, such as lack of sleep). The pool is a structure.</t>
  </si>
  <si>
    <t>Speak with Plants</t>
  </si>
  <si>
    <t>You can ask questions of and recieve answers from plants, though the spell doesnt make them any more friendly or intelligent than normal. Most plants have a distinct view of the world, so dont know whats beyond their immeadate surroundings and tend not to recognize creatures. Cunning plant monsters are likely to be evasive.</t>
  </si>
  <si>
    <t>Spell Immunity</t>
  </si>
  <si>
    <t>You ward a creature against the effects of a single spell, attempting to counteract that spell whenever the target is effected by the choosen spell. If the choosen spell is an AoE or effects multiple targets it only negates the effects for the target of this spell.</t>
  </si>
  <si>
    <t>Spike Stones</t>
  </si>
  <si>
    <t>Long, sharp spikes of solid rock thrust up from the ground in the area. The area becomes difficult terrain and hazardous terrain. A creature that moves on the ground through the area takes 3 piercing damage for every square of that area it moves into.</t>
  </si>
  <si>
    <t>Long, sharp spikes of solid rock thrust up from the ground in the area. The area becomes difficult terrain and hazardous terrain. A creature that moves on the ground through the area takes 4 piercing damage for every square of that area it moves into.</t>
  </si>
  <si>
    <t>Long, sharp spikes of solid rock thrust up from the ground in the area. The area becomes difficult terrain and hazardous terrain. A creature that moves on the ground through the area takes 5 piercing damage for every square of that area it moves into.</t>
  </si>
  <si>
    <t>Long, sharp spikes of solid rock thrust up from the ground in the area. The area becomes difficult terrain and hazardous terrain. A creature that moves on the ground through the area takes 6 piercing damage for every square of that area it moves into.</t>
  </si>
  <si>
    <t>Long, sharp spikes of solid rock thrust up from the ground in the area. The area becomes difficult terrain and hazardous terrain. A creature that moves on the ground through the area takes 7 piercing damage for every square of that area it moves into.</t>
  </si>
  <si>
    <t>Long, sharp spikes of solid rock thrust up from the ground in the area. The area becomes difficult terrain and hazardous terrain. A creature that moves on the ground through the area takes 8 piercing damage for every square of that area it moves into.</t>
  </si>
  <si>
    <t>Long, sharp spikes of solid rock thrust up from the ground in the area. The area becomes difficult terrain and hazardous terrain. A creature that moves on the ground through the area takes 9 piercing damage for every square of that area it moves into.</t>
  </si>
  <si>
    <t>Spiritual Anamnesis</t>
  </si>
  <si>
    <t>Memories of a past life overwhelm the target's mind. If a creature that has lived a past life (celestials, fiends, undead, extraplanar creatures) this is extra dissorienting, critical success becomes a success, and failure becomes critical failure. Success - slowed 1 for 1 round; Fail - slowed 1 for 1 minute. Crit fail - as failure, also stunned 3.</t>
  </si>
  <si>
    <t>Spiritual Attunement</t>
  </si>
  <si>
    <t>Attuning yourself to an Outer Sphere plane your strikes and spells exploit the weaknesses of the plane's alignment while you gain resistance 5 to its opposite alignments. Example: Heaven is LG, so attacks have the Lawful and Good trait, exploiting weakness for this, and you gain Resistance to the Chaotic and Evil damages.</t>
  </si>
  <si>
    <t>Attuning yourself to an Outer Sphere plane your strikes and spells exploit the weaknesses of the plane's alignment while you gain resistance 10 to its opposite alignments. Example: Heaven is LG, so attacks have the Lawful and Good trait, exploiting weakness for this, and you gain Resistance to the Chaotic and Evil damages.</t>
  </si>
  <si>
    <t>Attuning yourself to an Outer Sphere plane your strikes and spells exploit the weaknesses of the plane's alignment while you gain resistance 15 to its opposite alignments. Example: Heaven is LG, so attacks have the Lawful and Good trait, exploiting weakness for this, and you gain Resistance to the Chaotic and Evil damages.</t>
  </si>
  <si>
    <t>Attuning yourself to an Outer Sphere plane your strikes and spells exploit the weaknesses of the plane's alignment while you gain resistance 20 to its opposite alignments. Example: Heaven is LG, so attacks have the Lawful and Good trait, exploiting weakness for this, and you gain Resistance to the Chaotic and Evil damages.</t>
  </si>
  <si>
    <t>Stoneskin</t>
  </si>
  <si>
    <t>20 min</t>
  </si>
  <si>
    <t>The target's skin hardens like stone. It gains resistance 5 to physical damage, except adamantine. Each time the target is hit by a bludgeoning, piercing, or slashing attack, stoneskin's duration decreases by 1 minute.</t>
  </si>
  <si>
    <t>The target's skin hardens like stone. It gains resistance 10 to physical damage, except adamantine. Each time the target is hit by a bludgeoning, piercing, or slashing attack, stoneskin's duration decreases by 1 minute.</t>
  </si>
  <si>
    <t>The target's skin hardens like stone. It gains resistance 15 to physical damage, except adamantine. Each time the target is hit by a bludgeoning, piercing, or slashing attack, stoneskin's duration decreases by 1 minute.</t>
  </si>
  <si>
    <t>The target's skin hardens like stone. It gains resistance 20 to physical damage, except adamantine. Each time the target is hit by a bludgeoning, piercing, or slashing attack, stoneskin's duration decreases by 1 minute.</t>
  </si>
  <si>
    <t>Suggestion</t>
  </si>
  <si>
    <t>With honeyed words you suggest a course of action that isnt self destructive or obviously against the target's self interests. Crit Success - unaffected, knows you tried to control them; Success - unaffected, doesnt notice the spell; Fail - Immeadately follows suggestion for 1 min or until finite directions are followed; Crit fail - as failure, 1 hour duration.</t>
  </si>
  <si>
    <t>With honeyed words you suggest a course of action to 10 targets that isnt self destructive or obviously against the target's self interests. Crit Success - unaffected, knows you tried to control them; Success - unaffected, doesnt notice the spell; Fail - Immeadately follows suggestion for 1 min or until finite directions are followed; Crit fail - as failure, 1 hour duration.</t>
  </si>
  <si>
    <t>Swarming Wasp Stings</t>
  </si>
  <si>
    <t>A swarm of wasp stingers, dealing 1d6 piercing damage in the area, resulting in a save if they take damage. Success - 2d6 poison damage; Fail - Stage 1; Crit Fail - Stage 2; Wasp Venom (6 rounds) - Stage 1 2d6 poison, clumsy 1 (1 round); Stage 2 - 3d6 poison, clumsy 2 (1 round)</t>
  </si>
  <si>
    <t>Talking Corpse</t>
  </si>
  <si>
    <t>Ask 3 questions without calling back the soul, asking the memories stored in its body (the more damage, the less information it has), after which it becomes immune for a week. Will save to resist using its living statblock; Crit Success - can lie and haunts you for 24 hours (you cant rest); Success - can give false information; Fail - true but brief answers and unhelpful; Crit fail - as failure but less unhelpful, target has -2 to deception.</t>
  </si>
  <si>
    <t>Telepathy</t>
  </si>
  <si>
    <t>You can communicate telepathically with creatures within 30 feet. Once you establish a connection by communicating with a creature, the communication is two-way. You can communicate only with creatures that share a language with you.</t>
  </si>
  <si>
    <t>You can communicate telepathically with creatures within 30 feet. Once you establish a connection by communicating with a creature, the communication is two-way. By sharing mental images you dont need a to share a language.</t>
  </si>
  <si>
    <t>Tortoise and the Hare</t>
  </si>
  <si>
    <t>1 foe and ally</t>
  </si>
  <si>
    <t>Slow and steady doesnt always win, as you siphon some of the foes speed into yourself or an ally. Success - foe is slowed 1 for 1 round; Failure - foe is slowed 1 for 3 rounds, other is quickened for 1 round (step, stride, strike); Crit Fail - foe is slowed 1 for 3 min, other is quickened for 1 min (step, stride, or strike)</t>
  </si>
  <si>
    <t>Umbral Graft</t>
  </si>
  <si>
    <t>You can reflect magic into a shadow twin. Upgrading the Steal action to steal spells effecting a creature, and can use Steal as apart of using the spell. On a crit success you steal a spell upto lv equal to this spell, on a success you steal one below the level of this spell. Counteract if target spell level was higher. After stealing the spell you can spend an action to transfer it to a willing creature, giving it the remaining duration on the spell.</t>
  </si>
  <si>
    <t>Vampiric Maiden</t>
  </si>
  <si>
    <t>A ghostly iron maiden snaps around the target, draining life and dealing 4d4 piercing and 4d4 negative damage. You gain temp HP equal to the negative damage the target takes that lasts 1 min. Success - target takes half damage; Fail - full damage, immobilized by iron maiden for 1 round or uses 1 action to free itself; Crit fail - double damage, immobilized for 1 round or escapes against spell DC</t>
  </si>
  <si>
    <t>A ghostly iron maiden snaps around the target, draining life and dealing 5d4 piercing and 5d4 negative damage. You gain temp HP equal to the negative damage the target takes that lasts 1 min. Success - target takes half damage; Fail - full damage, immobilized by iron maiden for 1 round or uses 1 action to free itself; Crit fail - double damage, immobilized for 1 round or escapes against spell DC</t>
  </si>
  <si>
    <t>A ghostly iron maiden snaps around the target, draining life and dealing 6d4 piercing and 6d4 negative damage. You gain temp HP equal to the negative damage the target takes that lasts 1 min. Success - target takes half damage; Fail - full damage, immobilized by iron maiden for 1 round or uses 1 action to free itself; Crit fail - double damage, immobilized for 1 round or escapes against spell DC</t>
  </si>
  <si>
    <t>A ghostly iron maiden snaps around the target, draining life and dealing 7d4 piercing and 7d4 negative damage. You gain temp HP equal to the negative damage the target takes that lasts 1 min. Success - target takes half damage; Fail - full damage, immobilized by iron maiden for 1 round or uses 1 action to free itself; Crit fail - double damage, immobilized for 1 round or escapes against spell DC</t>
  </si>
  <si>
    <t>A ghostly iron maiden snaps around the target, draining life and dealing 8d4 piercing and 8d4 negative damage. You gain temp HP equal to the negative damage the target takes that lasts 1 min. Success - target takes half damage; Fail - full damage, immobilized by iron maiden for 1 round or uses 1 action to free itself; Crit fail - double damage, immobilized for 1 round or escapes against spell DC</t>
  </si>
  <si>
    <t>A ghostly iron maiden snaps around the target, draining life and dealing 9d4 piercing and 9d4 negative damage. You gain temp HP equal to the negative damage the target takes that lasts 1 min. Success - target takes half damage; Fail - full damage, immobilized by iron maiden for 1 round or uses 1 action to free itself; Crit fail - double damage, immobilized for 1 round or escapes against spell DC</t>
  </si>
  <si>
    <t>A ghostly iron maiden snaps around the target, draining life and dealing 10d4 piercing and 10d4 negative damage. You gain temp HP equal to the negative damage the target takes that lasts 1 min. Success - target takes half damage; Fail - full damage, immobilized by iron maiden for 1 round or uses 1 action to free itself; Crit fail - double damage, immobilized for 1 round or escapes against spell DC</t>
  </si>
  <si>
    <t>Variable Gravity</t>
  </si>
  <si>
    <t>Altering how gravity affects you with an action and when you cast the spell without changing your outward appearence. Gravity: Normal - no changes; High - encoumbered (clumsy 1, -10ft), +2 against effects to push or knock you prone, half jump height, fall damage is doubled, forced movement is only half (min of -10ft); Low - double jump height, half fall damage.</t>
  </si>
  <si>
    <t>Altering how gravity affects you for an hour with an action and when you cast the spell without changing your outward appearence. Gravity: Normal - no changes; High - encoumbered (clumsy 1, -10ft), +2 against effects to push or knock you prone, half jump height, fall damage is doubled, forced movement is only half (min of -10ft); Low - double jump height, half fall damage.</t>
  </si>
  <si>
    <t>Veil</t>
  </si>
  <si>
    <t>10 creatures</t>
  </si>
  <si>
    <t>All target's are disguised as other creatures of a simular body shape, height, and weight. Each target can be changed individually, and can appear as a different ancestry. While this doesnt change voice, scent, or mannerisms, it does count as a diguise for Impersonation, removing penalties and giving a +4 to deception checks (adding lv if untrained). Can not take the form of someone specific, or general forms.</t>
  </si>
  <si>
    <t>All target's are disguised as other creatures of a simular body shape, height, and weight. Each target can be changed individually, and can appear as a different ancestry. While this doesnt change mannerisms, it does count as a diguise for Impersonation, removing penalties and giving a +4 to deception checks (adding lv if untrained). Can not take the form of someone specific, or general forms.</t>
  </si>
  <si>
    <t>All target's are disguised as other creatures of a simular body shape, height, and weight. Each target can be changed individually, and can appear as a different ancestry. While this doesnt change mannerisms, it does count as a diguise for Impersonation, removing penalties and giving a +4 to deception checks (adding lv if untrained).</t>
  </si>
  <si>
    <t>Vital Beacon</t>
  </si>
  <si>
    <t>Radiating with vitality, once per round you or an ally can lay hands upon you as an interact action to regain 4d10 hp; though the strength of healing decreases with each use, and the second person rolls health using (4)d8s instead. The third uses d6s, and the fourth d4s after which the spell ends.</t>
  </si>
  <si>
    <t>Radiating with vitality, once per round you or an ally can lay hands upon you as an interact action to regain 5d10 hp; though the strength of healing decreases with each use, and the second person rolls health using (5)d8s instead. The third uses d6s, and the fourth d4s after which the spell ends.</t>
  </si>
  <si>
    <t>Radiating with vitality, once per round you or an ally can lay hands upon you as an interact action to regain 6d10 hp; though the strength of healing decreases with each use, and the second person rolls health using (6)d8s instead. The third uses d6s, and the fourth d4s after which the spell ends.</t>
  </si>
  <si>
    <t>Radiating with vitality, once per round you or an ally can lay hands upon you as an interact action to regain 7d10 hp; though the strength of healing decreases with each use, and the second person rolls health using (7)d8s instead. The third uses d6s, and the fourth d4s after which the spell ends.</t>
  </si>
  <si>
    <t>Radiating with vitality, once per round you or an ally can lay hands upon you as an interact action to regain 8d10 hp; though the strength of healing decreases with each use, and the second person rolls health using (8)d8s instead. The third uses d6s, and the fourth d4s after which the spell ends.</t>
  </si>
  <si>
    <t>Radiating with vitality, once per round you or an ally can lay hands upon you as an interact action to regain 9d10 hp; though the strength of healing decreases with each use, and the second person rolls health using (9)d8s instead. The third uses d6s, and the fourth d4s after which the spell ends.</t>
  </si>
  <si>
    <t>Radiating with vitality, once per round you or an ally can lay hands upon you as an interact action to regain 10d10 hp; though the strength of healing decreases with each use, and the second person rolls health using (10)d8s instead. The third uses d6s, and the fourth d4s after which the spell ends.</t>
  </si>
  <si>
    <t>Wall of Fire</t>
  </si>
  <si>
    <t>A blazing wall upto 5ft thick, 10ft high and 60ft long, or a 10ft radious ring, dealing 4d6 fire damage to any creature that starts its turn in the wall or passes through it. Creatures on the opposite side of the wall are concealed.</t>
  </si>
  <si>
    <t>A blazing wall upto 5ft thick, 10ft high and 60ft long, or a 10ft radious ring, dealing 5d6 fire damage to any creature that starts its turn in the wall or passes through it. Creatures on the opposite side of the wall are concealed.</t>
  </si>
  <si>
    <t>A blazing wall upto 5ft thick, 10ft high and 60ft long, or a 10ft radious ring, dealing 6d6 fire damage to any creature that starts its turn in the wall or passes through it. Creatures on the opposite side of the wall are concealed.</t>
  </si>
  <si>
    <t>A blazing wall upto 5ft thick, 10ft high and 60ft long, or a 10ft radious ring, dealing 7d6 fire damage to any creature that starts its turn in the wall or passes through it. Creatures on the opposite side of the wall are concealed.</t>
  </si>
  <si>
    <t>A blazing wall upto 5ft thick, 10ft high and 60ft long, or a 10ft radious ring, dealing 8d6 fire damage to any creature that starts its turn in the wall or passes through it. Creatures on the opposite side of the wall are concealed.</t>
  </si>
  <si>
    <t>A blazing wall upto 5ft thick, 10ft high and 60ft long, or a 10ft radious ring, dealing 9d6 fire damage to any creature that starts its turn in the wall or passes through it. Creatures on the opposite side of the wall are concealed.</t>
  </si>
  <si>
    <t>A blazing wall upto 5ft thick, 10ft high and 60ft long, or a 10ft radious ring, dealing 10d6 fire damage to any creature that starts its turn in the wall or passes through it. Creatures on the opposite side of the wall are concealed.</t>
  </si>
  <si>
    <t>Weapon Storm</t>
  </si>
  <si>
    <t>Duplicating the weapons you are using to deal damage in either a 30ft cone or a 10ft emanation, you deal 4 damage dice of the weapon to all creatures in the area. On a critical failure a creature is subject to double damage and the weapon's critical specializtion effects.</t>
  </si>
  <si>
    <t>Duplicating the weapons you are using to deal damage in either a 30ft cone or a 10ft emanation, you deal 5 damage dice of the weapon to all creatures in the area. On a critical failure a creature is subject to double damage and the weapon's critical specializtion effects.</t>
  </si>
  <si>
    <t>Duplicating the weapons you are using to deal damage in either a 30ft cone or a 10ft emanation, you deal 6 damage dice of the weapon to all creatures in the area. On a critical failure a creature is subject to double damage and the weapon's critical specializtion effects.</t>
  </si>
  <si>
    <t>Duplicating the weapons you are using to deal damage in either a 30ft cone or a 10ft emanation, you deal 7 damage dice of the weapon to all creatures in the area. On a critical failure a creature is subject to double damage and the weapon's critical specializtion effects.</t>
  </si>
  <si>
    <t>Duplicating the weapons you are using to deal damage in either a 30ft cone or a 10ft emanation, you deal 8 damage dice of the weapon to all creatures in the area. On a critical failure a creature is subject to double damage and the weapon's critical specializtion effects.</t>
  </si>
  <si>
    <t>Duplicating the weapons you are using to deal damage in either a 30ft cone or a 10ft emanation, you deal 9 damage dice of the weapon to all creatures in the area. On a critical failure a creature is subject to double damage and the weapon's critical specializtion effects.</t>
  </si>
  <si>
    <t>Duplicating the weapons you are using to deal damage in either a 30ft cone or a 10ft emanation, you deal 10 damage dice of the weapon to all creatures in the area. On a critical failure a creature is subject to double damage and the weapon's critical specializtion effects.</t>
  </si>
  <si>
    <t>Web of Influence</t>
  </si>
  <si>
    <t>You learn the direction and distance to the nearest creature magically bonded to the target. A creature sustaining a spell, any creature who cast a magical effect currently effecting the target, and members of a coven or simular effect all count as magically bonded. You can ignore magical effect you are aweare of (such as your own). You do not learn the identity of the target, and if they are on a different plane you learn the plane.</t>
  </si>
  <si>
    <t>Winning Streak</t>
  </si>
  <si>
    <t>Sharing in good fortune, the winning streak continues. The target gains the quickened condition for 1 round. If the target or one of their allies within 20ft gets a critical hit against a significant foe they also become quickened, and the duration of the spell increases by 1 round. Quickened creatures can only use this action to Step, Stride, or Strike.</t>
  </si>
  <si>
    <t>Aberrant Form</t>
  </si>
  <si>
    <t xml:space="preserve">Large aberration. AC [18 + Lv]; 13 temp hp; darkvision; +20 Athletics; +18 attack (+8 unarmed damage). Chuul - 30ft (swim 25ft), Claw (10ft, 2d8 bludg, action to grab); Gogiteth - 40ft (climb 30ft), Jaws (2d8 pierc, action to grab), Leg (10ft, agile, 2d6 pierc); Gug - 40ft (climb 20ft), Jaw (10ft, 2d12 pierc), fit as Medium; </t>
  </si>
  <si>
    <t xml:space="preserve">Huge aberration. AC [21 + Lv]; 26 temp hp; darkvision; +23 Athletics; +22 attack (+13 unarmed damage, 5ft reach). Chuul - 30ft (swim 25ft), Claw (10ft, 2d8 bludg, action to grab); Gogiteth - 40ft (climb 30ft), Jaws (2d8 pierc, action to grab), Leg (10ft, agile, 2d6 pierc); Gug - 40ft (climb 20ft), Jaw (10ft, 2d12 pierc), fit as Medium; </t>
  </si>
  <si>
    <t>Abyssal Plague</t>
  </si>
  <si>
    <t>Siphons the target's soul to empower the abyss. Success - 10 evil damage, -2 to saves against Abyssal Plague for 1 day; Fail - Stage 1; Crit Fail - Stage 2. Abyssal Plague (lv 9 disease): Stage 1 - drained 1 (1 day); Stage 2 - drained increased by 2 (1 day). Target cant removed drained condition until they are cured.</t>
  </si>
  <si>
    <t>Siphons the target's soul to empower the abyss. Success - 12 evil damage, -2 to saves against Abyssal Plague for 1 day; Fail - Stage 1; Crit Fail - Stage 2. Abyssal Plague (lv 9 disease): Stage 1 - drained 1 (1 day); Stage 2 - drained increased by 2 (1 day). Target cant removed drained condition until they are cured.</t>
  </si>
  <si>
    <t>Siphons the target's soul to empower the abyss. Success - 14 evil damage, -2 to saves against Abyssal Plague for 1 day; Fail - Stage 1; Crit Fail - Stage 2. Abyssal Plague (lv 9 disease): Stage 1 - drained 1 (1 day); Stage 2 - drained increased by 2 (1 day). Target cant removed drained condition until they are cured.</t>
  </si>
  <si>
    <t>Siphons the target's soul to empower the abyss. Success - 16 evil damage, -2 to saves against Abyssal Plague for 1 day; Fail - Stage 1; Crit Fail - Stage 2. Abyssal Plague (lv 9 disease): Stage 1 - drained 1 (1 day); Stage 2 - drained increased by 2 (1 day). Target cant removed drained condition until they are cured.</t>
  </si>
  <si>
    <t>Siphons the target's soul to empower the abyss. Success - 18 evil damage, -2 to saves against Abyssal Plague for 1 day; Fail - Stage 1; Crit Fail - Stage 2. Abyssal Plague (lv 9 disease): Stage 1 - drained 1 (1 day); Stage 2 - drained increased by 2 (1 day). Target cant removed drained condition until they are cured.</t>
  </si>
  <si>
    <t>Siphons the target's soul to empower the abyss. Success - 20 evil damage, -2 to saves against Abyssal Plague for 1 day; Fail - Stage 1; Crit Fail - Stage 2. Abyssal Plague (lv 9 disease): Stage 1 - drained 1 (1 day); Stage 2 - drained increased by 2 (1 day). Target cant removed drained condition until they are cured.</t>
  </si>
  <si>
    <t>Acid Storm</t>
  </si>
  <si>
    <t>A storm of acid rain, dealing 3d8 acid damage to all creatures that start their turn in the area.</t>
  </si>
  <si>
    <t>A storm of acid rain, dealing 4d8 acid damage to all creatures that start their turn in the area.</t>
  </si>
  <si>
    <t>A storm of acid rain, dealing 5d8 acid damage to all creatures that start their turn in the area.</t>
  </si>
  <si>
    <t>Bandit's Doom</t>
  </si>
  <si>
    <t>30min</t>
  </si>
  <si>
    <t>1 item</t>
  </si>
  <si>
    <t>1 month</t>
  </si>
  <si>
    <t>You ward an item of less then 2 bulk against being stolen. Creatures who take the item take 8d8 mental damage and are doomed. Upto 10 creatures of your choice do not trigger the effects. After dealing damage or if you cast this spell again, the spell ends. Success - half damage, doomed 1; Fail - Full damage, doomed 2; Crit Fail - Double damage and doomed 3.</t>
  </si>
  <si>
    <t>You ward an item of less then 2 bulk against being stolen. Creatures who take the item take 10d8 mental damage and are doomed. Upto 10 creatures of your choice do not trigger the effects. After dealing damage or if you cast this spell again, the spell ends. Success - half damage, doomed 1; Fail - Full damage, doomed 2; Crit Fail - Double damage and doomed 3.</t>
  </si>
  <si>
    <t>You ward an item of less then 2 bulk against being stolen. Creatures who take the item take 12d8 mental damage and are doomed. Upto 10 creatures of your choice do not trigger the effects. After dealing damage or if you cast this spell again, the spell ends. Success - half damage, doomed 1; Fail - Full damage, doomed 2; Crit Fail - Double damage and doomed 3.</t>
  </si>
  <si>
    <t>Banishment</t>
  </si>
  <si>
    <t>You send the target back to its home plane, having no effect if its already there or if you are not on your home plane. If you spend 3 actions casting this spell the target has a -2 penalty to its save if you have something the target hates. Crit Success - you are stunned 1; Success - target resists the spell; Failure - target is banished; Crit Fail - Banished, cant return for 1 week</t>
  </si>
  <si>
    <t>3RD LEVEL SPELLS</t>
  </si>
  <si>
    <t>You send 10 targets back to their home plane, having no effect if its already there or if you are not on your home plane. If you spend 3 actions casting this spell the target has a -2 penalty to its save if you have something the target hates. Crit Success - you are stunned 1; Success - target resists the spell; Failure - target is banished; Crit Fail - Banished, cant return for 1 week</t>
  </si>
  <si>
    <t>Black Tentacles</t>
  </si>
  <si>
    <t>Black tentacles rise up from the nearest surrface, making an attack against the Fortitude DC of each creature in the area, and any creature that ends its turn in the area. On hit the target is grabbed and takes 3d6 bludgeoning damage. Any creature that ends its turn grapped takes 1d6 bludgeoning. Escape DC is equal to Spell DC. Tentacles AC equal to spell DC, and hp of 12, but when destroyed instantly grow back.</t>
  </si>
  <si>
    <t>Blackfinger's Blades</t>
  </si>
  <si>
    <t>4 weapons</t>
  </si>
  <si>
    <t>You bless weapons wielded by willing creatures you bring a swift death. The weapons are coated with Giant Scorpion Venom with a DC equal to your spell DC, and stay applied until the weapon deals damage. Giant Scorpion Venom (6 rounds), Stage 1 - 1d10 poison, enfeebled 1 (1 round); Stage 2 - 2d10 poison, enfeebled 1 (1 round); Stage 3 - 2d10 poison, enfeebled 2 (1 round).</t>
  </si>
  <si>
    <t>Blazing Fissure</t>
  </si>
  <si>
    <t>A thin line of magma spews out, dealing 6d6 fire damage and 4d6 bludgeoning damage to each creature on the ground. Success - half damage; Fail - full damage, falls prone; Crit Fail - double damage, falls prone.</t>
  </si>
  <si>
    <t>A thin line of magma spews out, dealing 7d6 fire damage and 5d6 bludgeoning damage to each creature on the ground. Success - half damage; Fail - full damage, falls prone; Crit Fail - double damage, falls prone.</t>
  </si>
  <si>
    <t>A thin line of magma spews out, dealing 8d6 fire damage and 6d6 bludgeoning damage to each creature on the ground. Success - half damage; Fail - full damage, falls prone; Crit Fail - double damage, falls prone.</t>
  </si>
  <si>
    <t>A thin line of magma spews out, dealing 9d6 fire damage and 7d6 bludgeoning damage to each creature on the ground. Success - half damage; Fail - full damage, falls prone; Crit Fail - double damage, falls prone.</t>
  </si>
  <si>
    <t>A thin line of magma spews out, dealing 10d6 fire damage and 8d6 bludgeoning damage to each creature on the ground. Success - half damage; Fail - full damage, falls prone; Crit Fail - double damage, falls prone.</t>
  </si>
  <si>
    <t>A thin line of magma spews out, dealing 11d6 fire damage and 9d6 bludgeoning damage to each creature on the ground. Success - half damage; Fail - full damage, falls prone; Crit Fail - double damage, falls prone.</t>
  </si>
  <si>
    <t>Blessing of Defiance</t>
  </si>
  <si>
    <t>V,S</t>
  </si>
  <si>
    <t>Pushing through adversidy, the target gets a +4 status bonus to one of the following: Fortitude, Reflex, or Will. Using a single action you can target yourself or 1 willing creature. Using 2 actions the target gains: Fortitide - Resistant 15 poison; Reflex - +15ft speed; Will - Resistant 15 mental. Using 3 actions you target every willing creature within range.</t>
  </si>
  <si>
    <t>Blind Eye</t>
  </si>
  <si>
    <t>You prevent the item from being used to cast the scry spell, such as a spell focus or component pouch. If a magical item is twice the level of the spellslot used to cast this spell it is immune to this spell.</t>
  </si>
  <si>
    <t>Blink Charge</t>
  </si>
  <si>
    <t>Propelling yourself through space you teleport next to a creature with momentum. Strike as apart of casting the spell, dealing an additional 2d8 force damage on hit. Crit Success - double damage, the target teleports 5ft away horizontally; Success - full damage; Fail - only 1d8 force damage. Crit Fail - no damage, you take 1d8 force damage.</t>
  </si>
  <si>
    <t>Propelling yourself through space you teleport next to a creature within 120ft with momentum. Strike as apart of casting the spell, dealing an additional 3d8 force damage on hit. Crit Success - double damage, the target teleports 5ft away horizontally; Success - full damage; Fail - only 1d8 force damage. Crit Fail - no damage, you take 1d8 force damage.</t>
  </si>
  <si>
    <t>Propelling yourself through space you teleport next to a creature within 180ft with momentum. Strike as apart of casting the spell, dealing an additional 4d8 force damage on hit. Crit Success - double damage, the target teleports 5ft away horizontally; Success - full damage; Fail - only 1d8 force damage. Crit Fail - no damage, you take 1d8 force damage.</t>
  </si>
  <si>
    <t>Blister</t>
  </si>
  <si>
    <t>The target's skin grows blisters filled with caustic acid. Success - The target grows 1 blister that you spend a single action to pop, dealing 7d6 acid damage (basic fortitude) to all creatures in a 15ft cone you choose. Fail - as success, but the target grows 2 blisters. Critical Fail - as success, but 4 blisters.</t>
  </si>
  <si>
    <t>The target's skin grows blisters filled with caustic acid. Success - The target grows 1 blister that you spend a single action to pop, dealing 8d6 acid damage (basic fortitude) to all creatures in a 15ft cone you choose. Fail - as success, but the target grows 2 blisters. Critical Fail - as success, but 4 blisters.</t>
  </si>
  <si>
    <t>The target's skin grows blisters filled with caustic acid. Success - The target grows 1 blister that you spend a single action to pop, dealing 9d6 acid damage (basic fortitude) to all creatures in a 15ft cone you choose. Fail - as success, but the target grows 2 blisters. Critical Fail - as success, but 4 blisters.</t>
  </si>
  <si>
    <t>The target's skin grows blisters filled with caustic acid. Success - The target grows 1 blister that you spend a single action to pop, dealing 10d6 acid damage (basic fortitude) to all creatures in a 15ft cone you choose. Fail - as success, but the target grows 2 blisters. Critical Fail - as success, but 4 blisters.</t>
  </si>
  <si>
    <t>The target's skin grows blisters filled with caustic acid. Success - The target grows 1 blister that you spend a single action to pop, dealing 11d6 acid damage (basic fortitude) to all creatures in a 15ft cone you choose. Fail - as success, but the target grows 2 blisters. Critical Fail - as success, but 4 blisters.</t>
  </si>
  <si>
    <t>The target's skin grows blisters filled with caustic acid. Success - The target grows 1 blister that you spend a single action to pop, dealing 12d6 acid damage (basic fortitude) to all creatures in a 15ft cone you choose. Fail - as success, but the target grows 2 blisters. Critical Fail - as success, but 4 blisters.</t>
  </si>
  <si>
    <t>Blood Feast</t>
  </si>
  <si>
    <t>Your head splits into a maw, feasting on the target's blood, dealing 12d6 piercing damage on hit before sowing shut. You gain Temp HP for 1 minute equal to half the piercing damage. Crit Success - double damage, 1d8 persistant bleed; Success - full damage; Fail - no damage; If you are a gug, increase damage by 2d6, and bleed by 1d8.</t>
  </si>
  <si>
    <t>Your head splits into a maw, feasting on the target's blood, dealing 14d6 piercing damage on hit before sowing shut. You gain Temp HP for 1 minute equal to half the piercing damage. Crit Success - double damage, 1d8+1 persistant bleed; Success - full damage; Fail - no damage; If you are a gug, increase damage by 2d6, and bleed by 1d8.</t>
  </si>
  <si>
    <t>Your head splits into a maw, feasting on the target's blood, dealing 16d6 piercing damage on hit before sowing shut. You gain Temp HP for 1 minute equal to half the piercing damage. Crit Success - double damage, 1d8+2 persistant bleed; Success - full damage; Fail - no damage; If you are a gug, increase damage by 2d6, and bleed by 1d8.</t>
  </si>
  <si>
    <t>Your head splits into a maw, feasting on the target's blood, dealing 18d6 piercing damage on hit before sowing shut. You gain Temp HP for 1 minute equal to half the piercing damage. Crit Success - double damage, 1d8+3 persistant bleed; Success - full damage; Fail - no damage; If you are a gug, increase damage by 2d6, and bleed by 1d8.</t>
  </si>
  <si>
    <t>Your head splits into a maw, feasting on the target's blood, dealing 20d6 piercing damage on hit before sowing shut. You gain Temp HP for 1 minute equal to half the piercing damage. Crit Success - double damage, 1d8+4 persistant bleed; Success - full damage; Fail - no damage; If you are a gug, increase damage by 2d6, and bleed by 1d8.</t>
  </si>
  <si>
    <t>Your head splits into a maw, feasting on the target's blood, dealing 22d6 piercing damage on hit before sowing shut. You gain Temp HP for 1 minute equal to half the piercing damage. Crit Success - double damage, 1d8+5 persistant bleed; Success - full damage; Fail - no damage; If you are a gug, increase damage by 2d6, and bleed by 1d8.</t>
  </si>
  <si>
    <t>Breath of Life</t>
  </si>
  <si>
    <t>If the target would die, you prevent it with a revival blessing to restore 4d8 [plus spell ability mod] hp, preventing it from dying. This spell has no effect if the triggering effect was Disintegrate, or a death effect.</t>
  </si>
  <si>
    <t>Chameleon Coat</t>
  </si>
  <si>
    <t>15ft</t>
  </si>
  <si>
    <t>8 creatures</t>
  </si>
  <si>
    <t>Shifting the colors of the target's clothing to match the enviroment they get a +3 status bonus to Stealth checks to Hide. Clothes constantly change color as needed. If target derobes the spell ends for them.</t>
  </si>
  <si>
    <t>Shifting the colors of the target's clothing to match the enviroment they get a +3 status bonus to Stealth checks to Hide. Clothes constantly change color as needed. If target derobes the spell ends for them. If a target critically fails a stealth check within 30ft of a spotter their appearence becomes hypnotizing, getting a Fail instead.</t>
  </si>
  <si>
    <t>Shifting the colors of the target's clothing to match the enviroment they get a +4 status bonus to Stealth checks to Hide. Clothes constantly change color as needed. If target derobes the spell ends for them. If a target critically fails a stealth check within 30ft of a spotter their appearence becomes hypnotizing, getting a Fail instead.</t>
  </si>
  <si>
    <t>Chromatic Wall</t>
  </si>
  <si>
    <t>A 30ft tall wall; 20ft bright light. You ignore effects. Cant place in a creature's space; (automatically counteracted by listed spell). 1 Red - destroys ammunition, 20 fire damage on enter, (Cone of Cold); 2 Orange - destroys thrown, 25 acid damage, (Gust of Wind); 3 Yellow - destroys magic damage, 30 eletric, (Disintigrate); 4 Green - stops air, 10 poison and enfeebled 1 (basic Fort), (Passwall);</t>
  </si>
  <si>
    <t>A 30ft tall wall; 20ft bright light. You ignore effects. Cant place in a creature's space; (automatically counteracted by listed spell). 1 Red - destroys ammunition, 30 fire damage on enter, (Cone of Cold); 2 Orange - destroys thrown, 35 acid damage, (Gust of Wind); 3 Yellow - destroys magic damage, 40 eletric, (Disintigrate); 4 Green - stops air, 20 poison and enfeebled 1 (basic Fort), (Passwall); 5 Blue - stops senses, Flesh to stone, (Magic Missile); 6 Indigo - stops Div and Mental, Mind Warp, (Searing Light); 7 Violet - Stops magic, Will - Slowed 1 for 1 min, on crit fail planeshift, (Dispel Magic); 8 - reroll, creatures take -2 to save.</t>
  </si>
  <si>
    <t>Cloak of Colors</t>
  </si>
  <si>
    <t>Wrapping the target in colors, adjacent creatures are dazzled. A creature that attacks the target must make a save after which it is immune until the end of tis turn; Success - Unaffected; Fail - blinded for 1 round; Crit Fail - stunned for 1 round.</t>
  </si>
  <si>
    <t>Cloudkill</t>
  </si>
  <si>
    <t>You conjure a poisonous fog, obscuring all creatures in its area from each other and their ability to see outside, becoming concealed. Each round the area 10ft away, and each breathing creature in the fog takes 6d8 poison damage.</t>
  </si>
  <si>
    <t>You conjure a poisonous fog, obscuring all creatures in its area from each other and their ability to see outside, becoming concealed. Each round the area 10ft away, and each breathing creature in the fog takes 7d8 poison damage.</t>
  </si>
  <si>
    <t>You conjure a poisonous fog, obscuring all creatures in its area from each other and their ability to see outside, becoming concealed. Each round the area 10ft away, and each breathing creature in the fog takes 8d8 poison damage.</t>
  </si>
  <si>
    <t>You conjure a poisonous fog, obscuring all creatures in its area from each other and their ability to see outside, becoming concealed. Each round the area 10ft away, and each breathing creature in the fog takes 9d8 poison damage.</t>
  </si>
  <si>
    <t>You conjure a poisonous fog, obscuring all creatures in its area from each other and their ability to see outside, becoming concealed. Each round the area 10ft away, and each breathing creature in the fog takes 10d8 poison damage.</t>
  </si>
  <si>
    <t>You conjure a poisonous fog, obscuring all creatures in its area from each other and their ability to see outside, becoming concealed. Each round the area 10ft away, and each breathing creature in the fog takes 11d8 poison damage.</t>
  </si>
  <si>
    <t>Cone of Cold</t>
  </si>
  <si>
    <t>Icy cold rushes from your hands, dealing 12d6 cold damage to creatures in the area.</t>
  </si>
  <si>
    <t>Icy cold rushes from your hands, dealing 14d6 cold damage to creatures in the area.</t>
  </si>
  <si>
    <t>Icy cold rushes from your hands, dealing 16d6 cold damage to creatures in the area.</t>
  </si>
  <si>
    <t>Icy cold rushes from your hands, dealing 18d6 cold damage to creatures in the area.</t>
  </si>
  <si>
    <t>Icy cold rushes from your hands, dealing 20d6 cold damage to creatures in the area.</t>
  </si>
  <si>
    <t>Icy cold rushes from your hands, dealing 22d6 cold damage to creatures in the area.</t>
  </si>
  <si>
    <t>Control Water</t>
  </si>
  <si>
    <t>50ft cube</t>
  </si>
  <si>
    <t>Imposing your will upon the water, you can raise and lower the level of the water by 10ft. Water creatures in the area are affected by Slow: Fort save, Success - slowed 1 for 1 round; Fail - slowed 1 for 1 min; Crit Fail - slowed 2 for 1 min.</t>
  </si>
  <si>
    <t>Crushing Despair</t>
  </si>
  <si>
    <t>You inflict dispay on creatures in the area. Success - 1 round, creature cant use reactions, must make another save at start of turn, on a fail cries so hard it is slowed 1 for the turn; Fail - As success, duration 1 min; Crit Fail - Creature is automattically slowed 1 for 1 min.</t>
  </si>
  <si>
    <t>You inflict dispay on creatures in a 60ft cone. Success - 1 round, creature cant use reactions, must make another save at start of turn, on a fail cries so hard it is slowed 1 for the turn; Fail - As success, duration 1 min; Crit Fail - Creature is automattically slowed 1 for 1 min.</t>
  </si>
  <si>
    <t>Death Ward</t>
  </si>
  <si>
    <t>You shield a creature from the ravages of negative energy. It receives a +4 status bonus to saves against death and negative effects, gains negative resistance 10, and suppresses the effects of the doomed condition.</t>
  </si>
  <si>
    <t>Desperate Repair</t>
  </si>
  <si>
    <t>1 shield</t>
  </si>
  <si>
    <t>If a shield within range would be reduced to 0hp, and had more than 1hp before taking damage, your magic desperately holds it together. The shield remains at 1hp and isnt destroyed. This weakens its structure until the shield is fixed properly, preventing a simular effect from being used on it again until your next daily prep.</t>
  </si>
  <si>
    <t>Dreaming Potential</t>
  </si>
  <si>
    <t>1 sleeping creature</t>
  </si>
  <si>
    <t>You draw a willing target into a lucid dream where it can explore its dreamscape. If the target sleeps 8 hours uninterrupted, it counts as having a day of downtime retraining, though cant retrain anything that would require specalized knowledge or instruction it doesnt have access to.</t>
  </si>
  <si>
    <t>Drop Dead</t>
  </si>
  <si>
    <t>When the target is hit by a ranged attack, you make it appear to drop dead. An illusionary corpse falls, and the target becomes invisible until they use a hostile action. If the death was unbelieveble (full hp barbarian dying with 2 hp), the attacker can make an immeadate perception check.</t>
  </si>
  <si>
    <t>When the target is hit by a ranged attack, you make it appear to drop dead. An illusionary corpse falls, and the target becomes invisible. If the death was unbelieveble (full hp barbarian dying with 2 hp), the attacker can make an immeadate perception check.</t>
  </si>
  <si>
    <t>Ectoplasmic Expulsion</t>
  </si>
  <si>
    <t>With tendrils of ectoplasm passing through the creature you attempt to counteract a single effect with the emotion or possession traits, or any effect that controls or fascinates the target. If you fail you still set up resistance, granting the target a +2 to Will saves to shrug off the effect for the next hour.</t>
  </si>
  <si>
    <t>Elemental Form</t>
  </si>
  <si>
    <t>Medium Elemental. AC [19 + Lv]; 10 temp hp; Dark vision; +20 Acro/Athletics; +18 attack (+9 unarmed damage). Air - 80ft fly (doesnt trigger reaction), Gust (1d4 blud); Earth - 20ft (burrow), Fist (2d20 bludg); Fire - 50ft, fire res. 10, weakness 5 cold/water, Tendril (1d8 fire, 1d4 persistant fire); Water - 20ft (swim 60ft), fire res 5, Wave (1d12 blud, action to push 5ft)</t>
  </si>
  <si>
    <t>Large Elemental. AC [22 + Lv]; 15 temp hp; Dark vision; +23 Acro/Athletics; +23 attack (+13 unarmed damage, 10ft). Air - 80ft fly (doesnt trigger reaction), Gust (1d4 blud); Earth - 20ft (burrow), Fist (2d20 bludg); Fire - 50ft, fire res. 10, weakness 5 cold/water, Tendril (1d8 fire, 1d4 persistant fire); Water - 20ft (swim 60ft), fire res 5, Wave (1d12 blud, action to push 5ft)</t>
  </si>
  <si>
    <t>Huge Elemental. AC [22 + Lv]; 15 temp hp; Dark vision; +25 Acro/Athletics; +25 attack (+11 unarmed damage, 15ft). Air - 80ft fly (doesnt trigger reaction), Gust (2d4 blud); Earth - 20ft (burrow), Fist (4d20 bludg); Fire - 50ft, fire res. 10, weakness 5 cold/water, Tendril (2d8 fire, 2d4 persistant fire); Water - 20ft (swim 60ft), fire res 5, Wave (2d12 blud, action to push 5ft)</t>
  </si>
  <si>
    <t>Etheric Shards</t>
  </si>
  <si>
    <t>Scattering glittering splinters of force caltrops of will and ectoplasm, the area becomes difficult terrain, even for flying and incorporeal creatures. Any creature that moves through the area takes 1d4 piercing damage per square, with a save at the end.</t>
  </si>
  <si>
    <t>Scattering glittering splinters of force caltrops of will and ectoplasm, the 25ft burst area becomes difficult terrain, even for flying and incorporeal creatures. Any creature that moves through the area takes 1d4+1 piercing damage per square, with a save at the end.</t>
  </si>
  <si>
    <t>Scattering glittering splinters of force caltrops of will and ectoplasm, the 30ft burst area becomes difficult terrain, even for flying and incorporeal creatures. Any creature that moves through the area takes 1d4+2 piercing damage per square, with a save at the end.</t>
  </si>
  <si>
    <t>False Vision</t>
  </si>
  <si>
    <t>With a false image you trick any scrying spell into seeing, hearing, and smelling whatever you wish. You can sustain the spell to alter the image, playing out complex scenes. Scrying at a higher level then this spell can attempt a Perception check to disbelieve the illusion, though cant learn whats truly in the area.</t>
  </si>
  <si>
    <t>Flame Strike</t>
  </si>
  <si>
    <t>10ft radius</t>
  </si>
  <si>
    <t>With a pillar of divine fire 40ft tall, you deal 8d6 holy fire damage. The divine energy causes creatures to only apply half their usual fire resistance. Creatures immune to fire instead treat their saving throw as one degree of success better.</t>
  </si>
  <si>
    <t>With a pillar of divine fire 40ft tall, you deal 10d6 holy fire damage. The divine energy causes creatures to only apply half their usual fire resistance. Creatures immune to fire instead treat their saving throw as one degree of success better.</t>
  </si>
  <si>
    <t>With a pillar of divine fire 40ft tall, you deal 12d6 holy fire damage. The divine energy causes creatures to only apply half their usual fire resistance. Creatures immune to fire instead treat their saving throw as one degree of success better.</t>
  </si>
  <si>
    <t>With a pillar of divine fire 40ft tall, you deal 14d6 holy fire damage. The divine energy causes creatures to only apply half their usual fire resistance. Creatures immune to fire instead treat their saving throw as one degree of success better.</t>
  </si>
  <si>
    <t>With a pillar of divine fire 40ft tall, you deal 16d6 holy fire damage. The divine energy causes creatures to only apply half their usual fire resistance. Creatures immune to fire instead treat their saving throw as one degree of success better.</t>
  </si>
  <si>
    <t>With a pillar of divine fire 40ft tall, you deal 18d6 holy fire damage. The divine energy causes creatures to only apply half their usual fire resistance. Creatures immune to fire instead treat their saving throw as one degree of success better.</t>
  </si>
  <si>
    <t>Flammable Fumes</t>
  </si>
  <si>
    <t>An invisible cloud of toxic gas fills the area, dealing 2d6 poison damage to creatures starting their turn in, or entering the area. While invisible, a perception check against spell DC can be made to spot it, or upon entering it and feeling its effects. One round after casting this spell, the fumes are flammable, and will ignite with fire, dealing 10d6 fire damage to all creatures in the area.</t>
  </si>
  <si>
    <t>An invisible cloud of toxic gas fills the area, dealing 3d6 poison damage to creatures starting their turn in, or entering the area. While invisible, a perception check against spell DC can be made to spot it, or upon entering it and feeling its effects. One round after casting this spell, the fumes are flammable, and will ignite with fire, dealing 12d6 fire damage to all creatures in the area.</t>
  </si>
  <si>
    <t>An invisible cloud of toxic gas fills the area, dealing 4d6 poison damage to creatures starting their turn in, or entering the area. While invisible, a perception check against spell DC can be made to spot it, or upon entering it and feeling its effects. One round after casting this spell, the fumes are flammable, and will ignite with fire, dealing 14d6 fire damage to all creatures in the area.</t>
  </si>
  <si>
    <t>Flowing Strike</t>
  </si>
  <si>
    <t>With a wave of flowing water pushing you forward, you Stride upto 50ft without triggering reactions. You can make a Strike at any point in this movement, on hit the wave batters the target as well, dealing an additional 2d10 bludgeoning damage, and pushing it 10ft in a direction of your choice.</t>
  </si>
  <si>
    <t>Forceful Hand</t>
  </si>
  <si>
    <t>Medium hand that is adjacant to you; AC 25, HP 50 (destroyed by disintegrate); Takes the first action on list that matches what you did - Manipulate or Attack - lesser cover (+1 ac); Move - Standard cover (+2 AC, Reflex); Concentrate - Greater Cover (+4 AC, Reflex)</t>
  </si>
  <si>
    <t>Medium hand that is adjacant to you; AC 27, HP 60 (destroyed by disintegrate); Takes the first action on list that matches what you did - Manipulate or Attack - Swat (spell attack to push creature); Move - Standard cover (+2 AC, Reflex); Concentrate - Greater Cover (+4 AC, Reflex)</t>
  </si>
  <si>
    <t>Large hand that is adjacant to you; AC 30, HP 70 (destroyed by disintegrate); Takes the first action on list that matches what you did - Manipulate or Attack - Swat (spell attack to push creature), or Grasp (spell attack to grapple); Move - Standard cover (+2 AC, Reflex); Concentrate - Greater Cover (+4 AC, Reflex)</t>
  </si>
  <si>
    <t>Large hand that is adjacant to you; AC 32, HP 80 (destroyed by disintegrate); Takes the first action on list that matches what you did - Manipulate or Attack - Swat (spell attack to push/grapple), or Punch (spell attack, 7d8 force, no MAP); Move - Standard cover (+2 AC, Reflex); Concentrate - Greater Cover (+4 AC, Reflex)</t>
  </si>
  <si>
    <t>Large hand that is adjacant to you; AC 35, HP 90 (destroyed by disintegrate); Takes the first action on list that matches what you did - Manipulate or Attack - Swat (spell attack to push/grapple), or Punch (spell attack, 7d8 force, no MAP), or Crush (spell attack 6d8 force and grapples, if grappled 6d8 force with basic fort save); Move - Standard cover (+2 AC, Reflex); Concentrate - Greater Cover (+4 AC, Reflex)</t>
  </si>
  <si>
    <t>Geyser</t>
  </si>
  <si>
    <t>Opening a hole in solid ground water pushes out, blasting creatures in the area upto 50ft in the air, dealing 3d6 bludgeoning and 4d6 fire damage, with save, after which it falls unless it can fly. The area becomes steam for 1 round, concealing creatures in the area. Success - half damage, not pushed; Fail - full damage, pushed 20ft into air; Crit Fail - double damage, pushed 40ft into air.</t>
  </si>
  <si>
    <t>Opening a hole in solid ground water pushes out, blasting creatures in the area upto 50ft in the air, dealing 4d6 bludgeoning and 5d6 fire damage, with save, after which it falls unless it can fly. The area becomes steam for 1 round, concealing creatures in the area. Success - half damage, not pushed; Fail - full damage, pushed 20ft into air; Crit Fail - double damage, pushed 40ft into air.</t>
  </si>
  <si>
    <t>Opening a hole in solid ground water pushes out, blasting creatures in the area upto 50ft in the air, dealing 5d6 bludgeoning and 6d6 fire damage, with save, after which it falls unless it can fly. The area becomes steam for 1 round, concealing creatures in the area. Success - half damage, not pushed; Fail - full damage, pushed 20ft into air; Crit Fail - double damage, pushed 40ft into air.</t>
  </si>
  <si>
    <t>Opening a hole in solid ground water pushes out, blasting creatures in the area upto 50ft in the air, dealing 6d6 bludgeoning and 7d6 fire damage, with save, after which it falls unless it can fly. The area becomes steam for 1 round, concealing creatures in the area. Success - half damage, not pushed; Fail - full damage, pushed 20ft into air; Crit Fail - double damage, pushed 40ft into air.</t>
  </si>
  <si>
    <t>Opening a hole in solid ground water pushes out, blasting creatures in the area upto 50ft in the air, dealing 7d6 bludgeoning and 8d6 fire damage, with save, after which it falls unless it can fly. The area becomes steam for 1 round, concealing creatures in the area. Success - half damage, not pushed; Fail - full damage, pushed 20ft into air; Crit Fail - double damage, pushed 40ft into air.</t>
  </si>
  <si>
    <t>Opening a hole in solid ground water pushes out, blasting creatures in the area upto 50ft in the air, dealing 8d6 bludgeoning and 9d6 fire damage, with save, after which it falls unless it can fly. The area becomes steam for 1 round, concealing creatures in the area. Success - half damage, not pushed; Fail - full damage, pushed 20ft into air; Crit Fail - double damage, pushed 40ft into air.</t>
  </si>
  <si>
    <t>Glimmer of Charm</t>
  </si>
  <si>
    <t>A glittering aura that improves the attitude of those around you, after which the creature becomes immune for 24 hours. The effects end if you take a hostile action against the creature or its allies. Crit Success - unaffected and aware of aura; Success - Attitude improves by one step, if indifferent it cant take hostile actions against you; Fail - attitude improves 2 steps, cant take hostile actions against you; Crit Fail - becomes Helpful to you.</t>
  </si>
  <si>
    <t>Grisly Growths</t>
  </si>
  <si>
    <t>The target starts growing extra limbs, fingers, eyes, and organs that rot away after one round, dealing 10d6 piercing (basic Fort). This has no effect of oozes or simular. Unless intial target crit saves, all creatures within 30ft must make a will save (immune for 1 hour); Fail - sickened 1; Crit fail - sickened 2</t>
  </si>
  <si>
    <t>The target starts growing extra limbs, fingers, eyes, and organs that rot away after one round, dealing 12d6 piercing (basic Fort). This has no effect of oozes or simular. Unless intial target crit saves, all creatures within 30ft must make a will save (immune for 1 hour); Fail - sickened 1; Crit fail - sickened 3</t>
  </si>
  <si>
    <t>The target starts growing extra limbs, fingers, eyes, and organs that rot away after one round, dealing 14d6 piercing (basic Fort). This has no effect of oozes or simular. Unless intial target crit saves, all creatures within 30ft must make a will save (immune for 1 hour); Fail - sickened 1; Crit fail - sickened 4</t>
  </si>
  <si>
    <t>The target starts growing extra limbs, fingers, eyes, and organs that rot away after one round, dealing 16d6 piercing (basic Fort). This has no effect of oozes or simular. Unless intial target crit saves, all creatures within 30ft must make a will save (immune for 1 hour); Fail - sickened 1; Crit fail - sickened 5</t>
  </si>
  <si>
    <t>The target starts growing extra limbs, fingers, eyes, and organs that rot away after one round, dealing 18d6 piercing (basic Fort). This has no effect of oozes or simular. Unless intial target crit saves, all creatures within 30ft must make a will save (immune for 1 hour); Fail - sickened 1; Crit fail - sickened 6</t>
  </si>
  <si>
    <t>The target starts growing extra limbs, fingers, eyes, and organs that rot away after one round, dealing 20d6 piercing (basic Fort). This has no effect of oozes or simular. Unless intial target crit saves, all creatures within 30ft must make a will save (immune for 1 hour); Fail - sickened 1; Crit fail - sickened 7</t>
  </si>
  <si>
    <t>Hallucination</t>
  </si>
  <si>
    <t>Choose one: target mistakes one for another, cant detect something, or sees something that doesnt exist. You choose the exact effect and how it manifests. The target gets a Will save after initial every time they Seek or Interact with the illusion directly. Success - percieves effects but understands its an illusion; Fail - percieves until it disbelieves; Crit Fail - trusts its senses and sees the illusion, with -4 to disbelieve.</t>
  </si>
  <si>
    <t>Choose one: target mistakes one for another, cant detect something, or sees something that doesnt exist, affecting 10 targets, or 1 until daily prep. You choose the exact effect and how it manifests. The target gets a Will save after initial every time they Seek or Interact with the illusion directly. Success - percieves effects but understands its an illusion; Fail - percieves until it disbelieves; Crit Fail - trusts its senses and sees the illusion, with -4 to disbelieve.</t>
  </si>
  <si>
    <t>Choose one: target mistakes one for another, cant detect something, or sees something that doesnt exist, affecting all targets, or unlimited duration. You choose the exact effect and how it manifests. The target gets a Will save after initial every time they Seek or Interact with the illusion directly. Success - percieves effects but understands its an illusion; Fail - percieves until it disbelieves; Crit Fail - trusts its senses and sees the illusion, with -4 to disbelieve.</t>
  </si>
  <si>
    <t>Healing Well</t>
  </si>
  <si>
    <t>A shimmering disk in a square within range, if you or an ally is adjacent to the well they can interact to tap into the well's power, healing 4d8 hit points. The well can be tapped 5 times before ending. The well can be moved through, and any addition to healing spells only affect the first instance.</t>
  </si>
  <si>
    <t>A shimmering disk in a square within range, if you or an ally is adjacent to the well they can interact to tap into the well's power, healing 4d8+3 hit points. The well can be tapped 5 times before ending. The well can be moved through, and any addition to healing spells only affect the first instance.</t>
  </si>
  <si>
    <t>A shimmering disk in a square within range, if you or an ally is adjacent to the well they can interact to tap into the well's power, healing 4d8+6 hit points. The well can be tapped 5 times before ending. The well can be moved through, and any addition to healing spells only affect the first instance.</t>
  </si>
  <si>
    <t>A shimmering disk in a square within range, if you or an ally is adjacent to the well they can interact to tap into the well's power, healing 4d8+9 hit points. The well can be tapped 5 times before ending. The well can be moved through, and any addition to healing spells only affect the first instance.</t>
  </si>
  <si>
    <t>A shimmering disk in a square within range, if you or an ally is adjacent to the well they can interact to tap into the well's power, healing 4d8+12 hit points. The well can be tapped 5 times before ending. The well can be moved through, and any addition to healing spells only affect the first instance.</t>
  </si>
  <si>
    <t>A shimmering disk in a square within range, if you or an ally is adjacent to the well they can interact to tap into the well's power, healing 4d8+15 hit points. The well can be tapped 5 times before ending. The well can be moved through, and any addition to healing spells only affect the first instance.</t>
  </si>
  <si>
    <t>Illusory Scene</t>
  </si>
  <si>
    <t>Upto 10 discrete creatures and objects enter the space with no combat powers, and can not speak. The illusion can loop or remain static, and if looped will always be a perfect 1 minute loop. Unable to alter the program after creation. Touching or Seeking can attempt to disbelieve only that portion.</t>
  </si>
  <si>
    <t>Upto 10 discrete creatures and objects enter the space with no combat powers, and can be told to speak. The illusion can loop or remain static, and if looped will always be a perfect 1 minute loop. Unable to alter the program after creation. Touching or Seeking can attempt to disbelieve only that portion.</t>
  </si>
  <si>
    <t>Upto 10 discrete creatures and objects enter the space with no combat powers for an unlimited duration. They can be told to speak. The illusion can loop or remain static, and if looped will always be a perfect 1 minute loop. Unable to alter the program after creation. Touching or Seeking can attempt to disbelieve only that portion.</t>
  </si>
  <si>
    <t>Implaing Spike</t>
  </si>
  <si>
    <t>A cold iron spike thrusts upwards from the ground, in an attempt to impal, dealing 8d6 piercing damage. Success - struck for half damage; Fail - impaled through leg for full damage and immobilized (Spell DC to escape), and takes any cold iron weakness at the end of its turn if impaled; Crit Fail - as failure but impaled through vital organ, double damage and is flat footed while impaled.</t>
  </si>
  <si>
    <t>A cold iron spike thrusts upwards from the ground, in an attempt to impal, dealing 10d6 piercing damage. Success - struck for half damage; Fail - impaled through leg for full damage and immobilized (Spell DC to escape), and takes any cold iron weakness at the end of its turn if impaled; Crit Fail - as failure but impaled through vital organ, double damage and is flat footed while impaled.</t>
  </si>
  <si>
    <t>A cold iron spike thrusts upwards from the ground, in an attempt to impal, dealing 12d6 piercing damage. Success - struck for half damage; Fail - impaled through leg for full damage and immobilized (Spell DC to escape), and takes any cold iron weakness at the end of its turn if impaled; Crit Fail - as failure but impaled through vital organ, double damage and is flat footed while impaled.</t>
  </si>
  <si>
    <t>A cold iron spike thrusts upwards from the ground, in an attempt to impal, dealing 14d6 piercing damage. Success - struck for half damage; Fail - impaled through leg for full damage and immobilized (Spell DC to escape), and takes any cold iron weakness at the end of its turn if impaled; Crit Fail - as failure but impaled through vital organ, double damage and is flat footed while impaled.</t>
  </si>
  <si>
    <t>A cold iron spike thrusts upwards from the ground, in an attempt to impal, dealing 16d6 piercing damage. Success - struck for half damage; Fail - impaled through leg for full damage and immobilized (Spell DC to escape), and takes any cold iron weakness at the end of its turn if impaled; Crit Fail - as failure but impaled through vital organ, double damage and is flat footed while impaled.</t>
  </si>
  <si>
    <t>A cold iron spike thrusts upwards from the ground, in an attempt to impal, dealing 18d6 piercing damage. Success - struck for half damage; Fail - impaled through leg for full damage and immobilized (Spell DC to escape), and takes any cold iron weakness at the end of its turn if impaled; Crit Fail - as failure but impaled through vital organ, double damage and is flat footed while impaled.</t>
  </si>
  <si>
    <t>Incendiary Fog</t>
  </si>
  <si>
    <t>Flammable black dust, conceals creatures inside of it as well as their ability to see other creatures. If any fire effect is within the spells area the cloud ignites, dealing 10d6 fire damage, ending the spell.</t>
  </si>
  <si>
    <t>Inevitable Disaster</t>
  </si>
  <si>
    <t>A glimpse into the future fortells a chain of events that will visit doom on your enemy in a way you are unsure. The DM secretly rolls 1d4 for how many rounds it will take, after which the target takes 55 damage reguardless of what has happened, even if it is on a different plane. This damage is usually physical from the enviroment, but can be different depending on the terrain.</t>
  </si>
  <si>
    <t>A glimpse into the future fortells a chain of events that will visit doom on your enemy in a way you are unsure. The DM secretly rolls 1d4 for how many rounds it will take, after which the target takes 65 damage reguardless of what has happened, even if it is on a different plane. This damage is usually physical from the enviroment, but can be different depending on the terrain.</t>
  </si>
  <si>
    <t>A glimpse into the future fortells a chain of events that will visit doom on your enemy in a way you are unsure. The DM secretly rolls 1d4 for how many rounds it will take, after which the target takes 75 damage reguardless of what has happened, even if it is on a different plane. This damage is usually physical from the enviroment, but can be different depending on the terrain.</t>
  </si>
  <si>
    <t>A glimpse into the future fortells a chain of events that will visit doom on your enemy in a way you are unsure. The DM secretly rolls 1d4 for how many rounds it will take, after which the target takes 85 damage reguardless of what has happened, even if it is on a different plane. This damage is usually physical from the enviroment, but can be different depending on the terrain.</t>
  </si>
  <si>
    <t>A glimpse into the future fortells a chain of events that will visit doom on your enemy in a way you are unsure. The DM secretly rolls 1d4 for how many rounds it will take, after which the target takes 95 damage reguardless of what has happened, even if it is on a different plane. This damage is usually physical from the enviroment, but can be different depending on the terrain.</t>
  </si>
  <si>
    <t>A glimpse into the future fortells a chain of events that will visit doom on your enemy in a way you are unsure. The DM secretly rolls 1d4 for how many rounds it will take, after which the target takes 105 damage reguardless of what has happened, even if it is on a different plane. This damage is usually physical from the enviroment, but can be different depending on the terrain.</t>
  </si>
  <si>
    <t>Infectious Comedy</t>
  </si>
  <si>
    <t>You tell a magical joke that infects the target with laughter, before spreading. When you sustain the spell each round you can select a new target within 30ft of an affected target; new target doesnt need to see or hear the original target because the laughter spreads magically. Success - giggling and cant use reactions; Fail - slowed 1, no reactions; Crit Fail - falls prone, cant use actions or reactions, after 1 round becomes failure.</t>
  </si>
  <si>
    <t>#185</t>
  </si>
  <si>
    <t>Invoke Spirits</t>
  </si>
  <si>
    <t>The dead rise to stalk the living, dealing  2d4 mental and 2d4 negative damage to living creatures. Critical fail results in frightened 2 and fleeing for 1 round. Each round you sustain you can move the area 30ft within range, though new targets dont flee on critical fail.</t>
  </si>
  <si>
    <t>The dead rise to stalk the living, dealing  3d4 mental and 3d4 negative damage to living creatures. Critical fail results in frightened 2 and fleeing for 1 round. Each round you sustain you can move the area 30ft within range, though new targets dont flee on critical fail.</t>
  </si>
  <si>
    <t>The dead rise to stalk the living, dealing  4d4 mental and 4d4 negative damage to living creatures. Critical fail results in frightened 2 and fleeing for 1 round. Each round you sustain you can move the area 30ft within range, though new targets dont flee on critical fail.</t>
  </si>
  <si>
    <t>Lightning Storm</t>
  </si>
  <si>
    <t>You summon a rumbling storm cloud overhead and call down 1 vertical lightning bolt, dealing 4d12 electricity damage to creatures in the line. Each time you sustain the spell you can call down another lightning bolt. If cast outside 2 clouds appear, though you can only call down one bolt per turn.</t>
  </si>
  <si>
    <t>You summon a rumbling storm cloud overhead and call down 1 vertical lightning bolt, dealing 5d12 electricity damage to creatures in the line. Each time you sustain the spell you can call down another lightning bolt. If cast outside 2 clouds appear, though you can only call down one bolt per turn.</t>
  </si>
  <si>
    <t>You summon a rumbling storm cloud overhead and call down 1 vertical lightning bolt, dealing 6d12 electricity damage to creatures in the line. Each time you sustain the spell you can call down another lightning bolt. If cast outside 2 clouds appear, though you can only call down one bolt per turn.</t>
  </si>
  <si>
    <t>Mantle of the Frozen Heart</t>
  </si>
  <si>
    <t>You surround yourself in a mantle of frigid ice. Pick two options below, and can use an action to swap one: Chilling Ice - resistance 10 to cold; Heart of Ice - melee attackers take 2d6 cold damage; Ice Glide - +20 to land speed, ignoring icy terrain; Icy Claws - climb equal to land speed, unarmed (agile, finesse) that deals 1d6 piercing, and 2d6 cold damage.</t>
  </si>
  <si>
    <t>Mantle of the Magma Heart</t>
  </si>
  <si>
    <t>You surround yourself in a mantle of blazing fire. Pick two options, useing an action you can swap 1: Elarging Eruption - Size Large, clumsy 1, 5ft reach, +2 to melee damage; Fiery Grasp - unarmed attack deals 1d8 bluedgeoning, 2d6 fire, and 1d6 persistant fire damage; Heart of Fire - melee attackers take 2d6 fire damage; Warming Flames - resistance 5 to cold and fire.</t>
  </si>
  <si>
    <t>Mariner's Curse</t>
  </si>
  <si>
    <t>You curse the target to experience the rolling, unforgiving sea. Success - sickened 1, when this ends the curse ends; Fail - sickened 1 until remove curse is used, also slowed 1 while over a mile from land; Crit fail - as failure, but sickened 2.</t>
  </si>
  <si>
    <t>Mind Probe</t>
  </si>
  <si>
    <t>You sift through the target's memories and knowledge. Success - target is unaffected; Fail - each round when you sustain the spell you can ask a question, the target can make a deception check against spell DC to not tell anything on a success, and on a crit save the target lies and the same question can not be asked; Crit fail - as failure, but target has -4 penalty to deception checks.</t>
  </si>
  <si>
    <t>Mirecloak</t>
  </si>
  <si>
    <t>4 creatures</t>
  </si>
  <si>
    <t>A shroud that gives a +1 status bonus to AC and +2 to stealth checks while the targets are in dim light. A creature that attacks a target  makes a will save, taking 2d8 mental damage as the cloak pries at its mind (then become simmune for 24 hours). Success - half damage; Fail - full damage, sickened 1, gains a piece of information determaned by GM; Crit fail - as fail, but double damage and sickened 2.</t>
  </si>
  <si>
    <t>Mirror Malefactors</t>
  </si>
  <si>
    <t>Upto a Large sized creature is surrounding in mirrors as it moves. When you cast the spell and each round you sustain it the target gets a save against the 7d8 mental damage as their reflection attacks them, ending the spell on a success. As long as the spell is up, the target can not reduce its frightened condition below 1. Vampires and other reflection-less creatures are immune.</t>
  </si>
  <si>
    <t>Upto a Large sized creature is surrounding in mirrors as it moves. When you cast the spell and each round you sustain it the target gets a save against the 8d8 mental damage as their reflection attacks them, ending the spell on a success. As long as the spell is up, the target can not reduce its frightened condition below 1. Vampires and other reflection-less creatures are immune.</t>
  </si>
  <si>
    <t>Upto a Large sized creature is surrounding in mirrors as it moves. When you cast the spell and each round you sustain it the target gets a save against the 9d8 mental damage as their reflection attacks them, ending the spell on a success. As long as the spell is up, the target can not reduce its frightened condition below 1. Vampires and other reflection-less creatures are immune.</t>
  </si>
  <si>
    <t>Upto a Large sized creature is surrounding in mirrors as it moves. When you cast the spell and each round you sustain it the target gets a save against the 10d8 mental damage as their reflection attacks them, ending the spell on a success. As long as the spell is up, the target can not reduce its frightened condition below 1. Vampires and other reflection-less creatures are immune.</t>
  </si>
  <si>
    <t>Upto a Large sized creature is surrounding in mirrors as it moves. When you cast the spell and each round you sustain it the target gets a save against the 11d8 mental damage as their reflection attacks them, ending the spell on a success. As long as the spell is up, the target can not reduce its frightened condition below 1. Vampires and other reflection-less creatures are immune.</t>
  </si>
  <si>
    <t>Upto a Large sized creature is surrounding in mirrors as it moves. When you cast the spell and each round you sustain it the target gets a save against the 12d8 mental damage as their reflection attacks them, ending the spell on a success. As long as the spell is up, the target can not reduce its frightened condition below 1. Vampires and other reflection-less creatures are immune.</t>
  </si>
  <si>
    <t>Moon Frenzy</t>
  </si>
  <si>
    <t>Going feral, the targets gain 5 temp HP, +10ft speed, and weakness 5 to silver; Unarmed Fang (2d8 pierc), and Claw (agile, finesse, 2d6 slash) attacks, adding highest weapon proficiency and specalization to attacks and damage (and 1d4 bleed on crit); Target cant use concentrate actions, and can try to end the spell with an action (will save against spell DC); During full moon target grows by 1 size (if medium), increasing reach by 5ft.</t>
  </si>
  <si>
    <t>Going feral, the targets gain 10 temp HP, +10ft speed, and weakness 10 to silver; Unarmed Fang (3d8 pierc), and Claw (agile, finesse, 3d6 slash) attacks, adding highest weapon proficiency and specalization to attacks and damage (and 1d4 bleed on crit); Target cant use concentrate actions, and can try to end the spell with an action (will save against spell DC); During full moon target grows by 1 size (if medium), increasing reach by 5ft.</t>
  </si>
  <si>
    <t>Going feral, the targets gain 20 temp HP, +10ft speed, and weakness 20 to silver; Unarmed Fang (4d8 pierc), and Claw (agile, finesse, 4d6 slash) attacks, adding highest weapon proficiency and specalization to attacks and damage (and 1d4 bleed on crit); Target cant use concentrate actions, and can try to end the spell with an action (will save against spell DC); During full moon target grows by 1 size (if medium), increasing reach by 5ft.</t>
  </si>
  <si>
    <t>Passwall</t>
  </si>
  <si>
    <t>A section of wall</t>
  </si>
  <si>
    <t>You create a 5ft wide, 10ft tall, and 10ft deep tunnel in a wall of wood, plaster, or stone. The tunnel is empty space, and is blocked by any layer or metal. This spell does not reduce the integrety of the structure, and anything inside when the spell ends is shunted to the nearest exit.</t>
  </si>
  <si>
    <t>You create a 5ft wide, 10ft tall, and 20ft deep tunnel in a wall of wood, plaster, or stone. The tunnel is empty space, and is blocked by any layer or metal. This spell does not reduce the integrety of the structure, and anything inside when the spell ends is shunted to the nearest exit. The exit is disguised unless viewed with True Seeing, or creature as a password you set to enter.</t>
  </si>
  <si>
    <t>Pillars of Sand</t>
  </si>
  <si>
    <t>You create 5x5 pillars totalling upto 30ft in height, at 10ft incerments as long as the floor is of natural earth. The pillar is compact and like stone. Any creature in the space a pillar appears gets a reflex save to grab an edge or step off. If the pillar hits a roof, any creature on the pillar takes no damage (unless its enviromental), and becomes immobilized. Each time you sustain the spell you can create or destroy the pilars.</t>
  </si>
  <si>
    <t>You create 5x5 pillars totalling upto 40ft in height, at 10ft incerments as long as the floor is of natural earth. The pillar is compact and like stone. Any creature in the space a pillar appears gets a reflex save to grab an edge or step off. If the pillar hits a roof, any creature on the pillar takes no damage (unless its enviromental), and becomes immobilized. Each time you sustain the spell you can create or destroy the pilars.</t>
  </si>
  <si>
    <t>You create 5x5 pillars totalling upto 50ft in height, at 10ft incerments as long as the floor is of natural earth. The pillar is compact and like stone. Any creature in the space a pillar appears gets a reflex save to grab an edge or step off. If the pillar hits a roof, any creature on the pillar takes no damage (unless its enviromental), and becomes immobilized. Each time you sustain the spell you can create or destroy the pilars.</t>
  </si>
  <si>
    <t>You create 5x5 pillars totalling upto 60ft in height, at 10ft incerments as long as the floor is of natural earth. The pillar is compact and like stone. Any creature in the space a pillar appears gets a reflex save to grab an edge or step off. If the pillar hits a roof, any creature on the pillar takes no damage (unless its enviromental), and becomes immobilized. Each time you sustain the spell you can create or destroy the pilars.</t>
  </si>
  <si>
    <t>You create 5x5 pillars totalling upto 70ft in height, at 10ft incerments as long as the floor is of natural earth. The pillar is compact and like stone. Any creature in the space a pillar appears gets a reflex save to grab an edge or step off. If the pillar hits a roof, any creature on the pillar takes no damage (unless its enviromental), and becomes immobilized. Each time you sustain the spell you can create or destroy the pilars.</t>
  </si>
  <si>
    <t>You create 5x5 pillars totalling upto 80ft in height, at 10ft incerments as long as the floor is of natural earth. The pillar is compact and like stone. Any creature in the space a pillar appears gets a reflex save to grab an edge or step off. If the pillar hits a roof, any creature on the pillar takes no damage (unless its enviromental), and becomes immobilized. Each time you sustain the spell you can create or destroy the pilars.</t>
  </si>
  <si>
    <t>#155</t>
  </si>
  <si>
    <t>Large plant; AC [19+Lv]; 12 temp HP; Resistance 10 poison; Low-light vision; +19 athletics; +17 attack (+11 unarmed damage); Arboreal - 30ft, Branch (15ft, 2d10 bludg), Foot (2d8 blud), can speak, cant cast spells; Flytrap - 15ft, resistance 10 acid, Leaf (10ft, 2d8 pierc, action to grab); Shambler - 20ft (swim), resistance 10 electric, Vine (15ft, 2d8 slash).</t>
  </si>
  <si>
    <t>Huge plant; AC [22+Lv]; 24 temp HP; Resistance 10 poison; Low-light vision; +22 athletics; +21 attack (+16 unarmed damage); Arboreal - 30ft, Branch (20ft, 2d10 bludg), Foot (2d8 blud), can speak, cant cast spells; Flytrap - 15ft, resistance 10 acid, Leaf (15ft, 2d8 pierc, action to grab); Shambler - 20ft (swim), resistance 10 electric, Vine (20ft, 2d8 slash).</t>
  </si>
  <si>
    <t>Portait of the Artist</t>
  </si>
  <si>
    <t>M,V,S</t>
  </si>
  <si>
    <t>Using an illusory disguise you take on both the appearence and skill of the famious person you are impersinating. The work you do is purely illusory and will disapear when the spell ends, but onlookers watching will be amazed for the duration, only disbelieveing with a Perception to appropriate Lore if they actively check. Performances are great in the moment but looking back wont be so. The spell is not long enough to earn income.</t>
  </si>
  <si>
    <t>Prying Eye</t>
  </si>
  <si>
    <t>You create an invisible floating eye within 500ft you can see. Each round you sustain the spell the eye can move 30ft looking forward, or 10ft looking in all directions, even able to be moved out of the initial range. You can seek through the eye, and any damage it takes ends the spell.</t>
  </si>
  <si>
    <t>Quicken Time</t>
  </si>
  <si>
    <t>Speeding up time in the area to form a chaotic mess. Creatures that start their turn in the area are quickened, and can use the extra action to stride or strike. The time distortion is jittery and uneven, so creatures inside the area are concelaled to those outside of it, and vice versa.</t>
  </si>
  <si>
    <t>Ravening Maw</t>
  </si>
  <si>
    <t>Inflicting Zevgavizeb's hunger into the target, you give them the ability to cannibalize the dead. Using 2 actions the target can eat an adjacent dying or dead creature, leaving bones and healing 5d4 or 5d8 HP if the corpse was an ally. If there is a corpse within 30ft of the target that they dont eat, they take 5d4 mental damage.</t>
  </si>
  <si>
    <t>Inflicting Zevgavizeb's hunger into the target, you give them the ability to cannibalize the dead. Using 2 actions the target can eat an adjacent dying or dead creature, leaving bones and healing 6d4 or 6d8 HP if the corpse was an ally. If there is a corpse within 30ft of the target that they dont eat, they take 6d4 mental damage.</t>
  </si>
  <si>
    <t>Inflicting Zevgavizeb's hunger into the target, you give them the ability to cannibalize the dead. Using 2 actions the target can eat an adjacent dying or dead creature, leaving bones and healing 7d4 or 7d8 HP if the corpse was an ally. If there is a corpse within 30ft of the target that they dont eat, they take 7d4 mental damage.</t>
  </si>
  <si>
    <t>Inflicting Zevgavizeb's hunger into the target, you give them the ability to cannibalize the dead. Using 2 actions the target can eat an adjacent dying or dead creature, leaving bones and healing 8d4 or 8d8 HP if the corpse was an ally. If there is a corpse within 30ft of the target that they dont eat, they take 8d4 mental damage.</t>
  </si>
  <si>
    <t>Inflicting Zevgavizeb's hunger into the target, you give them the ability to cannibalize the dead. Using 2 actions the target can eat an adjacent dying or dead creature, leaving bones and healing 9d4 or 9d8 HP if the corpse was an ally. If there is a corpse within 30ft of the target that they dont eat, they take 9d4 mental damage.</t>
  </si>
  <si>
    <t>Inflicting Zevgavizeb's hunger into the target, you give them the ability to cannibalize the dead. Using 2 actions the target can eat an adjacent dying or dead creature, leaving bones and healing 10d4 or 10d8 HP if the corpse was an ally. If there is a corpse within 30ft of the target that they dont eat, they take 10d4 mental damage.</t>
  </si>
  <si>
    <t>#153</t>
  </si>
  <si>
    <t>Repelling Pulse</t>
  </si>
  <si>
    <t>A pulse of telekinetic power sends all creatures in the area flying, taking 7d10 force damage. Success - half damage; Fail - full damage, pushed 10ft away; Crit Fail - double damage, pushed 20ft away, and knocked prone.</t>
  </si>
  <si>
    <t>A pulse of telekinetic power sends all creatures in the area flying, taking 9d10 force damage. Success - half damage; Fail - full damage, pushed 15ft away; Crit Fail - double damage, pushed 25ft away, and knocked prone.</t>
  </si>
  <si>
    <t>A pulse of telekinetic power sends all creatures in the area flying, taking 11d10 force damage. Success - half damage; Fail - full damage, pushed 20ft away; Crit Fail - double damage, pushed 30ft away, and knocked prone.</t>
  </si>
  <si>
    <t>Return Beacon</t>
  </si>
  <si>
    <t>You create an invisible planar beacon that can only be seen with detect magic, where it is a 10ft wide sky beam. As long as you are within 1 mile you can complete a 1 minute activity to teleport back to the beacon with your items, though you can not bring anyone else. Casting this spell again ends the previous beacon.</t>
  </si>
  <si>
    <t>You create an invisible planar beacon that lasts 8 hours and can only be seen with detect magic, where it is a 10ft wide sky beam. As long as you are within 100 miles you can complete a 1 minute activity to teleport back to the beacon with your items, though you can not bring anyone else. Casting this spell again ends the previous beacon.</t>
  </si>
  <si>
    <t>You create an invisible planar beacon that lasts 24 hours and can only be seen with detect magic, where it is a 10ft wide sky beam. As long as you are within 1000 miles you can complete a 1 minute activity to teleport back to the beacon with your items, and 1 willing creature. Casting this spell again ends the previous beacon.</t>
  </si>
  <si>
    <t>You create an invisible planar beacon that lasts 1 week and can only be seen with detect magic, where it is a 10ft wide sky beam. As long as you are on the same plane you can complete a 1 minute activity to teleport back to the beacon with your items, and 4 willing creature. Casting this spell again ends the previous beacon.</t>
  </si>
  <si>
    <t>You create an invisible planar beacon that lasts forever and can only be seen with detect magic, where it is a 10ft wide sky beam. From any plane you can complete a 1 minute activity to teleport back to the beacon with your items, and 8 willing creature. Casting this spell again ends the previous beacon.</t>
  </si>
  <si>
    <t>#166</t>
  </si>
  <si>
    <t>Rewinding Step</t>
  </si>
  <si>
    <t>Anchoring your location in time so you can swiftly return. As long as you are within 500ft, you can spend a single action to instantly teleport back to the location you cast your anchor with your items, ending the spell. If your achor location is occupied or you bring another creature with you, the spell fails, then ends.</t>
  </si>
  <si>
    <t>Anchoring your location in time so you can swiftly return. As long as you are within 1,000ft, you can spend a single action to instantly teleport back to the location you cast your anchor with your items, ending the spell. If your achor location is occupied or you bring another creature with you, the spell fails, then ends.</t>
  </si>
  <si>
    <t>Anchoring your location in time so you can swiftly return. As long as you are within 1 mile, you can spend a single action to instantly teleport back to the location you cast your anchor with your items, ending the spell. If your achor location is occupied or you bring another creature with you, the spell fails, then ends.</t>
  </si>
  <si>
    <t>Rip the Spirit</t>
  </si>
  <si>
    <t>You supernaturally rip the spirit from a living body, dealing 5d6 negative damage, and the target becomes drained 1 on a fail. Using 1 action you can target 1 creature. Using 2 actions you target 1 creature and deal 10d6 negative. Using 3 actions you target all living creatures in range.</t>
  </si>
  <si>
    <t>You supernaturally rip the spirit from a living body, dealing 6d6 negative damage, and the target becomes drained 1 on a fail. Using 1 action you can target 1 creature. Using 2 actions you target 1 creature and deal 12d6 negative. Using 3 actions you target all living creatures in range.</t>
  </si>
  <si>
    <t>You supernaturally rip the spirit from a living body, dealing 7d6 negative damage, and the target becomes drained 1 on a fail. Using 1 action you can target 1 creature. Using 2 actions you target 1 creature and deal 14d6 negative. Using 3 actions you target all living creatures in range.</t>
  </si>
  <si>
    <t>You supernaturally rip the spirit from a living body, dealing 8d6 negative damage, and the target becomes drained 1 on a fail. Using 1 action you can target 1 creature. Using 2 actions you target 1 creature and deal 16d6 negative. Using 3 actions you target all living creatures in range.</t>
  </si>
  <si>
    <t>You supernaturally rip the spirit from a living body, dealing 9d6 negative damage, and the target becomes drained 1 on a fail. Using 1 action you can target 1 creature. Using 2 actions you target 1 creature and deal 18d6 negative. Using 3 actions you target all living creatures in range.</t>
  </si>
  <si>
    <t>You supernaturally rip the spirit from a living body, dealing 10d6 negative damage, and the target becomes drained 1 on a fail. Using 1 action you can target 1 creature. Using 2 actions you target 1 creature and deal 20d6 negative. Using 3 actions you target all living creatures in range.</t>
  </si>
  <si>
    <t>Ritual Obstruction</t>
  </si>
  <si>
    <t>Establishing a zone of magical feedback, you make rituals impossible to succeed of this spell's level or lower. Any creature attempting to cast a ritual instantly knows the area is cursed. Any ritual cast in the area cant have a final result better then failure.</t>
  </si>
  <si>
    <t>Scouring Pulse</t>
  </si>
  <si>
    <t>A beam of light 60ft tall, deals 6d8 positive damage. Creatures that fail the save take 1d8 persistant positive damage, and begin glowing a 5ft radious of bright light as long as they are taking persistant damage; preventing them from being concealed; invisible creatures are concealed instead of undetected.</t>
  </si>
  <si>
    <t>A beam of light 60ft tall, deals 9d8 positive damage. Creatures that fail the save take 2d8 persistant positive damage, and begin glowing a 5ft radious of bright light as long as they are taking persistant damage plus 1d4 rounds after the damage ends; preventing them from being concealed; invisible creatures are concealed instead of undetected.</t>
  </si>
  <si>
    <t>Secret Chest</t>
  </si>
  <si>
    <t>You banish a container and its contents of upto 10 bulk to the ethereal plan you retrieve later. When you dismiss the spell the container and its contents return to you; If the spell is ended by any other means, the container is lost on the Ethereal plane. Time passes for the container on the eathereal plan, and while unlikely a creature may stumble upon it.</t>
  </si>
  <si>
    <t>Sending</t>
  </si>
  <si>
    <t>You send a creature you are familiar with a mental message of upto 25 words, afterwhich the target may respond immediately with its own message of upto 25 words.</t>
  </si>
  <si>
    <t>Shadow Blast</t>
  </si>
  <si>
    <t>Shaping Shadow Plane to your choice, you deal 5d8 damage, picking between: acid, bludgeoning, cold, electricity, fire, force, piercing, slashing, or sonic. The area you affect is also your choice: 30ft cone, 15ft burst within 120ft, or a 50ft line. Targets in the area can make their choice between a basic Reflex or Will save.</t>
  </si>
  <si>
    <t>Shaping Shadow Plane to your choice, you deal 6d8 damage, picking between: acid, bludgeoning, cold, electricity, fire, force, piercing, slashing, or sonic. The area you affect is also your choice: 30ft cone, 15ft burst within 120ft, or a 50ft line. Targets in the area can make their choice between a basic Reflex or Will save.</t>
  </si>
  <si>
    <t>Shaping Shadow Plane to your choice, you deal 7d8 damage, picking between: acid, bludgeoning, cold, electricity, fire, force, piercing, slashing, or sonic. The area you affect is also your choice: 30ft cone, 15ft burst within 120ft, or a 50ft line. Targets in the area can make their choice between a basic Reflex or Will save.</t>
  </si>
  <si>
    <t>Shaping Shadow Plane to your choice, you deal 8d8 damage, picking between: acid, bludgeoning, cold, electricity, fire, force, piercing, slashing, or sonic. The area you affect is also your choice: 30ft cone, 15ft burst within 120ft, or a 50ft line. Targets in the area can make their choice between a basic Reflex or Will save.</t>
  </si>
  <si>
    <t>Shaping Shadow Plane to your choice, you deal 9d8 damage, picking between: acid, bludgeoning, cold, electricity, fire, force, piercing, slashing, or sonic. The area you affect is also your choice: 30ft cone, 15ft burst within 120ft, or a 50ft line. Targets in the area can make their choice between a basic Reflex or Will save.</t>
  </si>
  <si>
    <t>Shaping Shadow Plane to your choice, you deal 10d8 damage, picking between: acid, bludgeoning, cold, electricity, fire, force, piercing, slashing, or sonic. The area you affect is also your choice: 30ft cone, 15ft burst within 120ft, or a 50ft line. Targets in the area can make their choice between a basic Reflex or Will save.</t>
  </si>
  <si>
    <t>Shadow Siphon</t>
  </si>
  <si>
    <t>When a spell or magical effect deals damage, you attempt to turn part of it into the illusions of the Shadow Plane. Attempt to counteract the spell, treating Shadow's Siphon has 2 levels higher for the purpose of counteract; On a any creature that would be damaged from the triggering spell only takes half damage.</t>
  </si>
  <si>
    <t>Shadow Walk</t>
  </si>
  <si>
    <t>9 willing creatures</t>
  </si>
  <si>
    <t>Accessing the edge of the shadow plane, you and all targets have your travel speed hastened. Every 3 minutes traveling in this way is equal to 1 hour worth of travel on the material plane. You can not see the material, and random encounters are determined by denizens of the shadow plane. When the spell ends, or is dismissed, reality bends and the group end up within 1 mile of the target location.</t>
  </si>
  <si>
    <t>Soulshelter Vessel</t>
  </si>
  <si>
    <t>You connect the target's spirit with a non-magical stone object of upto 2 bulk. The object has a pool of healing within, of 40hp per bulk. When you cast this spell 10hp of that is transfered to the target, and as a single action you can transfer another 10hp into the target. When the pool is empty, the object breaks. If the creature is reduced to 0hp it regains upto 20hp from the pool, afterwhich the spell ends.</t>
  </si>
  <si>
    <t>You connect the target's spirit with a non-magical stone object of upto 3 bulk. The object has a pool of healing within, of 40hp per bulk. When you cast this spell 15hp of that is transfered to the target, and as a single action you can transfer another 15hp into the target. When the pool is empty, the object breaks. If the creature is reduced to 0hp it regains upto 30hp from the pool, afterwhich the spell ends.</t>
  </si>
  <si>
    <t>You connect the target's spirit with a non-magical stone object of upto 4 bulk. The object has a pool of healing within, of 40hp per bulk. When you cast this spell 20hp of that is transfered to the target, and as a single action you can transfer another 20hp into the target. When the pool is empty, the object breaks. If the creature is reduced to 0hp it regains upto 40hp from the pool, afterwhich the spell ends.</t>
  </si>
  <si>
    <t>Spiritual Guardian</t>
  </si>
  <si>
    <t>Medium translucent guardian wielding diety's weapon. When casting the spell and sustaining the guardian strikes a target within range, dealing 2d8 [+spellcasting ability mod] force or weapon damage (MAP, and is a weapon). Alternatively instead of Strike it can protect an ally, reducing any damage they take by 10, until it takes 50 damage. Disintigrate auto kills guardian if it his AC 25. Guardian can flank, and is not affected by feats or spells.</t>
  </si>
  <si>
    <t>Medium translucent guardian wielding diety's weapon. When casting the spell and sustaining the guardian strikes a target within range, dealing 3d8 [+spellcasting ability mod] force or weapon damage (MAP, and is a weapon). Alternatively instead of Strike it can protect an ally, reducing any damage they take by 10, until it takes 70 damage. Disintigrate auto kills guardian if it his AC 25. Guardian can flank, and is not affected by feats or spells.</t>
  </si>
  <si>
    <t>Medium translucent guardian wielding diety's weapon. When casting the spell and sustaining the guardian strikes a target within range, dealing 4d8 [+spellcasting ability mod] force or weapon damage (MAP, and is a weapon). Alternatively instead of Strike it can protect an ally, reducing any damage they take by 10, until it takes 90 damage. Disintigrate auto kills guardian if it his AC 25. Guardian can flank, and is not affected by feats or spells.</t>
  </si>
  <si>
    <t>Stagnate Time</t>
  </si>
  <si>
    <t>Examining the flow of time, and then "metaphorically" stabbing it, you disrupt and slow the flow of time until its like molasses. Any creature starting its turn in the area must attempt a Will save: Success - unaffected; Fail - slowed 1 this turn; Crit Fail - Slowed 2 this turn.</t>
  </si>
  <si>
    <t>Stormburst</t>
  </si>
  <si>
    <t>With a thundering voice you create a localized storm, dealing 6d6 electricity damage. Success - half damage; Fail - full damage, knocked prone; Crit Fail - double damage, knocked prone, stunned 1.</t>
  </si>
  <si>
    <t>With a thundering voice you create a localized storm, dealing 8d6 electricity damage. Success - half damage; Fail - full damage, knocked prone; Crit Fail - double damage, knocked prone, stunned 2.</t>
  </si>
  <si>
    <t>With a thundering voice you create a localized storm, dealing 10d6 electricity damage. Success - half damage; Fail - full damage, knocked prone; Crit Fail - double damage, knocked prone, stunned 3.</t>
  </si>
  <si>
    <t>Strange Geometry</t>
  </si>
  <si>
    <t>4 10ft cubes</t>
  </si>
  <si>
    <t>The area inside the cubes bends, swell, break, and twist. Each cube can not be adjacent, and any creature in a cube when you cast the spell or enter it later must make a save. Interacting also allows for another save. Success - disbelieve the illusion; Fail - difficult terrain (including flying creatures), any creature leaving a cube teleports to a random side determined by DM.</t>
  </si>
  <si>
    <t>Subconscious Suggestion</t>
  </si>
  <si>
    <t>You plant a subconcious suggestion deep in the target's mind and set a trigger. The suggestion can not be harmful or illogical. Crit Success - unaffected, aware you tried to control it; Success - unaffected, unaware; Fail - lasts until daily prep, when triggered target follows a 1 minute suggestion; Crit Fail - as failure, but suggestion lasts 1 hour.</t>
  </si>
  <si>
    <t>You plant a subconcious suggestion deep in upto 10 targets mind and set a trigger. The suggestion can not be harmful or illogical. Crit Success - unaffected, aware you tried to control it; Success - unaffected, unaware; Fail - lasts until daily prep, when triggered target follows a 1 minute suggestion; Crit Fail - as failure, but suggestion lasts 1 hour.</t>
  </si>
  <si>
    <t>Summon Anarch</t>
  </si>
  <si>
    <t>You conjure a common, chaotic celestial, monitor, or fiend upto level 5 to fight for you. The summoned creatures alignment must match your diety. The diety may restrict specific creatures at the GM's discretion.</t>
  </si>
  <si>
    <t>You conjure a common, chaotic celestial, monitor, or fiend upto level 7 to fight for you. The summoned creatures alignment must match your diety. The diety may restrict specific creatures at the GM's discretion.</t>
  </si>
  <si>
    <t>You conjure a common, chaotic celestial, monitor, or fiend upto level 9 to fight for you. The summoned creatures alignment must match your diety. The diety may restrict specific creatures at the GM's discretion.</t>
  </si>
  <si>
    <t>You conjure a common, chaotic celestial, monitor, or fiend upto level 11 to fight for you. The summoned creatures alignment must match your diety. The diety may restrict specific creatures at the GM's discretion.</t>
  </si>
  <si>
    <t>You conjure a common, chaotic celestial, monitor, or fiend upto level 13 to fight for you. The summoned creatures alignment must match your diety. The diety may restrict specific creatures at the GM's discretion.</t>
  </si>
  <si>
    <t>You conjure a common, chaotic celestial, monitor, or fiend upto level 15 to fight for you. The summoned creatures alignment must match your diety. The diety may restrict specific creatures at the GM's discretion.</t>
  </si>
  <si>
    <t>Summon Axiom</t>
  </si>
  <si>
    <t>You conjure a common, lawful celestial, monitor, or fiend upto level 5 to fight for you. The summoned creatures alignment must match your diety. The diety may restrict specific creatures at the GM's discretion.</t>
  </si>
  <si>
    <t>You conjure a common, lawful celestial, monitor, or fiend upto level 7 to fight for you. The summoned creatures alignment must match your diety. The diety may restrict specific creatures at the GM's discretion.</t>
  </si>
  <si>
    <t>You conjure a common, lawful celestial, monitor, or fiend upto level 9 to fight for you. The summoned creatures alignment must match your diety. The diety may restrict specific creatures at the GM's discretion.</t>
  </si>
  <si>
    <t>You conjure a common, lawful celestial, monitor, or fiend upto level 11 to fight for you. The summoned creatures alignment must match your diety. The diety may restrict specific creatures at the GM's discretion.</t>
  </si>
  <si>
    <t>You conjure a common, lawful celestial, monitor, or fiend upto level 13 to fight for you. The summoned creatures alignment must match your diety. The diety may restrict specific creatures at the GM's discretion.</t>
  </si>
  <si>
    <t>You conjure a common, lawful celestial, monitor, or fiend upto level 15 to fight for you. The summoned creatures alignment must match your diety. The diety may restrict specific creatures at the GM's discretion.</t>
  </si>
  <si>
    <t>Summon Celestial</t>
  </si>
  <si>
    <t>You conjure a common celestial of upto level 5 to fight on your behalf. The summoned creature's alignment must match your diety's (or is within one step of your alignment). The diety may restrict choices further.</t>
  </si>
  <si>
    <t>You conjure a common celestial of upto level 7 to fight on your behalf. The summoned creature's alignment must match your diety's (or is within one step of your alignment). The diety may restrict choices further.</t>
  </si>
  <si>
    <t>You conjure a common celestial of upto level 9 to fight on your behalf. The summoned creature's alignment must match your diety's (or is within one step of your alignment). The diety may restrict choices further.</t>
  </si>
  <si>
    <t>You conjure a common celestial of upto level 11 to fight on your behalf. The summoned creature's alignment must match your diety's (or is within one step of your alignment). The diety may restrict choices further.</t>
  </si>
  <si>
    <t>You conjure a common celestial of upto level 13 to fight on your behalf. The summoned creature's alignment must match your diety's (or is within one step of your alignment). The diety may restrict choices further.</t>
  </si>
  <si>
    <t>You conjure a common celestial of upto level 15 to fight on your behalf. The summoned creature's alignment must match your diety's (or is within one step of your alignment). The diety may restrict choices further.</t>
  </si>
  <si>
    <t>Summon Dragon</t>
  </si>
  <si>
    <t>You conjure a common creature with the dragon trait of upto level 5 to fight on your behalf.</t>
  </si>
  <si>
    <t>You conjure a common creature with the dragon trait of upto level 7 to fight on your behalf.</t>
  </si>
  <si>
    <t>You conjure a common creature with the dragon trait of upto level 9 to fight on your behalf.</t>
  </si>
  <si>
    <t>You conjure a common creature with the dragon trait of upto level 11 to fight on your behalf.</t>
  </si>
  <si>
    <t>You conjure a common creature with the dragon trait of upto level 13 to fight on your behalf.</t>
  </si>
  <si>
    <t>You conjure a common creature with the dragon trait of upto level 15 to fight on your behalf.</t>
  </si>
  <si>
    <t>Summon Entity</t>
  </si>
  <si>
    <t>You conjure a common creature with the aberration trait of upto level 5 to fight on your behalf.</t>
  </si>
  <si>
    <t>You conjure a common creature with the aberration trait of upto level 7 to fight on your behalf.</t>
  </si>
  <si>
    <t>You conjure a common creature with the aberration trait of upto level 9 to fight on your behalf.</t>
  </si>
  <si>
    <t>You conjure a common creature with the aberration trait of upto level 11 to fight on your behalf.</t>
  </si>
  <si>
    <t>You conjure a common creature with the aberration trait of upto level 13 to fight on your behalf.</t>
  </si>
  <si>
    <t>You conjure a common creature with the aberration trait of upto level 15 to fight on your behalf.</t>
  </si>
  <si>
    <t>Summon Fiend</t>
  </si>
  <si>
    <t>You conjure a common fiend of upto level 5 to fight on your behalf. The summoned creature's alignment must match your diety's (or is within one step of your alignment). The diety may restrict choices further.</t>
  </si>
  <si>
    <t>You conjure a common fiend of upto level 7 to fight on your behalf. The summoned creature's alignment must match your diety's (or is within one step of your alignment). The diety may restrict choices further.</t>
  </si>
  <si>
    <t>You conjure a common fiend of upto level 9 to fight on your behalf. The summoned creature's alignment must match your diety's (or is within one step of your alignment). The diety may restrict choices further.</t>
  </si>
  <si>
    <t>You conjure a common fiend of upto level 11 to fight on your behalf. The summoned creature's alignment must match your diety's (or is within one step of your alignment). The diety may restrict choices further.</t>
  </si>
  <si>
    <t>You conjure a common fiend of upto level 13 to fight on your behalf. The summoned creature's alignment must match your diety's (or is within one step of your alignment). The diety may restrict choices further.</t>
  </si>
  <si>
    <t>You conjure a common fiend of upto level 15 to fight on your behalf. The summoned creature's alignment must match your diety's (or is within one step of your alignment). The diety may restrict choices further.</t>
  </si>
  <si>
    <t>Summon Giant</t>
  </si>
  <si>
    <t>You conjure a common creature with the giant trait of upto level 5 to fight on your behalf.</t>
  </si>
  <si>
    <t>You conjure a common creature with the giant trait of upto level 7 to fight on your behalf.</t>
  </si>
  <si>
    <t>You conjure a common creature with the giant trait of upto level 9 to fight on your behalf.</t>
  </si>
  <si>
    <t>You conjure a common creature with the giant trait of upto level 11 to fight on your behalf.</t>
  </si>
  <si>
    <t>You conjure a common creature with the giant trait of upto level 13 to fight on your behalf.</t>
  </si>
  <si>
    <t>You conjure a common creature with the giant trait of upto level 15 to fight on your behalf.</t>
  </si>
  <si>
    <t>Summon Healer Servitor</t>
  </si>
  <si>
    <t>Calling forth a Huge servitor of raw positive energy to bolster your allies. The servitor has 60ft speed. On arrival, all allies within 20ft of the Servitor gain 20 temp HP until the Servitor departs. On departure, the Servitor emanations 30ft of positive energy, healing all willing creaturs 3d8 hp, and dealing that damage to undead (basic Fortitude save).</t>
  </si>
  <si>
    <t>Calling forth a Huge servitor of raw positive energy to bolster your allies. The servitor has 60ft speed. On arrival, all allies within 20ft of the Servitor gain 28 temp HP until the Servitor departs. On departure, the Servitor emanations 30ft of positive energy, healing all willing creaturs 4d8 hp, and dealing that damage to undead (basic Fortitude save).</t>
  </si>
  <si>
    <t>Calling forth a Huge servitor of raw positive energy to bolster your allies. The servitor has 60ft speed. On arrival, all allies within 20ft of the Servitor gain 36 temp HP until the Servitor departs. On departure, the Servitor emanations 30ft of positive energy, healing all willing creaturs 5d8 hp, and dealing that damage to undead (basic Fortitude save).</t>
  </si>
  <si>
    <t>Impossible Lands</t>
  </si>
  <si>
    <t>Synaptic Pulse</t>
  </si>
  <si>
    <t>You emit a pulsating mental blast, penetrating the minds of all enemies in the area. Success - creature is stunned 1; Fail - stunned 2; Crit Fail - stunned for 1 round</t>
  </si>
  <si>
    <t>Synesthesia</t>
  </si>
  <si>
    <t>By rewiring the target's brain, sound becomes color, smells become sound, and so on. This has the following effects: DC 5 flat check each time it uses a concentration action or the action is wasted; All creatures and objects are concealed; Clumsy 3, and -10ft status penalty. Successful save - affected for 1 round; Fail - affected for 1 min; Crit Fail - as failure, stunned 2.</t>
  </si>
  <si>
    <t>By rewiring the brain of 5 targets, sound becomes color, smells become sound, and so on. This has the following effects: DC 5 flat check each time it uses a concentration action or the action is wasted; All creatures and objects are concealed; Clumsy 3, and -10ft status penalty. Successful save - affected for 1 round; Fail - affected for 1 min; Crit Fail - as failure, stunned 2.</t>
  </si>
  <si>
    <t>Telekinetic Haul</t>
  </si>
  <si>
    <t>You move one unattended object of upto 80 bulk (thats no longer then 20ft on any side). When you cast the spell and each time you sustain the spell the target moves 20ft, potentially suspending it midair. You can switch targets if desired.</t>
  </si>
  <si>
    <t>Telepathic Bond</t>
  </si>
  <si>
    <t>4 willing targets</t>
  </si>
  <si>
    <t>You and the targets can communicate telepathically with any or all other targets as long as you are on the same planet.</t>
  </si>
  <si>
    <t>Temporary Glyph</t>
  </si>
  <si>
    <t>You bind a hostile spell into the symbol. When casting this spell, cast a lower level spell, with the requirements: take upto 2 actions; have a hostile effect; and target at least one creature. A creature that steps in the square of the glyph triggers it, causing the spell to target them. You can set a password or trigger to not set of the glyph. Magical trap using spell DC to hide.</t>
  </si>
  <si>
    <t>Tongues</t>
  </si>
  <si>
    <t>Target understands and speaks all words, reguardless of language knowledge. When in a group the target chooses one creature and speaks in a language it knows, even if it doesnt know that language.</t>
  </si>
  <si>
    <t>Target understands and speaks all words, reguardless of language knowledge for the next 8 hours. When in a group the target chooses one creature and speaks in a language it knows, even if it doesnt know that language.</t>
  </si>
  <si>
    <t>Transmute Rock and Mud</t>
  </si>
  <si>
    <t>2 adjacent 10ft cubes</t>
  </si>
  <si>
    <t>Choose one to fill 2 cubes. Mud to Rock: mud into unworked stone; Success - prone; Fail - grabbed for 1 round, can escape; Crit Fail - restrained for 1 round, can escape. Rock to Mud: unworked stone to mud, turning floor into difficult terrain, or greater difficult terrain if its at least 3ft deep. Must swim if cant reach bottom (DC 10 athletics). If cast on cieling, mud falls dealing 8d6 bludgeoning damage (basic Reflex), creates 10ft radius difficult terrain.</t>
  </si>
  <si>
    <t>Choose one to fill 3 cubes. Mud to Rock: mud into unworked stone; Success - prone; Fail - grabbed for 1 round, can escape; Crit Fail - restrained for 1 round, can escape. Rock to Mud: unworked stone to mud, turning floor into difficult terrain, or greater difficult terrain if its at least 3ft deep. Must swim if cant reach bottom (DC 10 athletics). If cast on cieling, mud falls dealing 8d6 bludgeoning damage (basic Reflex), creates 10ft radius difficult terrain.</t>
  </si>
  <si>
    <t>Choose one to fill 4 cubes. Mud to Rock: mud into unworked stone; Success - prone; Fail - grabbed for 1 round, can escape; Crit Fail - restrained for 1 round, can escape. Rock to Mud: unworked stone to mud, turning floor into difficult terrain, or greater difficult terrain if its at least 3ft deep. Must swim if cant reach bottom (DC 10 athletics). If cast on cieling, mud falls dealing 8d6 bludgeoning damage (basic Reflex), creates 10ft radius difficult terrain.</t>
  </si>
  <si>
    <t>Tree Stride</t>
  </si>
  <si>
    <t>You step into a living tree with a trunk big enough for you to fit inside of, and instantly teleport to any tree of the same species within 5 miles that has a sufficiently large trunk. Upon entering the first tree you know the rough locations of all other potential trees. You can not carry extradimensiona spaces with you.</t>
  </si>
  <si>
    <t>You step into a living tree with a trunk big enough for you to fit inside of, and instantly teleport to any tree of the same species within 50 miles that has a sufficiently large trunk. Upon entering the first tree you know the rough locations of all other potential trees. You can not carry extradimensiona spaces with you.</t>
  </si>
  <si>
    <t>You step into a living tree with a trunk big enough for you to fit inside of, and instantly teleport to any tree of the same species within 500 miles that has a sufficiently large trunk. Upon entering the first tree you know the rough locations of all other potential trees. You can not carry extradimensiona spaces with you.</t>
  </si>
  <si>
    <t>You step into a living tree with a trunk big enough for you to fit inside of, and instantly teleport to any tree of the same species on the same planet that has a sufficiently large trunk. Upon entering the first tree you know the rough locations of all other potential trees. You can not carry extradimensiona spaces with you.</t>
  </si>
  <si>
    <t>Wall of Flesh</t>
  </si>
  <si>
    <t>Upto a 20ft tall, 30ft long straight line of flesh, 3ft thick. AC 10, 75 HP, can heal. Can not pass through creatures. Forms: Arms - creature ending its turn within 5ft make a reflex save, Fail - grabbed for 1 round, until escape, Crit Fail - restrained for 1 round, until escape; Eyes - +2 perception, can see through eyes; Mouths - Strike (spell attack) any creature ending turn within 5ft, dealing 1d6 [+spell ability mod] piercing damage. Can drink potions.</t>
  </si>
  <si>
    <t>Wall of Ice</t>
  </si>
  <si>
    <t>Upto 60ft long wall of ice, 10ft tall, and 1ft thick, blocking line of sight. The wall does not have to be vertical if its anchored at 2 points. Alternativly the 'wall' can be a 10ft radius hemipshere of ice. Each 10ft by 10ft section has an AC of 10, Hardness of 10, and 40hp (immune to critical hits, precision damage, and cold, weakness 15 to fire). Any section of the wall not destroyed by fire deals 2d6 cold damage to creatures passing through.</t>
  </si>
  <si>
    <t>Upto 60ft long wall of ice, 10ft tall, and 1ft thick, blocking line of sight. The wall does not have to be vertical if its anchored at 2 points. Alternativly the 'wall' can be a 10ft radius hemipshere of ice. Each 10ft by 10ft section has an AC of 10, Hardness of 10, and 50hp (immune to critical hits, precision damage, and cold, weakness 15 to fire). Any section of the wall not destroyed by fire deals 3d6 cold damage to creatures passing through.</t>
  </si>
  <si>
    <t>Upto 60ft long wall of ice, 10ft tall, and 1ft thick, blocking line of sight. The wall does not have to be vertical if its anchored at 2 points. Alternativly the 'wall' can be a 10ft radius hemipshere of ice. Each 10ft by 10ft section has an AC of 10, Hardness of 10, and 60hp (immune to critical hits, precision damage, and cold, weakness 15 to fire). Any section of the wall not destroyed by fire deals 4d6 cold damage to creatures passing through.</t>
  </si>
  <si>
    <t>Wall of Stone</t>
  </si>
  <si>
    <t>A wall of stone 1inch thick, upto 120ft long and 20ft high. The wall is placed on the spaces between squares, and must be unbroken. The wall does not need to remain on the ground (so can become stairs for example). Each 5ft section of wall has an AC of 10, Hardness 14, and 50hp (immune to crits and precision damage). Destroyed sections of wall become difficult terrain.</t>
  </si>
  <si>
    <t>A wall of stone 1inch thick, upto 120ft long and 20ft high. The wall is placed on the spaces between squares, and must be unbroken. The wall does not need to remain on the ground (so can become stairs for example). Each 5ft section of wall has an AC of 10, Hardness 14, and 65hp (immune to crits and precision damage). Destroyed sections of wall become difficult terrain.</t>
  </si>
  <si>
    <t>A wall of stone 1inch thick, upto 120ft long and 20ft high. The wall is placed on the spaces between squares, and must be unbroken. The wall does not need to remain on the ground (so can become stairs for example). Each 5ft section of wall has an AC of 10, Hardness 14, and 80hp (immune to crits and precision damage). Destroyed sections of wall become difficult terrain.</t>
  </si>
  <si>
    <t>Wyvern Sting</t>
  </si>
  <si>
    <t>Duplicating the venomous sting of a wyvern, you deal 3d4 piercing damage. A creature that takes piercing damage is affected by the venom; Success - 5d6 poison; Fail - stage 1; Crit Fail - Stage 2; Wyvern Venom (lv 9, 6 rounds); Stage 1 - 5d6 poison (1 round); Stage 2 - 6d6 poison (1 round); Stage 3 - 8d6 poison (1 round).</t>
  </si>
  <si>
    <t>Aura of the Unremarkable</t>
  </si>
  <si>
    <t>You and your allies in the area become innocuous to others, reguardless of your actions. Taking a hostile action against a creature ends the spell for that creature. Crit Success - sees through, and announces it, giving all others a +1 to their save. Success - Sees your actions as they are; Fail - believes your actions are completely normal; Crit Fail - believes you are actually performing helpful actions, incapable of remembering even if asked later.</t>
  </si>
  <si>
    <t>Awaken Entropy</t>
  </si>
  <si>
    <t>All things age and die in the endless march to the heat death of the universe, you just accelerate that. Any creature that enters or begins its turn in the area take 8d6 negative damage, or force damage (if construct or undead). Even immortals such as fiends can age this way. Each round you sustain, the zone grows larger and stronger, increasing damage die one step (d6 &gt; d8 &gt; d10 &gt; d12), and area increases by 10ft (to max of 40ft)</t>
  </si>
  <si>
    <t>All things age and die in the endless march to the heat death of the universe, you just accelerate that. Any creature that enters or begins its turn in the area take 9d6 negative damage, or force damage (if construct or undead). Even immortals such as fiends can age this way. Each round you sustain, the zone grows larger and stronger, increasing damage die one step (d6 &gt; d8 &gt; d10 &gt; d12), and area increases by 10ft (to max of 40ft)</t>
  </si>
  <si>
    <t>All things age and die in the endless march to the heat death of the universe, you just accelerate that. Any creature that enters or begins its turn in the area take 10d6 negative damage, or force damage (if construct or undead). Even immortals such as fiends can age this way. Each round you sustain, the zone grows larger and stronger, increasing damage die one step (d6 &gt; d8 &gt; d10 &gt; d12), and area increases by 10ft (to max of 40ft)</t>
  </si>
  <si>
    <t>All things age and die in the endless march to the heat death of the universe, you just accelerate that. Any creature that enters or begins its turn in the area take 11d6 negative damage, or force damage (if construct or undead). Even immortals such as fiends can age this way. Each round you sustain, the zone grows larger and stronger, increasing damage die one step (d6 &gt; d8 &gt; d10 &gt; d12), and area increases by 10ft (to max of 40ft)</t>
  </si>
  <si>
    <t>All things age and die in the endless march to the heat death of the universe, you just accelerate that. Any creature that enters or begins its turn in the area take 12d6 negative damage, or force damage (if construct or undead). Even immortals such as fiends can age this way. Each round you sustain, the zone grows larger and stronger, increasing damage die one step (d6 &gt; d8 &gt; d10 &gt; d12), and area increases by 10ft (to max of 40ft)</t>
  </si>
  <si>
    <t>Baleful Polymorph</t>
  </si>
  <si>
    <t>Transform the creature into a harmless animal appropriate to the area. Success - sickened 1 as it partly transforms, gaining harmless animal features, lasts as long as sickened; Failure - Keeping its mind, the target tranforms completely for 1 min, or until it spends 3 actions concentrating on its original form and makes a will save to revert; Crit Fail - targets body and mind is transformed into a harmless animal forever.</t>
  </si>
  <si>
    <t>Blade Barrier</t>
  </si>
  <si>
    <t>A wall made of swirling, force blades appear, it is upto 20ft high, 120ft long, and 2inch thick. Any creature in the area when the spell is cast, that ends its turn in the area, or passes through take 7d8 force damage. On a success target can choose what side of the wall it gets pushed to; on a crit fail targets moving through the wall end their movement at the wall.</t>
  </si>
  <si>
    <t>A wall made of swirling, force blades appear, it is upto 20ft high, 120ft long, and 2 inches thick. Any creature in the area when the spell is cast, that ends its turn in the area, or passes through take 8d8 force damage. On a success target can choose what side of the wall it gets pushed to; on a crit fail targets moving through the wall end their movement at the wall.</t>
  </si>
  <si>
    <t>A wall made of swirling, force blades appear, it is upto 20ft high, 120ft long, and 2 inches thick. Any creature in the area when the spell is cast, that ends its turn in the area, or passes through take 9d8 force damage. On a success target can choose what side of the wall it gets pushed to; on a crit fail targets moving through the wall end their movement at the wall.</t>
  </si>
  <si>
    <t>A wall made of swirling, force blades appear, it is upto 20ft high, 120ft long, and 2 inches thick. Any creature in the area when the spell is cast, that ends its turn in the area, or passes through take 10d8 force damage. On a success target can choose what side of the wall it gets pushed to; on a crit fail targets moving through the wall end their movement at the wall.</t>
  </si>
  <si>
    <t>A wall made of swirling, force blades appear, it is upto 20ft high, 120ft long, and 2 inches thick. Any creature in the area when the spell is cast, that ends its turn in the area, or passes through take 11d8 force damage. On a success target can choose what side of the wall it gets pushed to; on a crit fail targets moving through the wall end their movement at the wall.</t>
  </si>
  <si>
    <t>Blanket of Stars</t>
  </si>
  <si>
    <t>A cloak of darkness full of distance stars surrounds you, giving a +2 status bonus to Hide and Sneak. While outside under a starry night you are concealed, or invisible if you remain still. Adjacent creatures get a Will save to avoid the madness that comes from the cloak at the end of their turn; Fail - Dazzled until end of next turn; Crit fail - Confused and Dazzled until end of next turn.</t>
  </si>
  <si>
    <t>Blinding Fury</t>
  </si>
  <si>
    <t>When a creature damages you, you share your outrage of being attacked with it; Success - you become hidden to the target until the end of its turn; Fail - as success, for 1 minute each time the target attacks you it cant observe you until the end of its turn; Crit Fail - as success, with an unlimited duration, and the first time the target damages a creature each round it cant observe that creature until the end of its turn.</t>
  </si>
  <si>
    <t>Cast into Time</t>
  </si>
  <si>
    <t>With a wave of temporal energy you send creatures in the area tumbling through time, on a journey that can last minutes to days for them, but only seconds for you. Lost creatures reappear at the end of your turn, and take 5d8 mental damage, and 5d6 bludgeoning damage when they return. Success - half damage; Fail - full damage, sickened 1; Crit Fail - double damage, sickened 2</t>
  </si>
  <si>
    <t>With a wave of temporal energy you send creatures in the area tumbling through time, on a journey that can last minutes to days for them, but only seconds for you. Lost creatures reappear at the end of your turn, and take 5d8 mental damage, and 7d6 bludgeoning damage when they return. Success - half damage; Fail - full damage, sickened 1; Crit Fail - double damage, sickened 3</t>
  </si>
  <si>
    <t>With a wave of temporal energy you send creatures in the area tumbling through time, on a journey that can last minutes to days for them, but only seconds for you. Lost creatures reappear at the end of your turn, and take 5d8 mental damage, and 9d6 bludgeoning damage when they return. Success - half damage; Fail - full damage, sickened 1; Crit Fail - double damage, sickened 4</t>
  </si>
  <si>
    <t>With a wave of temporal energy you send creatures in the area tumbling through time, on a journey that can last minutes to days for them, but only seconds for you. Lost creatures reappear at the end of your turn, and take 5d8 mental damage, and 11d6 bludgeoning damage when they return. Success - half damage; Fail - full damage, sickened 1; Crit Fail - double damage, sickened 5</t>
  </si>
  <si>
    <t>With a wave of temporal energy you send creatures in the area tumbling through time, on a journey that can last minutes to days for them, but only seconds for you. Lost creatures reappear at the end of your turn, and take 5d8 mental damage, and 13d6 bludgeoning damage when they return. Success - half damage; Fail - full damage, sickened 1; Crit Fail - double damage, sickened 6</t>
  </si>
  <si>
    <t>Catch Your Name</t>
  </si>
  <si>
    <t>Plane</t>
  </si>
  <si>
    <t>So long as you know your true name, and another creature speaks it or your private name, they must make a save or you learn their true name and precise location. You are aware each time the trigger is met as long as this spell can be cast. With no way of knowing the target before casting the spell, being famous makes this spell annoying.</t>
  </si>
  <si>
    <t>Chain Lightning</t>
  </si>
  <si>
    <t>1 creature, and more</t>
  </si>
  <si>
    <t>With a bolt of lightning you deal 8d12 electricity damage to the first target. Afterwhich the lightning arcs to a nearby creature within 30ft, dealing the same damage and jumping again, repeatedly. Each creature can only be targeted once, and each target must have a line between them. The chain ends if any creature critically succeeds its save.</t>
  </si>
  <si>
    <t>With a bolt of lightning you deal 9d12 electricity damage to the first target. Afterwhich the lightning arcs to a nearby creature within 30ft, dealing the same damage and jumping again, repeatedly. Each creature can only be targeted once, and each target must have a line between them. The chain ends if any creature critically succeeds its save.</t>
  </si>
  <si>
    <t>With a bolt of lightning you deal 10d12 electricity damage to the first target. Afterwhich the lightning arcs to a nearby creature within 30ft, dealing the same damage and jumping again, repeatedly. Each creature can only be targeted once, and each target must have a line between them. The chain ends if any creature critically succeeds its save.</t>
  </si>
  <si>
    <t>With a bolt of lightning you deal 11d12 electricity damage to the first target. Afterwhich the lightning arcs to a nearby creature within 30ft, dealing the same damage and jumping again, repeatedly. Each creature can only be targeted once, and each target must have a line between them. The chain ends if any creature critically succeeds its save.</t>
  </si>
  <si>
    <t>With a bolt of lightning you deal 12d12 electricity damage to the first target. Afterwhich the lightning arcs to a nearby creature within 30ft, dealing the same damage and jumping again, repeatedly. Each creature can only be targeted once, and each target must have a line between them. The chain ends if any creature critically succeeds its save.</t>
  </si>
  <si>
    <t>Chromatic Image</t>
  </si>
  <si>
    <t>With 3 illusory images of yourself, you 4 begin shifting wild colors. As with Mirror Image, an attack that would hit you has a chance of missing based on the clones, failed attacks hit a clone, and critical hits destroy a clone and deal normal damage to you. When a clone is destroyed, attacker takes 5 mental, roll 1d4 for additional effects: 1. Red - 5 fire; 2. Orange - 5 acid; 3. Yellow - 5 electric; 4. Green - 5 poison, frightened 1;</t>
  </si>
  <si>
    <t>Collective Transposition</t>
  </si>
  <si>
    <t>You teleport upto 2 creatures to a new position within the area. They must fit in the area, and it must be unoccupied, and within line of sight. Unwilling creatures get a save - Crit Success - teleport if desired, chooses destination; Success - unaffected; Fail - you choose the targets new location.</t>
  </si>
  <si>
    <t>You teleport upto 3 creatures to a new position within the area. They must fit in the area, and it must be unoccupied, and within line of sight. Unwilling creatures get a save - Crit Success - teleport if desired, chooses destination; Success - unaffected; Fail - you choose the targets new location.</t>
  </si>
  <si>
    <t>You teleport upto 4 creatures to a new position within the area. They must fit in the area, and it must be unoccupied, and within line of sight. Unwilling creatures get a save - Crit Success - teleport if desired, chooses destination; Success - unaffected; Fail - you choose the targets new location.</t>
  </si>
  <si>
    <t>You teleport upto 5 creatures to a new position within the area. They must fit in the area, and it must be unoccupied, and within line of sight. Unwilling creatures get a save - Crit Success - teleport if desired, chooses destination; Success - unaffected; Fail - you choose the targets new location.</t>
  </si>
  <si>
    <t>You teleport upto 6 creatures to a new position within the area. They must fit in the area, and it must be unoccupied, and within line of sight. Unwilling creatures get a save - Crit Success - teleport if desired, chooses destination; Success - unaffected; Fail - you choose the targets new location.</t>
  </si>
  <si>
    <t>Daemon Form</t>
  </si>
  <si>
    <t>Large Daemon. AC [21 + Lv]; 15 temp hp, weak. 5 good, res. 10 poison; Dark vision; +23 Athletics; +21 attack (+10, and 1d6 evil damage, 10ft). Ceusto - 25ft, Jaws (2d10 pierc), Claw (agile, 10ft, 2d6 slash), +1d6 damage to you and target on hit; Leuko - 25ft (40ft fly), +2 against disease, Jaws (2d10 pierc), Claw (agile, 2d6 slash), Longbow (deadly d10, 100ft, 2d8 pierc); Pisco - 25ft (40ft swim), Claw (2d10 slash, 1d6 persistant bleed, action to grab)</t>
  </si>
  <si>
    <t>Demon Form</t>
  </si>
  <si>
    <t>Medium Demon. AC [20 + Lv]; 30 temp hp, weak. 5 cold iron and good; Dark vision; +23 Athletics; +22 attack (+10 unarmed damage, 1d6 evil). Babau - 25ft, longspear (10ft, 2d8 pierc), Jaw (2d10 pierc), Claw (agile, 2d4 slash, +2d6 to flatfooted); Hezrou - 30ft (swim), Jaw (10ft, 2d12 pierc, action to grab), Claw (agile, 10ft, 2d8 slash); Nabasu - 25ft (40ft fly), Jaw (2d10 pierc), Claw (agile, 2d6 slash)</t>
  </si>
  <si>
    <t>Devil Form</t>
  </si>
  <si>
    <t>Medium Devil. AC [22 + Lv]; 5 temp hp, weak. 5 good, res. 5 physical (except silver), res. 10 fire; Dark vision; +23 Athletics; +20 attack (1d6 evil damage). Barbazu - 35ft, glaive (deadly d8, forecful, 10ft, 2d8 slash+10 +1d6 bleed), Beard (3d8 pierc), Claw (agile, 3d6 slash); Erinyes - 25ft (40ft fly), longsword (1d8+10 slash, 1d6 fire), Longbow (deadly d10, 100ft, 1d8 pierc, 1d6 fire)</t>
  </si>
  <si>
    <t>Disintegrate</t>
  </si>
  <si>
    <t>A ray of green light. On attack hit, you deal 12d10 damage, and the target makes a basic Fortitude save. If you crit with your attack, the save is treated as one degree worse. Creatures reduced to 0hp turn to dust, leaving beind their gear. An unattended object you hit is instantly destroyed (unless artifact); or upto 10ft cube of material; This spell automatically destroys force constructs (ie Wall of Force).</t>
  </si>
  <si>
    <t>A ray of green light. On attack hit, you deal 14d10 damage, and the target makes a basic Fortitude save. If you crit with your attack, the save is treated as one degree worse. Creatures reduced to 0hp turn to dust, leaving beind their gear. An unattended object you hit is instantly destroyed (unless artifact); or upto 10ft cube of material; This spell automatically destroys force constructs (ie Wall of Force).</t>
  </si>
  <si>
    <t>A ray of green light. On attack hit, you deal 16d10 damage, and the target makes a basic Fortitude save. If you crit with your attack, the save is treated as one degree worse. Creatures reduced to 0hp turn to dust, leaving beind their gear. An unattended object you hit is instantly destroyed (unless artifact); or upto 10ft cube of material; This spell automatically destroys force constructs (ie Wall of Force).</t>
  </si>
  <si>
    <t>A ray of green light. On attack hit, you deal 18d10 damage, and the target makes a basic Fortitude save. If you crit with your attack, the save is treated as one degree worse. Creatures reduced to 0hp turn to dust, leaving beind their gear. An unattended object you hit is instantly destroyed (unless artifact); or upto 10ft cube of material; This spell automatically destroys force constructs (ie Wall of Force).</t>
  </si>
  <si>
    <t>A ray of green light. On attack hit, you deal 20d10 damage, and the target makes a basic Fortitude save. If you crit with your attack, the save is treated as one degree worse. Creatures reduced to 0hp turn to dust, leaving beind their gear. An unattended object you hit is instantly destroyed (unless artifact); or upto 10ft cube of material; This spell automatically destroys force constructs (ie Wall of Force).</t>
  </si>
  <si>
    <t>Dominate</t>
  </si>
  <si>
    <t>Taking command of the target, you force it to obey your orders. It does not follow self destructive orders. Success - stunned 1; Fail - target is controlled, but can attempt a Will save at the end of each of its turns; Crit Fail - as failure, but the target only makes a new save if you tell it do something against its nature (ie attack allies)</t>
  </si>
  <si>
    <t>Taking command of the target, you force it to obey your orders forever. It does not follow self destructive orders. Success - stunned 1; Fail - target is controlled, but can attempt a Will save at the end of each of its turns; Crit Fail - as failure, but the target only makes a new save if you tell it do something against its nature (ie attack allies)</t>
  </si>
  <si>
    <t>Dragon Form</t>
  </si>
  <si>
    <t>Large Dragon. AC [18 + Lv]; 10 temp hp, res. 10 breath type; Dark vision; 40ft, 100ft flly; +23 Athletics; +22 attack (+6 unarmed damage). 2 action breath weapon (reflex save against spell DC); 10 different forms, here is Red - ignores concealed from smoke, Jaw (2d12 pierc, 2d6 fire), Claw (agile, 4d6 slash), Tail (10ft, 3d10 bludg), Wing (10ft, 3d8 bludg), breath (30ft cone, 10d6 fire)</t>
  </si>
  <si>
    <t>Huge Dragon. AC [21 + Lv]; 15 temp hp, res. 10 breath type; Dark vision; 40ft, 120ft flly; +28 Athletics; +28 attack (+12 unarmed damage). 2 action breath weapon (reflex save against spell DC); 10 different forms, here is Red - ignores concealed from smoke, Jaw (10ft, 2d12 pierc, 2d6 fire), Claw (10ft, agile, 4d6 slash), Tail (15ft, 3d10 bludg), Wing (15ft, 3d8 bludg), breath (30ft cone, 10d6+14 fire)</t>
  </si>
  <si>
    <t>Elemental Confluence</t>
  </si>
  <si>
    <t>4 types of elementals become the Confluence (AC 28, 120hp, weak. 10 area, immunity: bleed, poison). Creatures can enter area, and are concealed. When you cast or sustain the spell, select 2 elementals to act: Air - 4d4 eletricity (basic Reflect), 20ft radius, doesnt affect inside; Earth - congluence gainst +2 to AC, and resistance 10 (not adamantine); Fire - 1d6 persistant damage to those inside; Water - 60ft ranged attack (your spell), 4d6 bludg.</t>
  </si>
  <si>
    <t>Feeblemind</t>
  </si>
  <si>
    <t>You reduce the target's mind. Can be removed with Remove Curse. Success - stupefied 2 for 1 round; Fail - Stupefied 4, unlimited; Crit Fail - target's mind is below that of an animal, Int, Wis, and Cha mods are now -5, and they lose all class abilities that require thinking.</t>
  </si>
  <si>
    <t>Field of Life</t>
  </si>
  <si>
    <t>A field of pisitive energy and warmth fills the area, healing each living creature that starts its turn in the area 1d8 hp, while undead that start in the area take 1d8 positive damage.</t>
  </si>
  <si>
    <t>A field of pisitive energy and warmth fills the area, healing each living creature that starts its turn in the area 1d10 hp, while undead that start in the area take 1d10 positive damage.</t>
  </si>
  <si>
    <t>A field of pisitive energy and warmth fills the area, healing each living creature that starts its turn in the area 1d12 hp, while undead that start in the area take 1d12 positive damage.</t>
  </si>
  <si>
    <t>Fire Seeds</t>
  </si>
  <si>
    <t>4 acorns grow in your hand, and can be thrown (interact) by anyone upto 30ft, where they explode in a 5ft burst, dealing 4d6 fire damage. DC is your spell DC, reguardless of thrower. Flames burn the ground, dealing 2d6 fire damage to creatures entering or ending turn in the area. Area can not overlap.</t>
  </si>
  <si>
    <t>4 acorns grow in your hand, and can be thrown (interact) by anyone upto 30ft, where they explode in a 5ft burst, dealing 5d6 fire damage. DC is your spell DC, reguardless of thrower. Flames burn the ground, dealing 3d6 fire damage to creatures entering or ending turn in the area. Area can not overlap.</t>
  </si>
  <si>
    <t>4 acorns grow in your hand, and can be thrown (interact) by anyone upto 30ft, where they explode in a 5ft burst, dealing 6d6 fire damage. DC is your spell DC, reguardless of thrower. Flames burn the ground, dealing 3d6 fire damage to creatures entering or ending turn in the area. Area can not overlap.</t>
  </si>
  <si>
    <t>Flame Vortex</t>
  </si>
  <si>
    <t>A blazing inferno 40ft tall dealing 3d4 bludgeoning, and 3d6 fire damage, and can not be cast if the roof is less. Difficult terrain for flying creatures. Each time you sustain the spell you can move it 20ft in a straight line, dealing damage as it moves. A creature can only take damage once per round.</t>
  </si>
  <si>
    <t>A blazing inferno 40ft tall dealing 4d4 bludgeoning, and 4d6 fire damage, and can not be cast if the roof is less. Difficult terrain for flying creatures. Each time you sustain the spell you can move it 20ft in a straight line, dealing damage as it moves. A creature can only take damage once per round.</t>
  </si>
  <si>
    <t>A blazing inferno 40ft tall dealing 5d4 bludgeoning, and 5d6 fire damage, and can not be cast if the roof is less. Difficult terrain for flying creatures. Each time you sustain the spell you can move it 20ft in a straight line, dealing damage as it moves. A creature can only take damage once per round.</t>
  </si>
  <si>
    <t>Flesh to Stone</t>
  </si>
  <si>
    <t>You try to turn a creature made of flesh to stone. Success - slowed 1 for 1 round; Fail - slowed 1, gets a save at end of turns, if failed increases slowed by 1 (or 2 on crit fail), success lowers by 1, once the creature can not act it is permanently nonmagically petrified. Crit Fail - as failure, but slowed 2 at the start.</t>
  </si>
  <si>
    <t>Gray Shadow</t>
  </si>
  <si>
    <t>With a prayer you draw the shadow of the target into your service as long as the owner is on deaths door (ends when they die or regain consciousness). The shadow is a summoned greater shadow you can cast spells through: AC 24, 75hp, immune to disease, paralized, poison, precision, resistant 10 all (not force, ghost touch, or positive, double to nonmagic). Melee (+18, 2d10+6 negative, 1d8 poison), Steal shadow (action)</t>
  </si>
  <si>
    <t>With a prayer you draw the shadow of the target into your service as long as the owner is on deaths door (ends when they die or regain consciousness). The shadow is a summoned greater shadow you can cast spells through: AC 24, immune to disease, paralized, poison, precision, resistant 10 all (not force, ghost touch, or positive, double to nonmagic). Melee (+18, 2d10+6 negative, 1d8 poison), Steal shadow (action)</t>
  </si>
  <si>
    <t>Hag's Fruit</t>
  </si>
  <si>
    <t>1 non-magical fruit</t>
  </si>
  <si>
    <t>Imbuing a single piece of fruit with a curse, the first person to eat it within the duration is subject to the Curse of Slumber using your spell DC: Curse of Slumber (lv 11) - you fall asleep for 1 round (or perminently on a crit fail) and seem to be dead. A creature must succeed a DC 30 medicine check to realize youre alive. Noise doesnt wake you, but taking damage gives you another save.</t>
  </si>
  <si>
    <t>Halcyon Infusion</t>
  </si>
  <si>
    <t>You infuse magical energy into a target of lower level than you, opening their mind to magic. Choose a 1st level spell you are capable of casting, and the target can cast it once. If the target is lv 3 the spell can be 2nd lv, or 3rd if the target is lv 5. If untrained, treat spellcasting as trained, using highest mental stat. Each morning you can expend the use of Hacyon Infusion to extend the duration by a day, and restore the target's spell slot.</t>
  </si>
  <si>
    <t>You infuse magical energy into a target of lower level than you, opening their mind to magic. Choose a 1st level spell you are capable of casting, and the target can cast it once. At lv 3 they can have 2nd lv; lv 5 for 3rd spells; lv 7 for 4. If untrained, treat spellcasting as trained, using highest mental stat. Each morning you can expend the use of Hacyon Infusion to extend the duration by a day, and restore the target's spell slot.</t>
  </si>
  <si>
    <t>You infuse magical energy into a target of lower level than you, opening their mind to magic. Choose a 1st level spell you are capable of casting, and the target can cast it once. At lv 3 they can have 2nd lv; lv 5 for 3rd spells; lv 7 for 4; 9th for 5th. If untrained, treat spellcasting as trained, using highest mental stat. Each morning you can expend the use of Hacyon Infusion to extend the duration by a day, and restore the target's spell slot.</t>
  </si>
  <si>
    <t>Lure Dream</t>
  </si>
  <si>
    <t>Reaching out to the dream realm, you summon an animated dream. AC 24, 110hp, immune to paralyze, poison, precision; Resistance 5 (not force, ghost touch, negative; double nonmagic); Melee (+20, agile, finesse, 4d8 negative, plus endless nightmare), Nightmare (dc 26 fort, fatiqued 1 day; fatiqued and stupfied 1 for 1day; falls asleep for 1day) Spellcaster DC 26: confuson; Dimension door (at will); nightmare; phantasmal killer, sleep</t>
  </si>
  <si>
    <t>Mantle of Heaven's Slopes</t>
  </si>
  <si>
    <t>Wrapping yourself in heaven's light, pick 2 of the following (action to swap one): Clarion - gold light, +2 to Recall Knowledge and Sense motive; Illumis - can be heard 200ft away clearly; Iuidica - scarlet light, free action after strike to shove; Proelera - silver pike (unarmed, reach, shove, 1d10 pierc, 1d8 good); Requius - fast healing 2; Threshold - surrounded by barriers, granting you cover.</t>
  </si>
  <si>
    <t>Mislead</t>
  </si>
  <si>
    <t>You turn invisible and create an illusory duplicate of yourself. You sustain both effects at once, and can give the duplicate orders to follow and act as if it had 3 actions. Hostile actions dont end the invisibility. When you affect a creature, you can attempt Deception against perception DC to convince the duplicate did it.</t>
  </si>
  <si>
    <t>Nature's Reprisal</t>
  </si>
  <si>
    <t>80ft burst</t>
  </si>
  <si>
    <t>All plant life begins to writhe and lash out at your enemies. To them, each square containing plants becomes difficult terrain, or greater difficult terrain if it was already difficult terrain, and deals 6 poison damage for each new affected square they enter.</t>
  </si>
  <si>
    <t>All plant life begins to writhe and lash out at your enemies. To them, each square containing plants becomes difficult terrain, or greater difficult terrain if it was already difficult terrain, and deals 7 poison damage for each new affected square they enter.</t>
  </si>
  <si>
    <t>All plant life begins to writhe and lash out at your enemies. To them, each square containing plants becomes difficult terrain, or greater difficult terrain if it was already difficult terrain, and deals 8 poison damage for each new affected square they enter.</t>
  </si>
  <si>
    <t>All plant life begins to writhe and lash out at your enemies. To them, each square containing plants becomes difficult terrain, or greater difficult terrain if it was already difficult terrain, and deals 9 poison damage for each new affected square they enter.</t>
  </si>
  <si>
    <t>All plant life begins to writhe and lash out at your enemies. To them, each square containing plants becomes difficult terrain, or greater difficult terrain if it was already difficult terrain, and deals 10 poison damage for each new affected square they enter.</t>
  </si>
  <si>
    <t>Necrotize</t>
  </si>
  <si>
    <t>The target's body putrefies, debilitating its body, dealing 12d6 negative damage. Roll 1d4 to see which body part is affected: 1. Bones - weakness 3 to bludg; 2. Joints - clumsy 1; 3. Legs - -10ft speed; 4. Muscles - enfeebled 1; Success - half damage, effect lasts until end of your next turn; Fail - full damage, effect lasts 1 min; Crit Fail - double damage, pick a second debilitation effect, both last 1 min.</t>
  </si>
  <si>
    <t>The target's body putrefies, debilitating its body, dealing 14d6 negative damage. Roll 1d4 to see which body part is affected: 1. Bones - weakness 3 to bludg; 2. Joints - clumsy 1; 3. Legs - -10ft speed; 4. Muscles - enfeebled 1; Success - half damage, effect lasts until end of your next turn; Fail - full damage, effect lasts 1 min; Crit Fail - double damage, pick a second debilitation effect, both last 1 min.</t>
  </si>
  <si>
    <t>The target's body putrefies, debilitating its body, dealing 16d6 negative damage. Roll 1d4 to see which body part is affected: 1. Bones - weakness 3 to bludg; 2. Joints - clumsy 1; 3. Legs - -10ft speed; 4. Muscles - enfeebled 1; Success - half damage, effect lasts until end of your next turn; Fail - full damage, effect lasts 1 min; Crit Fail - double damage, pick a second debilitation effect, both last 1 min.</t>
  </si>
  <si>
    <t>The target's body putrefies, debilitating its body, dealing 18d6 negative damage. Roll 1d4 to see which body part is affected: 1. Bones - weakness 3 to bludg; 2. Joints - clumsy 1; 3. Legs - -10ft speed; 4. Muscles - enfeebled 1; Success - half damage, effect lasts until end of your next turn; Fail - full damage, effect lasts 1 min; Crit Fail - double damage, pick a second debilitation effect, both last 1 min.</t>
  </si>
  <si>
    <t>The target's body putrefies, debilitating its body, dealing 20d6 negative damage. Roll 1d4 to see which body part is affected: 1. Bones - weakness 3 to bludg; 2. Joints - clumsy 1; 3. Legs - -10ft speed; 4. Muscles - enfeebled 1; Success - half damage, effect lasts until end of your next turn; Fail - full damage, effect lasts 1 min; Crit Fail - double damage, pick a second debilitation effect, both last 1 min.</t>
  </si>
  <si>
    <t>Phantasmal Calamity</t>
  </si>
  <si>
    <t>Visions of apocalyptic destruction fills the mind of each creature in the area, dealing 11d6 mental damage. On a critical failure the creature must make a Reflex save or be stunned for 1 minute as it believes itself to be stuck. It gets a Will save at the end of each of its turn, removing the stunned condition on a success.</t>
  </si>
  <si>
    <t>Visions of apocalyptic destruction fills the mind of each creature in the area, dealing 13d6 mental damage. On a critical failure the creature must make a Reflex save or be stunned for 1 minute as it believes itself to be stuck. It gets a Will save at the end of each of its turn, removing the stunned condition on a success.</t>
  </si>
  <si>
    <t>Visions of apocalyptic destruction fills the mind of each creature in the area, dealing 15d6 mental damage. On a critical failure the creature must make a Reflex save or be stunned for 1 minute as it believes itself to be stuck. It gets a Will save at the end of each of its turn, removing the stunned condition on a success.</t>
  </si>
  <si>
    <t>Visions of apocalyptic destruction fills the mind of each creature in the area, dealing 17d6 mental damage. On a critical failure the creature must make a Reflex save or be stunned for 1 minute as it believes itself to be stuck. It gets a Will save at the end of each of its turn, removing the stunned condition on a success.</t>
  </si>
  <si>
    <t>Visions of apocalyptic destruction fills the mind of each creature in the area, dealing 19d6 mental damage. On a critical failure the creature must make a Reflex save or be stunned for 1 minute as it believes itself to be stuck. It gets a Will save at the end of each of its turn, removing the stunned condition on a success.</t>
  </si>
  <si>
    <t>Poltergeist's Fury</t>
  </si>
  <si>
    <t>Your fury creates a telekinetic storm, picking up any loose, unattended objects of upto 1 bulk within range that orbit you. All creatures in the area take 6d4 piercing damage. Allies who get a success get a crit success instead as you avoid hitting them. Each time you sustain the spell, its radius can increase by 10ft, upto 100ft. The storm provides lesser cover to you (+1 to AC).</t>
  </si>
  <si>
    <t>Your fury creates a telekinetic storm, picking up any loose, unattended objects of upto 1 bulk within range that orbit you. All creatures in the area take 7d4 piercing damage. Allies who get a success get a crit success instead as you avoid hitting them. Each time you sustain the spell, its radius can increase by 10ft, upto 100ft. The storm provides lesser cover to you (+1 to AC).</t>
  </si>
  <si>
    <t>Your fury creates a telekinetic storm, picking up any loose, unattended objects of upto 1 bulk within range that orbit you. All creatures in the area take 8d4 piercing damage. Allies who get a success get a crit success instead as you avoid hitting them. Each time you sustain the spell, its radius can increase by 10ft, upto 100ft. The storm provides lesser cover to you (+1 to AC).</t>
  </si>
  <si>
    <t>Your fury creates a telekinetic storm, picking up any loose, unattended objects of upto 1 bulk within range that orbit you. All creatures in the area take 9d4 piercing damage. Allies who get a success get a crit success instead as you avoid hitting them. Each time you sustain the spell, its radius can increase by 10ft, upto 100ft. The storm provides lesser cover to you (+1 to AC).</t>
  </si>
  <si>
    <t>Your fury creates a telekinetic storm, picking up any loose, unattended objects of upto 1 bulk within range that orbit you. All creatures in the area take 10d4 piercing damage. Allies who get a success get a crit success instead as you avoid hitting them. Each time you sustain the spell, its radius can increase by 10ft, upto 100ft. The storm provides lesser cover to you (+1 to AC).</t>
  </si>
  <si>
    <t>Purple Worm Sting</t>
  </si>
  <si>
    <t>Replicating the attack of a purple worm, dealing 3d6 piercing damage. Success - 3d6 poison damage; Fail - Stage 1; Crit fail - stage 2; Purple Worm Venom (lv 11, 6 rounds): Stage 1 - 3d6 poison, enfeebled 2 (1 round); Stage 2 - 4d6, enfeebled 2 (1 round); Stage 3 - 6d6 poison, enfeebled 2 (1 round);</t>
  </si>
  <si>
    <t>Raise Dead</t>
  </si>
  <si>
    <t>1 dead creature</t>
  </si>
  <si>
    <t>You call back a creature's soul upto lv 13 so long as it hasnt been dead for more than 3 days. The spell costs diamonds worth 200gp for each level of the creature you are reviving. If the creature doesnt wish to return to life, and the diamonds are not consumed. If successful, the creature revives with 1 hp, no spells or other consumable resources, and is clumsy 2, drained 2, and enfeebled 2 for 1 week (can not reduce in any way).</t>
  </si>
  <si>
    <t>You call back a creature's soul upto lv 15 so long as it hasnt been dead for more than 3 days. The spell costs diamonds worth 400gp for each level of the creature you are reviving. If the creature doesnt wish to return to life, and the diamonds are not consumed. If successful, the creature revives with 1 hp, no spells or other consumable resources, and is clumsy 2, drained 2, and enfeebled 2 for 1 week (can not reduce in any way).</t>
  </si>
  <si>
    <t>You call back a creature's soul upto lv 17 so long as it hasnt been dead for more than 3 days. The spell costs diamonds worth 800gp for each level of the creature you are reviving. If the creature doesnt wish to return to life, and the diamonds are not consumed. If successful, the creature revives with 1 hp, no spells or other consumable resources, and is clumsy 2, drained 2, and enfeebled 2 for 1 week (can not reduce in any way).</t>
  </si>
  <si>
    <t>You call back a creature's soul upto lv 19 so long as it hasnt been dead for more than 3 days. The spell costs diamonds worth 1,600gp for each level of the creature you are reviving. If the creature doesnt wish to return to life, and the diamonds are not consumed. If successful, the creature revives with 1 hp, no spells or other consumable resources, and is clumsy 2, drained 2, and enfeebled 2 for 1 week (can not reduce in any way).</t>
  </si>
  <si>
    <t>You call back a creature's soul upto lv 21 so long as it hasnt been dead for more than 3 days. The spell costs diamonds worth 3,200gp for each level of the creature you are reviving. If the creature doesnt wish to return to life, and the diamonds are not consumed. If successful, the creature revives with 1 hp, no spells or other consumable resources, and is clumsy 2, drained 2, and enfeebled 2 for 1 week (can not reduce in any way).</t>
  </si>
  <si>
    <t>Repulsion</t>
  </si>
  <si>
    <t>40ft emanation</t>
  </si>
  <si>
    <t>You create an area that prevents creature from approaching, upto 40ft with a radius of your choice. Creatures must make a save when they enter or if they are in it when you cast the spell, and use the same save result every time they enter for the spell's duration. Movement penalties only apply to willing movement; Crit success - unaffected; Success - moving towards you is difficult terrain; Fail - cant move towards you.</t>
  </si>
  <si>
    <t>Righteous Might</t>
  </si>
  <si>
    <t>Medium holy form: AC [20+Lv], 10 temp hp; 40ft speed; Resistance 3 physical damage; Darkvision; +23 athletics; +21 attack with your weapon (+8 damage, +6 if ranged), deals 3 damage dice (increase damage die size by 1 if a simple weapon dealing d4 or d6); attacks gain diety's alignment trait: anarchic, axiomatic, holy, unholy, or deal 1d6 precision if diety is true neutral.</t>
  </si>
  <si>
    <t>Large holy form: AC [21+Lv], 15 temp hp; 40ft speed; Resistance 4 physical damage; Darkvision; +29 athletics; +28 attack with your weapon (+15 damage, +12 if ranged, 10ft), deals 3 damage dice (increase damage die size by 1 if a simple weapon dealing d4 or d6); attacks gain diety's alignment trait: anarchic, axiomatic, holy, unholy, or deal 1d6 precision if diety is true neutral.</t>
  </si>
  <si>
    <t>Scintillating Safeguard</t>
  </si>
  <si>
    <t>When an effect would deal physical or energy damage to you or another creature a ward envelopes each creature. Choose one damage type from the attack, all creatures gain resistance 10 to that damage for the triggering effect. This only applies to inital damage, not lingering or persistant damage.</t>
  </si>
  <si>
    <t>When an effect would deal physical or energy damage to you or another creature a ward envelopes each creature. Choose one damage type from the attack, all creatures gain resistance 11 to that damage for the triggering effect. This only applies to inital damage, not lingering or persistant damage.</t>
  </si>
  <si>
    <t>When an effect would deal physical or energy damage to you or another creature a ward envelopes each creature. Choose one damage type from the attack, all creatures gain resistance 12 to that damage for the triggering effect. This only applies to inital damage, not lingering or persistant damage.</t>
  </si>
  <si>
    <t>When an effect would deal physical or energy damage to you or another creature a ward envelopes each creature. Choose one damage type from the attack, all creatures gain resistance 13 to that damage for the triggering effect. This only applies to inital damage, not lingering or persistant damage.</t>
  </si>
  <si>
    <t>When an effect would deal physical or energy damage to you or another creature a ward envelopes each creature. Choose one damage type from the attack, all creatures gain resistance 14 to that damage for the triggering effect. This only applies to inital damage, not lingering or persistant damage.</t>
  </si>
  <si>
    <t>Scrying</t>
  </si>
  <si>
    <t>You magically spy on a creature of your choice, by saying their name, touching their posessions, or a piece of its body. You create an invisible eye, but sight isnt clear (cant be used for teleportation). If you havent met the target in person -2 to DC; If you dont know the the target -10 to DC. Crit Success - immune 1 week, sees you; Success - immune 1 day; Fail - spell succeeds; Crit Fail - follows the moving target.</t>
  </si>
  <si>
    <t>Spellwrack</t>
  </si>
  <si>
    <t>Any spell cast on the target is destabalized and harmful. Success - When affected by a spell with a duration, they take 2d12 persistant force damage (reduces spell duration by 1 round each time they take damage). An arcana check against spell DC to remove persistant damage, otherwise lasts 1 min; Fail - as success, but curse and persistant damage do not end; Crit Fail - as failure, persistant damage is 4d12 force.</t>
  </si>
  <si>
    <t>Spirit Blast</t>
  </si>
  <si>
    <t>basic Fortitude</t>
  </si>
  <si>
    <t>Using ethereal energy you attack the creature's spirit, dealing 16d6 force damage. By attacking spirits directly it can target creatures projecting their consciousness, or possessing a target (without harming the victum). This spell doesnt effect creatures without spirit, such as constructs.</t>
  </si>
  <si>
    <t>Using ethereal energy you attack the creature's spirit, dealing 18d6 force damage. By attacking spirits directly it can target creatures projecting their consciousness, or possessing a target (without harming the victum). This spell doesnt effect creatures without spirit, such as constructs.</t>
  </si>
  <si>
    <t>Using ethereal energy you attack the creature's spirit, dealing 20d6 force damage. By attacking spirits directly it can target creatures projecting their consciousness, or possessing a target (without harming the victum). This spell doesnt effect creatures without spirit, such as constructs.</t>
  </si>
  <si>
    <t>Using ethereal energy you attack the creature's spirit, dealing 22d6 force damage. By attacking spirits directly it can target creatures projecting their consciousness, or possessing a target (without harming the victum). This spell doesnt effect creatures without spirit, such as constructs.</t>
  </si>
  <si>
    <t>Using ethereal energy you attack the creature's spirit, dealing 24d6 force damage. By attacking spirits directly it can target creatures projecting their consciousness, or possessing a target (without harming the victum). This spell doesnt effect creatures without spirit, such as constructs.</t>
  </si>
  <si>
    <t>Stone Tell</t>
  </si>
  <si>
    <t>You ask questions and recieve answers from stone itself. Asking the spirits that reside in natural or worked stone, each have a unique personality. Stone's perspective is odd, and are able to only answer questions about creatures who passed by, or what it is hiding.</t>
  </si>
  <si>
    <t>Stone to Flesh</t>
  </si>
  <si>
    <t>1 petrified creature</t>
  </si>
  <si>
    <t>Manipulating the fundamental particles of matter, you convert stone into flesh and blood. You restore a petrified creature to its normal state, or transform a stone object (upto human size) into a fleshy mass roughly the same shape.</t>
  </si>
  <si>
    <t>Suspended Retribution</t>
  </si>
  <si>
    <t>basic Reflex</t>
  </si>
  <si>
    <t>You invite doom into reality, where the omen of disaster appears over the target's head. Speak a trigger: moves more than its speed in 1 round, makes 2 strikes, casts a spell, uses a specific skill or ability you name. If the target takes the triggering action, disaster strikes, dealing 70 mental damage. Target knows triggering action, and can spend 3 actions to pray (warding off doom).</t>
  </si>
  <si>
    <t>You invite doom into reality, where the omen of disaster appears over the target's head. Speak a trigger: moves more than its speed in 1 round, makes 2 strikes, casts a spell, uses a specific skill or ability you name. If the target takes the triggering action, disaster strikes, dealing 80 mental damage. Target knows triggering action, and can spend 3 actions to pray (warding off doom).</t>
  </si>
  <si>
    <t>You invite doom into reality, where the omen of disaster appears over the target's head. Speak a trigger: moves more than its speed in 1 round, makes 2 strikes, casts a spell, uses a specific skill or ability you name. If the target takes the triggering action, disaster strikes, dealing 90 mental damage. Target knows triggering action, and can spend 3 actions to pray (warding off doom).</t>
  </si>
  <si>
    <t>You invite doom into reality, where the omen of disaster appears over the target's head. Speak a trigger: moves more than its speed in 1 round, makes 2 strikes, casts a spell, uses a specific skill or ability you name. If the target takes the triggering action, disaster strikes, dealing 100 mental damage. Target knows triggering action, and can spend 3 actions to pray (warding off doom).</t>
  </si>
  <si>
    <t>You invite doom into reality, where the omen of disaster appears over the target's head. Speak a trigger: moves more than its speed in 1 round, makes 2 strikes, casts a spell, uses a specific skill or ability you name. If the target takes the triggering action, disaster strikes, dealing 110 mental damage. Target knows triggering action, and can spend 3 actions to pray (warding off doom).</t>
  </si>
  <si>
    <t>Tangling Creepers</t>
  </si>
  <si>
    <t>Dense vines sprout along every surface and fill any water. Any creature moving (land, climb, or swim) through the vines have a -10ft speed penalty while in the area. Once per round you can use an action to make a melee spell attack with a vine (15ft reach), immobilizing them on hit for 1 round (or until escape).</t>
  </si>
  <si>
    <t>Teleport</t>
  </si>
  <si>
    <t>4 willing creatures</t>
  </si>
  <si>
    <t>You and the targets you touch are instantly transported to any location within 100 miles as long as you know the precise location. Incorrect knowledge of the location may cause the spell to fail, or land in a simular place. The further the distance the imprecise at long distances, by about 1%, upto 1 mile. Items equaling the size of a person count as 1 person for teleporting.</t>
  </si>
  <si>
    <t>You and the targets you touch are instantly transported to any location within 1,000 miles as long as you know the precise location. Incorrect knowledge of the location may cause the spell to fail, or land in a simular place. The further the distance the imprecise at long distances, by about 1%, upto 1 mile. Items equaling the size of a person count as 1 person for teleporting.</t>
  </si>
  <si>
    <t>You and the targets you touch are instantly transported to any location on the planet as long as you know the precise location. Incorrect knowledge of the location may cause the spell to fail, or land in a simular place. The further the distance the imprecise at long distances, by about 1%, upto 10 mile. Items equaling the size of a person count as 1 person for teleporting.</t>
  </si>
  <si>
    <t>You and the targets you touch are instantly transported to any location in the solar system as long as you know the precise location. Incorrect knowledge of the location may cause the spell to fail, or land in a simular place. The further the distance the imprecise at long distances, by about 1%, upto 100 mile. Items equaling the size of a person count as 1 person for teleporting.</t>
  </si>
  <si>
    <t>You and the targets you touch are instantly transported to any location in the galaxy system as long as you know the precise location. Incorrect knowledge of the location may cause the spell to fail, or land in a simular place. The further the distance the imprecise at long distances, by about 1%, upto 100 mile. Items equaling the size of a person count as 1 person for teleporting.</t>
  </si>
  <si>
    <t>Temporal Ward</t>
  </si>
  <si>
    <t>1 container or door</t>
  </si>
  <si>
    <t>You ward the target so that opening it rewinds the personal timeline of the creature. You can set a password to not set it off. The spell is a magical trap. Success - deja-vu, another action to open the item; Fail - thrown back to where they were at the start of their turn, ending their turn; Crit Fail - as failure, confused for 1 min.</t>
  </si>
  <si>
    <t>You ward the target so that opening it rewinds the personal timeline of the creature. You can set a password to not set it off. The spell is a magical trap with unlimited duration. Success - deja-vu, another action to open the item; Fail - thrown back to where they were at the start of their turn, ending their turn; Crit Fail - as failure, confused for 1 min.</t>
  </si>
  <si>
    <t>#173</t>
  </si>
  <si>
    <t>True Seeing</t>
  </si>
  <si>
    <t>You see things within 60ft as they truly are. GM rolls a secret counteract check against any illusion or transmutation in the area to determin if you see through the disguise. Any successful check shows the true form to you, but does not end the spell or effect.</t>
  </si>
  <si>
    <t>Unexpected Transposition</t>
  </si>
  <si>
    <t>When you are targeted by a strike, you can swap places with the target. Willing creatures automatically fail the save. On a successful you swap location, and the triggering strike attacks the new creature as if it was the original target. Afterwhich you and the target are immune to this spell for 1 min.</t>
  </si>
  <si>
    <t>Vampiric Exsanguination</t>
  </si>
  <si>
    <t>You draw the blood and lifeforce of creatures in the area into yourself, dealing 12d6 negative damage to all living creatures. You gain temp HP equal to half the damage delt to a single creature (that took the most damage). Temp HP lasts 1 min.</t>
  </si>
  <si>
    <t>You draw the blood and lifeforce of creatures in the area into yourself, dealing 14d6 negative damage to all living creatures. You gain temp HP equal to half the damage delt to a single creature (that took the most damage). Temp HP lasts 1 min.</t>
  </si>
  <si>
    <t>You draw the blood and lifeforce of creatures in the area into yourself, dealing 16d6 negative damage to all living creatures. You gain temp HP equal to half the damage delt to a single creature (that took the most damage). Temp HP lasts 1 min.</t>
  </si>
  <si>
    <t>You draw the blood and lifeforce of creatures in the area into yourself, dealing 18d6 negative damage to all living creatures. You gain temp HP equal to half the damage delt to a single creature (that took the most damage). Temp HP lasts 1 min.</t>
  </si>
  <si>
    <t>You draw the blood and lifeforce of creatures in the area into yourself, dealing 20d6 negative damage to all living creatures. You gain temp HP equal to half the damage delt to a single creature (that took the most damage). Temp HP lasts 1 min.</t>
  </si>
  <si>
    <t>Vibrant Pattern</t>
  </si>
  <si>
    <t>Pulsing lights dazzle creatures in the area. Additionally any creature with sight that is in the area when you cast the spell, enter, end their turn in, or seek the area must make a save: Success - unaffected; Fail - blinded for 1 min, can make save at end of turn; Crit Fail - blind for 1 min.</t>
  </si>
  <si>
    <t>Wall of Force</t>
  </si>
  <si>
    <t>50ft line</t>
  </si>
  <si>
    <t>A wall upto 50ft long, 20ft tall. It must be unbroken and can not pass through a creature's square. The wall has an AC of 10, hardness of 30, and 60hp (immune to crit and precision). The wall blocks physical objects and incorporeal creatures. Can not be dispelled by its level or lower.</t>
  </si>
  <si>
    <t>A wall upto 50ft long, 20ft tall. It must be unbroken and can not pass through a creature's square. The wall has an AC of 10, hardness of 30, and 80hp (immune to crit and precision). The wall blocks physical objects and incorporeal creatures. Can not be dispelled by its level or lower.</t>
  </si>
  <si>
    <t>A wall upto 50ft long, 20ft tall. It must be unbroken and can not pass through a creature's square. The wall has an AC of 10, hardness of 30, and 100hp (immune to crit and precision). The wall blocks physical objects and incorporeal creatures. Can not be dispelled by its level or lower.</t>
  </si>
  <si>
    <t>Word of Revision</t>
  </si>
  <si>
    <t>Using the power of plot armor, you allow the target to do better by using one of the following effects: A failed save can be rerolled; A critical fail on a save is treated as a failure; being reduced to 0hp leaves the target at 1hp. Only one effect can be chosen if two happen at once. Fate doesnt like plot armor; target becomes immune for 24 hours.</t>
  </si>
  <si>
    <t>Using the power of plot armor, you allow upto 10 target to do better by using one of the following effects: A failed save can be rerolled; A critical fail on a save is treated as a failure; being reduced to 0hp leaves the target at 1hp. Only one effect can be chosen if two happen at once. Fate doesnt like plot armor; target becomes immune for 24 hours.</t>
  </si>
  <si>
    <t>Kingmaker</t>
  </si>
  <si>
    <t>Zealous Conviction</t>
  </si>
  <si>
    <t>10 willing creatures</t>
  </si>
  <si>
    <t>Bypassing the target's rational mind, you instill unshakeable conviction, granting 12 temp HP, and a +2 to Will saves against mental effects. If you give an order the targets must comply. If the order is too repugnant, at the end of their turn they can make a save to end the effect.</t>
  </si>
  <si>
    <t>Bypassing the target's rational mind, you instill unshakeable conviction, granting 18 temp HP, and a +3 to Will saves against mental effects. If you give an order the targets must comply. If the order is too repugnant, at the end of their turn they can make a save to end the effect.</t>
  </si>
  <si>
    <t>Zero Gravity</t>
  </si>
  <si>
    <t>20ft radius</t>
  </si>
  <si>
    <t>You negate gravity in a 40ft tall cylander. Creatures in the area float unless they spend an action to Push Off a surface, sending them half their speed in a straight line. On the start of later turns they continue moving until they encounter something to stop them. Pushing off of a smaller object send both flying in opposite directions. Creatures that can fly or hover dont need to Push Off.</t>
  </si>
  <si>
    <t>Angel Form</t>
  </si>
  <si>
    <t>Medium Angel. AC [22 + Lv], 40 temp HP, weakness 10 evil; Dark Vision; +25 athletics, 30ft, 40ft fly; +25 attack (+12 damage, +1d6 good); Balisse - +26 perception, Scimitar (forceful, sweep, 2d6 slash, 1d6 fire); Choral - +1 AC to sonic, Fist (agile, 2d6 bludg), Hymn (90ft, 1d6 sonic, deafened 1 round on crit); Monadic - Mace (shove, 2d6 bludg, 1d6 force); Movanic - res, 10 negative, Sword (two handed d12, 1d8 slash, 1d6 fire)</t>
  </si>
  <si>
    <t>Large Angel. AC [22 + Lv], 60 temp HP, weakness 15 evil; Dark Vision; +33 athletics, 30ft, 40ft fly; +30 attack (+20 damage, +1d6 good); Balisse - +26 perception, Scimitar (forceful, sweep, 2d6 slash, 1d6 fire); Choral - +1 AC to sonic, Fist (agile, 2d6 bludg), Hymn (90ft, 1d6 sonic, deafened 1 round on crit); Monadic - Mace (shove, 2d6 bludg, 1d6 force); Movanic - res, 10 negative, Sword (two handed d12, 1d8 slash, 1d6 fire)</t>
  </si>
  <si>
    <t>Blightburn Blast</t>
  </si>
  <si>
    <t>With a blast of radiation you deal 4d6 poison to creatures in the area. Failing the save inflicts blightburn sickness stage 1 (stage 2 on crit fail): Onset 1d4 days, Stage 1 - drained 1 (1 day); Stage 2 - drained and sickened 1 (1 day); Stage 3 - drained and sickened 2 (1 week); Stage 4 - drained and sickened 3 (1 month); Stage 5 - increase drained 1 (1 year)</t>
  </si>
  <si>
    <t>Contingency</t>
  </si>
  <si>
    <t>You prepare by casting a 4th level or lower spell with a cast time upto 3 actions ahead of time. Making any decisions when you cast the spell, along with the trigger to take effect (same restrictions as Ready Action). The contingency only effects you. You can only have 1 contingency at a time.</t>
  </si>
  <si>
    <t>You prepare by casting a 5th level or lower spell with a cast time upto 3 actions ahead of time. Making any decisions when you cast the spell, along with the trigger to take effect (same restrictions as Ready Action). The contingency only effects you. You can only have 1 contingency at a time.</t>
  </si>
  <si>
    <t>You prepare by casting a 6th level or lower spell with a cast time upto 3 actions ahead of time. Making any decisions when you cast the spell, along with the trigger to take effect (same restrictions as Ready Action). The contingency only effects you. You can only have 1 contingency at a time.</t>
  </si>
  <si>
    <t>You prepare by casting a 7th level or lower spell with a cast time upto 3 actions ahead of time. Making any decisions when you cast the spell, along with the trigger to take effect (same restrictions as Ready Action). The contingency only effects you. You can only have 1 contingency at a time.</t>
  </si>
  <si>
    <t>Control Sand</t>
  </si>
  <si>
    <t>A creature that enters or starts its turn in the area must make a save or become dazzled while its in the area (then becomes immune for 10 min). Choose one on cast, switching when you sustain: Sand Shield - use Shield block reaction (14 hardness, 21 hp); Sandblast - creature within 30ft takes 8d6 slashing (basic Reflex); Sandstorm - 30ft emanation, 6d4 slashing (basic Reflex), no air.</t>
  </si>
  <si>
    <t>A creature that enters or starts its turn in the area must make a save or become dazzled while its in the area (then becomes immune for 10 min). Choose one on cast, switching when you sustain: Sand Shield - use Shield block reaction (16 hardness, 22 hp); Sandblast - creature within 30ft takes 9d6 slashing (basic Reflex); Sandstorm - 30ft emanation, 7d4 slashing (basic Reflex), no air.</t>
  </si>
  <si>
    <t>A creature that enters or starts its turn in the area must make a save or become dazzled while its in the area (then becomes immune for 10 min). Choose one on cast, switching when you sustain: Sand Shield - use Shield block reaction (18 hardness, 23 hp); Sandblast - creature within 30ft takes 10d6 slashing (basic Reflex); Sandstorm - 30ft emanation, 8d4 slashing (basic Reflex), no air.</t>
  </si>
  <si>
    <t>A creature that enters or starts its turn in the area must make a save or become dazzled while its in the area (then becomes immune for 10 min). Choose one on cast, switching when you sustain: Sand Shield - use Shield block reaction (20 hardness, 24 hp); Sandblast - creature within 30ft takes 11d6 slashing (basic Reflex); Sandstorm - 30ft emanation, 9d4 slashing (basic Reflex), no air.</t>
  </si>
  <si>
    <t>Corrosive Body</t>
  </si>
  <si>
    <t>You become living acid, gaining acid immunity. Melee attackers take 3d6 acid damage, and your unarmed attacks deal 1d4 additional acid damage. The first attack to deal this damage each round gives you 3d6 temp HP. Acid spells deal 1 extra damage die of acid. Acid splash is innate spell, affecting creatures within 15ft instead of 5ft.</t>
  </si>
  <si>
    <t>You become living acid, gaining acid immunity. Melee attackers take 4d6 acid damage, and your unarmed attacks deal 2d4 additional acid damage. The first attack to deal this damage each round gives you 5d6 temp HP. Acid spells deal 1 extra damage die of acid. Acid splash is innate spell, affecting creatures within 15ft instead of 5ft.</t>
  </si>
  <si>
    <t>Cosmic Form</t>
  </si>
  <si>
    <t>Large form. AC [21 + Lv], 20 temp HP; Darkvision; +25 athletics; +25 attack (+10 damage); Moon - 30ft (50ft fly), fist (agile, 10ft, 2d4 bludg, 1d6 fire), Moonbeam (90ft, 2d4 fire), silvered fire, crits deal stupefied 2 for 1 round; Sun - 30ft (fly 50ft), fist (agile, 10ft, 2d6 fire, 1d6 persistant fire), Sunbeam (90ft, 1d6 fire, 1d6 persistant fire), dazzled for 1 round on crit.</t>
  </si>
  <si>
    <t>Curse of the Spirit Orchestra</t>
  </si>
  <si>
    <t>Invisible, insubstantial, extraplaner musicians follow the target to distract it by playing music wrong for the mood. Success - for 1 round misfortune (worse of two rolls) on Diplomacy, Intimidation, Performance, or Stealth checks, crit success is success, failure is crit fail. Fail - as success, duration is 1 hour; Crit Fail - as success, duration is unlimuted.</t>
  </si>
  <si>
    <t>Diety's Strike</t>
  </si>
  <si>
    <t>4TH LEVEL SPELLS</t>
  </si>
  <si>
    <t>The favored weapon of your diety appears in the air, dealing 7d12 force damage on hit. After the attack is rolled the weapon explodes, sending a shockwave 10ft wide and 30ft long, dealing 5d6 alignment damage (basic Reflex) of your diety you choose (chaotic, evil, good, or lawful)</t>
  </si>
  <si>
    <t>The favored weapon of your diety appears in the air, dealing 8d12 force damage on hit. After the attack is rolled the weapon explodes, sending a shockwave 10ft wide and 30ft long, dealing 6d6 alignment damage (basic Reflex) of your diety you choose (chaotic, evil, good, or lawful)</t>
  </si>
  <si>
    <t>Dimensional Lock</t>
  </si>
  <si>
    <t>A shimmering barrier attempts to counteract teleportation effects and planar travel into and out of the area, including access to extradimensional spaces. Dimensional Lock tries to counteract summon spells, but does not stop them departing when the duration ends.</t>
  </si>
  <si>
    <t>Divine Decree</t>
  </si>
  <si>
    <t>With words of faith you harm those against your ideals, dealing 7d10 alignment damage to creatures in the area. Creatures that are neutral treat the save as one step better. Success - half damage; Fail - full damage, enfeebled 2 for 1 min; Crit fail - double damage, enfeebled 2 for 1 min, added effects of Banishment (failed save), upto 10th lv creatures must Will save (fail - paralyzed 1 min, crit fail - dies)</t>
  </si>
  <si>
    <t>With words of faith you harm those against your ideals, dealing 8d10 alignment damage to creatures in the area. Creatures that are neutral treat the save as one step better. Success - half damage; Fail - full damage, enfeebled 2 for 1 min; Crit fail - double damage, enfeebled 2 for 1 min, added effects of Banishment (failed save), upto 12th lv creatures must Will save (fail - paralyzed 1 min, crit fail - dies)</t>
  </si>
  <si>
    <t>With words of faith you harm those against your ideals, dealing 9d10 alignment damage to creatures in the area. Creatures that are neutral treat the save as one step better. Success - half damage; Fail - full damage, enfeebled 2 for 1 min; Crit fail - double damage, enfeebled 2 for 1 min, added effects of Banishment (failed save), upto 14th lv creatures must Will save (fail - paralyzed 1 min, crit fail - dies)</t>
  </si>
  <si>
    <t>With words of faith you harm those against your ideals, dealing 10d10 alignment damage to creatures in the area. Creatures that are neutral treat the save as one step better. Success - half damage; Fail - full damage, enfeebled 2 for 1 min; Crit fail - double damage, enfeebled 2 for 1 min, added effects of Banishment (failed save), upto 16th lv creatures must Will save (fail - paralyzed 1 min, crit fail - dies)</t>
  </si>
  <si>
    <t>Divine Vessel</t>
  </si>
  <si>
    <t>Large version of you full of godly alignment (one of chaotic, evil, good, or lawful). 40 temp HP; fly speed equal to land; Weakness 10 to opposite alignment; +1 to saves; Darkvision; +1 alignment damage to all attacks; Gain one attack, Fist (good or lawful, 2d8), Bite (chaotic, 2d10 pierc), Claw (evil, agile, finesse, 2d8 slash)</t>
  </si>
  <si>
    <t>Large version of you full of godly alignment (one of chaotic, evil, good, or lawful) for 10 min. 60 temp HP; fly speed equal to land; Weakness 15 to opposite alignment; +1 to saves; Darkvision; +1 alignment damage to all attacks; Gain one attack, Fist (good or lawful, 2d8), Bite (chaotic, 2d10 pierc), Claw (evil, agile, finesse, 2d8 slash)</t>
  </si>
  <si>
    <t>Duplicate Foe</t>
  </si>
  <si>
    <t>You create a temporary duplicate of an enemy upto lv 15 to fight for you. The duplicate has all the same modifiers (attack, AC, saves, perception), but has 70hp (no resistances or weakness), and lacks special abilities. The duplicate is a minion and can only stride or strike. Minion loses 4d6 hp at the end of each turn (can not regain hp). Success - duplicate deals half damage; Fail - works as described.</t>
  </si>
  <si>
    <t>You create a temporary duplicate of an enemy upto lv 17 to fight for you. The duplicate has all the same modifiers (attack, AC, saves, perception), but has 80hp (no resistances or weakness), and lacks special abilities. The duplicate is a minion and can only stride or strike. Minion loses 4d6 hp at the end of each turn (can not regain hp). Success - duplicate deals half damage; Fail - works as described.</t>
  </si>
  <si>
    <t>You create a temporary duplicate of an enemy upto lv 19 to fight for you. The duplicate has all the same modifiers (attack, AC, saves, perception), but has 90hp (no resistances or weakness), and lacks special abilities. The duplicate is a minion and can only stride or strike. Minion loses 4d6 hp at the end of each turn (can not regain hp). Success - duplicate deals half damage; Fail - works as described.</t>
  </si>
  <si>
    <t>You create a temporary duplicate of an enemy upto lv 21 to fight for you. The duplicate has all the same modifiers (attack, AC, saves, perception), but has 100hp (no resistances or weakness), and lacks special abilities. The duplicate is a minion and can only stride or strike. Minion loses 4d6 hp at the end of each turn (can not regain hp). Success - duplicate deals half damage; Fail - works as described.</t>
  </si>
  <si>
    <t>Eclipse Burst</t>
  </si>
  <si>
    <t>A globe of freezing darkness explodes in the area, dealing 8d10 cold, and 8d4 negative damage to living creatures. The globe attempts to counteract any magical light spell in its area. Success - half damage; Fail - full damage; Crit Fail - double damage, creature is permenetly blinded.</t>
  </si>
  <si>
    <t>A globe of freezing darkness explodes in the area, dealing 9d10 cold, and 9d4 negative damage to living creatures. The globe attempts to counteract any magical light spell in its area. Success - half damage; Fail - full damage; Crit Fail - double damage, creature is permenetly blinded.</t>
  </si>
  <si>
    <t>A globe of freezing darkness explodes in the area, dealing 10d10 cold, and 10d4 negative damage to living creatures. The globe attempts to counteract any magical light spell in its area. Success - half damage; Fail - full damage; Crit Fail - double damage, creature is permenetly blinded.</t>
  </si>
  <si>
    <t>A globe of freezing darkness explodes in the area, dealing 11d10 cold, and 11d4 negative damage to living creatures. The globe attempts to counteract any magical light spell in its area. Success - half damage; Fail - full damage; Crit Fail - double damage, creature is permenetly blinded.</t>
  </si>
  <si>
    <t>Energy Aegis</t>
  </si>
  <si>
    <t>With a powerful long lasting barrier, you give the target resistance 5 to energy damage (acid, cold, electricity, fire, force, negative, positive, and sonic).</t>
  </si>
  <si>
    <t>With a powerful long lasting barrier, you give the target resistance 10 to energy damage (acid, cold, electricity, fire, force, negative, positive, and sonic).</t>
  </si>
  <si>
    <t>Entrancing Eyes</t>
  </si>
  <si>
    <t>With glowing eyes, any creature ending its turn in the area must attempt to be captivated. Crit Success - immune to this casting of the spell; Success - unaffected; Fail - stupefied 2 and fasinated until end of next turn; Crit Fail - stupfied 4, fascinated, no reactions, and all others are concealed until end of next turn. As an action after sustaining you can focus on a fascinated creature (will save) to paralyze it for 1 round.</t>
  </si>
  <si>
    <t>Ethereal Jaunt</t>
  </si>
  <si>
    <t>You travel from the Material Plane to the Ethereal. You can see the Material out to 60ft, and move half your speed in any direction. Creatures on the Material cant see or affect you (unless by using a force effect). Ending the spell you enter the Material.</t>
  </si>
  <si>
    <t>You and 5 willing creatures within 30ft travel from the Material Plane to the Ethereal for upto 10 minutes. You can see the Material out to 60ft, and move half your speed in any direction. Creatures on the Material cant see or affect you (unless by using a force effect). Ending the spell you enter the Material.</t>
  </si>
  <si>
    <t>Fiery Body</t>
  </si>
  <si>
    <t>You become living flame, gaining fire immunity, resistance 10 to precision, and weakness 5 to cold and water. Any melee attackers take 3d6 fire damage. Melee attacks deal 1d4 extra fire damage. Fire spells deal 1 additional damage die of fire damage. Produce Flame is now an innate spell, taking only 1 action. 40ft fly speed, and you dont need to breathe.</t>
  </si>
  <si>
    <t>You become living flame, gaining fire immunity, resistance 10 to precision, and weakness 5 to cold and water. Any melee attackers take 4d6 fire damage. Melee attacks deal 2d4 extra fire damage. Fire spells deal 1 additional damage die of fire damage. Produce Flame is now an innate spell, taking only 1 action. 60ft fly speed, and you dont need to breathe.</t>
  </si>
  <si>
    <t>Finger of Death</t>
  </si>
  <si>
    <t>With a pointed finger and speaking the word of slaying, you deal 70 negative damage to the target. If this reduces them to 0hp they die instantly.</t>
  </si>
  <si>
    <t>With a pointed finger and speaking the word of slaying, you deal 80 negative damage to the target. If this reduces them to 0hp they die instantly.</t>
  </si>
  <si>
    <t>With a pointed finger and speaking the word of slaying, you deal 90 negative damage to the target. If this reduces them to 0hp they die instantly.</t>
  </si>
  <si>
    <t>With a pointed finger and speaking the word of slaying, you deal 100 negative damage to the target. If this reduces them to 0hp they die instantly.</t>
  </si>
  <si>
    <t>Force Cage</t>
  </si>
  <si>
    <t>An invisible, immobile force cage appears, affecting the Ethereal plane. It has AC of 10, Hardness 20, 40hp (immune to crit and precision). On save creatures get out of the cage before it seals. Small gaps in the cage allow tiny creatures to pass through, and even smaller ammuntion. The cage provides cover (+2 ac). Breath weapons and spells can pass through. Cant be counteracted by its lv or lower, and instant destroyed by disintegrate.</t>
  </si>
  <si>
    <t>Frigid Flurry</t>
  </si>
  <si>
    <t>With a cold breath you freeze the air and send it flying with a gust of wind, dealing 9d6 cold, and 9d6 slashing damage to all foes in a line upto 120ft (avoiding allies). The wind then carries you with it, putting you on the far end of the line (triggering reactions only if they affect snow).</t>
  </si>
  <si>
    <t>With a cold breath you freeze the air and send it flying with a gust of wind, dealing 10d6 cold, and 10d6 slashing damage to all foes in a line upto 120ft (avoiding allies). The wind then carries you with it, putting you on the far end of the line (triggering reactions only if they affect snow).</t>
  </si>
  <si>
    <t>With a cold breath you freeze the air and send it flying with a gust of wind, dealing 11d6 cold, and 11d6 slashing damage to all foes in a line upto 120ft (avoiding allies). The wind then carries you with it, putting you on the far end of the line (triggering reactions only if they affect snow).</t>
  </si>
  <si>
    <t>With a cold breath you freeze the air and send it flying with a gust of wind, dealing 12d6 cold, and 12d6 slashing damage to all foes in a line upto 120ft (avoiding allies). The wind then carries you with it, putting you on the far end of the line (triggering reactions only if they affect snow).</t>
  </si>
  <si>
    <t>Inexhaustible Cynicism</t>
  </si>
  <si>
    <t>By inflicting the targets with crushing doubt, they refuse to be a willing target, ingest anything, have allies, believe anything they are told, or recall knowledge, Just Incase™. At the end of each round the target takes 6d6 mental damage (no save) unless it spends 1 action Seeking to disbelieve the 'illusion.' Success - 1 round; Fail - 1 min; Crit Fail - 1 hour duration.</t>
  </si>
  <si>
    <t>Leng Sting</t>
  </si>
  <si>
    <t>With a touch you deal 2d6 piercing damage, injecting the venom of a leng spider if they take damage. Success - 2d6 poison; Fail - stage 1; Crit Fail - stage 2; Leng Spider Venom (lv 13, 6 rounds): Stage 1 - 2d6 poison, drained 1 (1 round); Stage 2 - 3d6 poison, drained 2 (1 round); Stage 3 - 4d6 poison, drained 2, confused 1 (1 round)</t>
  </si>
  <si>
    <t>Magnificent Mansion</t>
  </si>
  <si>
    <t>A 10ft tall doorway appears in space, leading to an extradimensional demiplane mansion of your choice filling a 40ft tall, 40ft wide, and 30ft tall area. When the door is closed it is invisible and spells dont affect mansion. The mansion has 24 servents of your choice and enough food to feed 150 people a 9 course meal. Only people allowed can open the door, everyone else have to use Plane Shift</t>
  </si>
  <si>
    <t>Mask of Terror</t>
  </si>
  <si>
    <t>The target appears to be a gruesome and terrifying creature, unique to each onlooker. Any creature that makes a hostile action against the target must make a save, becoming immune for 1 round. Fail - frightened 2 before its action; Crit Fail - frightened 2, wasted action.</t>
  </si>
  <si>
    <t>Upto 5 targets appears to be a gruesome and terrifying creature, unique to each onlooker. Any creature that makes a hostile action against the target must make a save, becoming immune for 1 round. Fail - frightened 2 before its action; Crit Fail - frightened 2, wasted action.</t>
  </si>
  <si>
    <t>Maze of Locked Doors</t>
  </si>
  <si>
    <t>The target enters an extradimesion hallway, with darkwood doors spaced out 30ft apart (Hardness 20, 80hp, BT 40, DC 30 Athletics to open). The door has average locks (4 DC 25 thievery checks). The target is trapped until the spell ends or they make it through each door. Teleportation effects of 6th lv are supressed, everything else must counteract. Success - trapped 1 round, or 1 door; Fail - 1 min, or 2 doors; Crit Fail - 10 min, or 3 doors.</t>
  </si>
  <si>
    <t>Momentary Recovery</t>
  </si>
  <si>
    <t>You instantly teleport yourself and any items you were holding into a clear space within range. The spell fails if you try to bring anyone else. While teleporting you have 2 actions to use that can not target any other creature, and its duration ends when you land. Upon arriving you are slowed 1 until end of next turn.</t>
  </si>
  <si>
    <t>Moonburst</t>
  </si>
  <si>
    <t>A globe of chilling moonlight explodes, dealing 8d10 cold damage, plus 8d10 positive damage to undead. This damage is silver for purpose of weakness/ resistances. Attempts to counteract magical darkness. Success - half damage; Fail - full damage; Crit Fail - full damage, blinded forever.</t>
  </si>
  <si>
    <t>A globe of chilling moonlight explodes, dealing 9d10 cold damage, plus 9d10 positive damage to undead. This damage is silver for purpose of weakness/ resistances. Attempts to counteract magical darkness. Success - half damage; Fail - full damage; Crit Fail - full damage, blinded forever.</t>
  </si>
  <si>
    <t>A globe of chilling moonlight explodes, dealing 10d10 cold damage, plus 10d10 positive damage to undead. This damage is silver for purpose of weakness/ resistances. Attempts to counteract magical darkness. Success - half damage; Fail - full damage; Crit Fail - full damage, blinded forever.</t>
  </si>
  <si>
    <t>A globe of chilling moonlight explodes, dealing 11d10 cold damage, plus 11d10 positive damage to undead. This damage is silver for purpose of weakness/ resistances. Attempts to counteract magical darkness. Success - half damage; Fail - full damage; Crit Fail - full damage, blinded forever.</t>
  </si>
  <si>
    <t>Plane Shift</t>
  </si>
  <si>
    <t>F,M,S,V</t>
  </si>
  <si>
    <t>8 willing creatures</t>
  </si>
  <si>
    <t>You and the targets move to another plane if you have a magic tuning fork made on that plane and knowledge of the plane. The spell is imprecise, the party ends up 1d20*25 miles away from their last location, or anywhere if it is their first time.</t>
  </si>
  <si>
    <t>Possession</t>
  </si>
  <si>
    <t>You send your mind and soul into the target's body. Your body falls unconcious. You can sense what the target does, and if target dies you must make a fortitude save or be paralyzed 1 hour. Success - you cant control the target, but follow along; Fail - each turn the target makes a Will save, choosing its actions on a success, and you do on a fail; Crit Fail - full possession, it can only watch.</t>
  </si>
  <si>
    <t>You send your body into the target for 10 minutes, protecting yourself from harm. You can sense what the target does, and if target dies you must make a fortitude save or be paralyzed 1 hour. Success - you cant control the target, but follow along; Fail - each turn the target makes a Will save, choosing its actions on a success, and you do on a fail; Crit Fail - full possession, it can only watch.</t>
  </si>
  <si>
    <t>Power Word Blind</t>
  </si>
  <si>
    <t>With an arcane word of power, the target is blinded upon hearing it, after which they become immune for 10 mins. The effect is based on their level: upto 11th lv - permanately blind; 12-13th lv - blinded for 1d4 min; 14th+ - dazzled for 1 min.</t>
  </si>
  <si>
    <t>With an arcane word of power, the target is blinded upon hearing it, after which they become immune for 10 mins. The effect is based on their level: upto 13th lv - permanately blind; 14-15th lv - blinded for 1d4 min; 16th+ - dazzled for 1 min.</t>
  </si>
  <si>
    <t>With an arcane word of power, the target is blinded upon hearing it, after which they become immune for 10 mins. The effect is based on their level: upto 15th lv - permanately blind; 16-17th lv - blinded for 1d4 min; 18th+ - dazzled for 1 min.</t>
  </si>
  <si>
    <t>With an arcane word of power, the target is blinded upon hearing it, after which they become immune for 10 mins. The effect is based on their level: upto 17th lv - permanately blind; 18-19th lv - blinded for 1d4 min; 20th+ - dazzled for 1 min.</t>
  </si>
  <si>
    <t>Prismatic Armor</t>
  </si>
  <si>
    <t>Wrapping the target is armor of multicolored light, you grant resistance 5 to acid, electricity, fire, force, mental, poison, and sonic. The armor sheds 20ft of bright light, and whenever the target is melee attacked the attacker must make a Will save at the end of its action, becoming dazzled until end of its next turn, and blind on a critical fail. Afterwhich attacker is immune until end of turn.</t>
  </si>
  <si>
    <t>Wrapping the target is armor of multicolored light, you grant resistance 10 to acid, electricity, fire, force, mental, poison, and sonic. The armor sheds 20ft of bright light, and whenever the target is melee attacked the attacker must make a Will save at the end of its action, becoming dazzled until end of its next turn, and blind on a critical fail. Afterwhich attacker is immune until end of turn.</t>
  </si>
  <si>
    <t>Prismatic Spray</t>
  </si>
  <si>
    <t>A spray of color, hitting each target individually. Target uses same roll even if struck twice, and a successful save negates the effect: 1. Red - Reflex, 50 fire; 2. Orange - Reflex, 60 acid; 3. Yellow - 70 electric; 4. Green - Fort, 30 poison, enfeebled 1 for 1 min; 5. Blue - Fort, Flesh to Stone; 6. Indigo - Will, Warp Mind; 7. Violet - Will, slowed 1 min, planeshift on crit fail. 8. Prism - roll twice more, rerolling duplicates.</t>
  </si>
  <si>
    <t>Project Image</t>
  </si>
  <si>
    <t>You project an illusory image of yourself that must stay within range, and you must see. Any spells can originate from the duplicate except emanation spells. The image cant benifit from spells, but can appear to. The image has your AC and saves and the spell ends if it is hit by an attack or spell.</t>
  </si>
  <si>
    <t>You project an illusory image of yourself that must stay within range, and you must see for 10 minutes. Any spells can originate from the duplicate except emanation spells. The image cant benifit from spells, but can appear to. The image has your AC and saves and the spell ends if it is hit by an attack or spell.</t>
  </si>
  <si>
    <t>Regenerate</t>
  </si>
  <si>
    <t>1 willing target</t>
  </si>
  <si>
    <t>An infusion of positive energy into a living target grants regeneration 15, restoring 15hp at the start of each of the target's turns. Each time it takes healing an organ is regrown, and severed limbs can be reattached with an action. The target can not die, even if it had dying 4, so long as the healing continues. If the target takes fire or acid damage the healing stops until the end of their next turn.</t>
  </si>
  <si>
    <t>An infusion of positive energy into a living target grants regeneration 20, restoring 20hp at the start of each of the target's turns. Each time it takes healing an organ is regrown, and severed limbs can be reattached with an action. The target can not die, even if it had dying 4, so long as the healing continues. If the target takes fire or acid damage the healing stops until the end of their next turn.</t>
  </si>
  <si>
    <t>Retrocognition</t>
  </si>
  <si>
    <t>Opening your mind to occult echoes, you can relive the memories of the location's past. The first minute of the spell relivies psychic impressions and emotions from the past day, and the next minute for the day before, and so on. If you relive a traumatic event you must make a will save set by DM (between DC 30-50) to maintain the spell.</t>
  </si>
  <si>
    <t>Opening your mind to occult echoes, you can relive the memories of the location's past. Each minute of the spell relivies psychic impressions and emotions of the past year, rewinding time with each minute, though details are fuzzy and only major events are known. If you relive a traumatic event you must make a will save set by DM (between DC 30-50) to maintain the spell.</t>
  </si>
  <si>
    <t>Opening your mind to occult echoes, you can relive the memories of the location's past. Each minute of the spell relivies psychic impressions and emotions of the past century, rewinding time with each minute, though details are impossible and only the most major events are known. If you relive a traumatic event you must make a will save set by DM (between DC 30-50) to maintain the spell.</t>
  </si>
  <si>
    <t>Return to Essence</t>
  </si>
  <si>
    <t>1 sealed lock</t>
  </si>
  <si>
    <t>Unraveling the magic on a container, door, or lock, you convert the magic into your own. Attempt a counteract check against any magic affecting the door. On a success you recover its energy, restoring one expended spellslot of upto 3rd level.</t>
  </si>
  <si>
    <t>Unraveling the magic on a container, door, or lock, you convert the magic into your own. Attempt a counteract check against any magic affecting the door. On a success you recover its energy, restoring one expended spellslot of upto 4th level.</t>
  </si>
  <si>
    <t>Unraveling the magic on a container, door, or lock, you convert the magic into your own. Attempt a counteract check against any magic affecting the door. On a success you recover its energy, restoring one expended spellslot of upto 5th level.</t>
  </si>
  <si>
    <t>Unraveling the magic on a container, door, or lock, you convert the magic into your own. Attempt a counteract check against any magic affecting the door. On a success you recover its energy, restoring one expended spellslot of upto 6th level.</t>
  </si>
  <si>
    <t>Reverse Gravity</t>
  </si>
  <si>
    <t>You reverse gravity in an area 40ft tall. Any creatures not secured immeadately fall upward, but can Grab an Edge if they pass an object. If a creature its a cieling or other surface it takes fall damage as normal. If the creature its the top of the spell area it floats and can only move where the spell ends. Flying or levitating creatures can mitigate the effects.</t>
  </si>
  <si>
    <t>Spell Turning</t>
  </si>
  <si>
    <t>With a ward against magic, you can spend a reaction to reflect any spell that targets you back at the caster. Make a counteract check, on a success the effect is turned back on the caster. The spell ends reguardless of success. This can not reflect area spells. If the original caster is also under the effect of spellturning, they automatically succeed the counteract.</t>
  </si>
  <si>
    <t>Sunburst</t>
  </si>
  <si>
    <t>A globe of searing sunlight explodes, dealing 8d10 fire damage, and 8d10 positive damage to undead creatures. The spell attempts to counteract magic darkness. Success - half damage; Fail - full damage; Crit Fail - full damage, blinded permanently.</t>
  </si>
  <si>
    <t>A globe of searing sunlight explodes, dealing 9d10 fire damage, and 9d10 positive damage to undead creatures. The spell attempts to counteract magic darkness. Success - half damage; Fail - full damage; Crit Fail - full damage, blinded permanently.</t>
  </si>
  <si>
    <t>A globe of searing sunlight explodes, dealing 10d10 fire damage, and 10d10 positive damage to undead creatures. The spell attempts to counteract magic darkness. Success - half damage; Fail - full damage; Crit Fail - full damage, blinded permanently.</t>
  </si>
  <si>
    <t>A globe of searing sunlight explodes, dealing 11d10 fire damage, and 11d10 positive damage to undead creatures. The spell attempts to counteract magic darkness. Success - half damage; Fail - full damage; Crit Fail - full damage, blinded permanently.</t>
  </si>
  <si>
    <t>Telekinetic Bombardment</t>
  </si>
  <si>
    <t>Grasping a piece of the landscape, you hurl it, dealing 14d6 bludgeoning damage in either a 10ft burst (for most missles), or a 30ft line (for a tree), where the object breaks into pieces becoming difficult terrain. Success - half damage; Fail - full damage, knocked prone; Crit Fail - double damage, knocked prone, stunned 1.</t>
  </si>
  <si>
    <t>Grasping a piece of the landscape, you hurl it, dealing 16d6 bludgeoning damage in either a 10ft burst (for most missles), or a 30ft line (for a tree), where the object breaks into pieces becoming difficult terrain. Success - half damage; Fail - full damage, knocked prone; Crit Fail - double damage, knocked prone, stunned 1.</t>
  </si>
  <si>
    <t>Grasping a piece of the landscape, you hurl it, dealing 18d6 bludgeoning damage in either a 10ft burst (for most missles), or a 30ft line (for a tree), where the object breaks into pieces becoming difficult terrain. Success - half damage; Fail - full damage, knocked prone; Crit Fail - double damage, knocked prone, stunned 1.</t>
  </si>
  <si>
    <t>Grasping a piece of the landscape, you hurl it, dealing 20d6 bludgeoning damage in either a 10ft burst (for most missles), or a 30ft line (for a tree), where the object breaks into pieces becoming difficult terrain. Success - half damage; Fail - full damage, knocked prone; Crit Fail - double damage, knocked prone, stunned 1.</t>
  </si>
  <si>
    <t>Tempest of Shades</t>
  </si>
  <si>
    <t>Channeling the forces of dead, you summon a huge creature with 60ft speed. On Arrival a vortex of death has a 60ft emenation (Fort save): Success - drained 1; Fail - drained 2; Crit fail - drained 3; On Depart Howl of eternity affects enemies within 100ft (Will save), Success - fright 1; Fail - fright 3; Crit fail - fright 3, fleeing 1 round.</t>
  </si>
  <si>
    <t>Time Beacon</t>
  </si>
  <si>
    <t>This turn</t>
  </si>
  <si>
    <t>Casting this spell during your turn creates an anchor in time. At the end of your turn you can choose to rewind time back to just after you cast Time Beacon, undoing any ill effects such as Curses, traps, damage, though powerful ones may resist and you must attempt to counteract to return. After returning in time the spell ends.</t>
  </si>
  <si>
    <t>True Target</t>
  </si>
  <si>
    <t>By seeing all possible futures to see how your foe will avoid harm, you project that information to the targets. The first attack each target makes on the selected foe is fortunate (roll twice, take higher), and ignore any circumstance penalties (such as concealed).</t>
  </si>
  <si>
    <t>Unfettered Pack</t>
  </si>
  <si>
    <t>You free those who travel alongside you from enviromental hazards. Targets dont take circumstance penalties to speed from vegitation, rubble, wind, difficult terrain, or other enviromental hazards reguardless of any magical nature.</t>
  </si>
  <si>
    <t>You free those who travel alongside you from enviromental hazards. Targets dont take circumstance penalties to speed from vegitation, rubble, wind, greater difficult terrain, or other enviromental hazards reguardless of any magical nature.</t>
  </si>
  <si>
    <t>Visions of Danger</t>
  </si>
  <si>
    <t>Filling the area with tiny swarming monsters of your choice, you deal 8d8 mental damage to each creature that is in the burst when its created, enters, or starts its turn inside of the area. On a critical save or if the creature spends an action interacting with the illusion they can attempt to disbelieve, on success they take no damage after.</t>
  </si>
  <si>
    <t>Filling the area with tiny swarming monsters of your choice, you deal 9d8 mental damage to each creature that is in the burst when its created, enters, or starts its turn inside of the area. On a critical save or if the creature spends an action interacting with the illusion they can attempt to disbelieve, on success they take no damage after.</t>
  </si>
  <si>
    <t>Filling the area with tiny swarming monsters of your choice, you deal 10d8 mental damage to each creature that is in the burst when its created, enters, or starts its turn inside of the area. On a critical save or if the creature spends an action interacting with the illusion they can attempt to disbelieve, on success they take no damage after.</t>
  </si>
  <si>
    <t>Filling the area with tiny swarming monsters of your choice, you deal 11d8 mental damage to each creature that is in the burst when its created, enters, or starts its turn inside of the area. On a critical save or if the creature spends an action interacting with the illusion they can attempt to disbelieve, on success they take no damage after.</t>
  </si>
  <si>
    <t>Volcanic Eruption</t>
  </si>
  <si>
    <t>Lava sprews 80ft into the air, dealing 14d6 fire damage to creatures in the area, and the heat deals 3d6 fire (no save) to creatures in area or adjacent reguardless of save. The lava then rapidly cools, and encases creatures, resulting in clumsy 1 and a -10ft speed penalty. Flying creatures immeadately fall 20ft. Can escape from rock or take 50 damage to break it. Success - half damage; Fail - full damage, encased; Crit Fail - double damage, encased.</t>
  </si>
  <si>
    <t>Lava sprews 80ft into the air, dealing 16d6 fire damage to creatures in the area, and the heat deals 4d6 fire (no save) to creatures in area or adjacent reguardless of save. The lava then rapidly cools, and encases creatures, resulting in clumsy 1 and a -10ft speed penalty. Flying creatures immeadately fall 20ft. Can escape from rock or take 50 damage to break it. Success - half damage; Fail - full damage, encased; Crit Fail - double damage, encased.</t>
  </si>
  <si>
    <t>Lava sprews 80ft into the air, dealing 18d6 fire damage to creatures in the area, and the heat deals 5d6 fire (no save) to creatures in area or adjacent reguardless of save. The lava then rapidly cools, and encases creatures, resulting in clumsy 1 and a -10ft speed penalty. Flying creatures immeadately fall 20ft. Can escape from rock or take 50 damage to break it. Success - half damage; Fail - full damage, encased; Crit Fail - double damage, encased.</t>
  </si>
  <si>
    <t>Lava sprews 80ft into the air, dealing 20d6 fire damage to creatures in the area, and the heat deals 6d6 fire (no save) to creatures in area or adjacent reguardless of save. The lava then rapidly cools, and encases creatures, resulting in clumsy 1 and a -10ft speed penalty. Flying creatures immeadately fall 20ft. Can escape from rock or take 50 damage to break it. Success - half damage; Fail - full damage, encased; Crit Fail - double damage, encased.</t>
  </si>
  <si>
    <t>Warp Mind</t>
  </si>
  <si>
    <t>You scramble the target's mind so quickly it stops becoming magic, so dispel magic as no effect, afterwhich target is immune for 10 min. Magic like Alter Reality, and Wish still work. Success - first action confused; Fail - confused 1 min; Crit Fail - confused peranently. Confused: random attacks determined by DM.</t>
  </si>
  <si>
    <t>All is One, One is All</t>
  </si>
  <si>
    <t>10 willing targets</t>
  </si>
  <si>
    <t>You meld yourself and living targets together and redistribute. Seperating them back into themselves you can swap their locations, and even modulate hp, distributing it how you like. No target can have less than 1 hp, or more than their max.</t>
  </si>
  <si>
    <t>Antimagic Field</t>
  </si>
  <si>
    <t>You repel all magic upto 8th level, preventing all spells, magic items, and magic abilities from functioning. Dispel magic and other spells only work at higher level. Spells cease to function in the area but reappear on the far side if they are upto the same level. Items become mundane but stay attuned, ability increase still apply. Summoned creatures desummon, but return outside. Magically created creatures (like golems) function normally.</t>
  </si>
  <si>
    <t>You repel all magic upto 9th level, preventing all spells, magic items, and magic abilities from functioning. Dispel magic and other spells only work at higher level. Spells cease to function in the area but reappear on the far side if they are upto the same level. Items become mundane but stay attuned, ability increase still apply. Summoned creatures desummon, but return outside. Magically created creatures (like golems) function normally.</t>
  </si>
  <si>
    <t>You repel all magic upto 10th level, preventing all spells, magic items, and magic abilities from functioning. Spells cease to function in the area but reappear on the far side if they are upto the same level. Items become mundane but stay attuned, ability increase still apply. Summoned creatures desummon, but return outside. Magically created creatures (like golems) function normally.</t>
  </si>
  <si>
    <t>Boil Blood</t>
  </si>
  <si>
    <t>Boiling the target's blood within its veins, it takes 10d10 fire damage. Nonliving creatures with blood (such as vampire) are affected, but creatures without blood are immune. Success - half damage; Fail - full damage, drained 2; Crit Fail - double damage, drained 3.</t>
  </si>
  <si>
    <t>Boiling the target's blood within its veins, it takes 11d10 fire damage. Nonliving creatures with blood (such as vampire) are affected, but creatures without blood are immune. Success - half damage; Fail - full damage, drained 2; Crit Fail - double damage, drained 3.</t>
  </si>
  <si>
    <t>Boiling the target's blood within its veins, it takes 12d10 fire damage. Nonliving creatures with blood (such as vampire) are affected, but creatures without blood are immune. Success - half damage; Fail - full damage, drained 2; Crit Fail - double damage, drained 3.</t>
  </si>
  <si>
    <t>Burning Blossoms</t>
  </si>
  <si>
    <t>An intangible hollow tree 5ft wide sprouts and grows to 100ft tall, with branches outstretched, with its white petals falling below, dealing 6d6 fire damage to any creature that ends its turn under the tree. Enemies that see the tree (reguardless of if in the area) make a save, and if facinated must approach (1 action): Crit Success - immune 24 hours; Success - unaffected 1 round; Fail - fascinated 1 round; Crit Fail - Fascinated.</t>
  </si>
  <si>
    <t>An intangible hollow tree 5ft wide sprouts and grows to 100ft tall, with branches outstretched, with its white petals falling below, dealing 7d6 fire damage to any creature that ends its turn under the tree. Enemies that see the tree (reguardless of if in the area) make a save, and if facinated must approach (1 action): Crit Success - immune 24 hours; Success - unaffected 1 round; Fail - fascinated 1 round; Crit Fail - Fascinated.</t>
  </si>
  <si>
    <t>An intangible hollow tree 5ft wide sprouts and grows to 100ft tall, with branches outstretched, with its white petals falling below, dealing 8d6 fire damage to any creature that ends its turn under the tree. Enemies that see the tree (reguardless of if in the area) make a save, and if facinated must approach (1 action): Crit Success - immune 24 hours; Success - unaffected 1 round; Fail - fascinated 1 round; Crit Fail - Fascinated.</t>
  </si>
  <si>
    <t>Canticle of Everlasting Grief</t>
  </si>
  <si>
    <t>With a melody of pure grief only the target can hear, they make them lose the ability to gain bonuses (circumstance or status); Success - 5d6 mental, frightened 1, no bonus for 1 round; Fail - 10d6 mental, frightened 3, no bonus for 1 week; Crit Fail - 20d6 mental, frightened 4, no bonus forever (allies within 15ft are affected by same curse)</t>
  </si>
  <si>
    <t>Clone Companion</t>
  </si>
  <si>
    <t>Your companion</t>
  </si>
  <si>
    <t>You create a duplicate that fights alongside its twin, using the same statistics. Each time you Command your companion, both gain 2 identical actions. The twin is forced to follow the same order of actions, but doesnt have to be identical, such as Striding to a different location. It wastes any action it cant take. The twin cant heal.</t>
  </si>
  <si>
    <t>Deluge</t>
  </si>
  <si>
    <t>With a catastropic downpour, you force all flying creatures in the area to fall 50ft. If they hit the ground they take damage equal to the distance they fell instead of usual fall damage, ending prone. Creatures on the ground, including the once flying creatures, must make a save or be pushed 50ft away. Flmsy structures collapse.</t>
  </si>
  <si>
    <t>With a catastropic downpour, you force all flying creatures in the 50ft burst area to fall 60ft. If they hit the ground they take damage equal to the distance they fell instead of usual fall damage, ending prone. Creatures on the ground, including the once flying creatures, must make a save or be pushed 50ft away. Flmsy structures collapse.</t>
  </si>
  <si>
    <t>With a catastropic downpour, you force all flying creatures in the 60ft burst area to fall 70ft. If they hit the ground they take damage equal to the distance they fell instead of usual fall damage, ending prone. Creatures on the ground, including the once flying creatures, must make a save or be pushed 50ft away. Flmsy structures collapse.</t>
  </si>
  <si>
    <t>#156</t>
  </si>
  <si>
    <t>Devour Life</t>
  </si>
  <si>
    <t>1 living creatures</t>
  </si>
  <si>
    <t>You consume the target's life force, dealing 60 negative damage. If this reduces them to 0hp they die instantly. You regain HP equal to half the damage delt (after weakness/resistances), and any extra becomes temp HP that lasts 1 min.</t>
  </si>
  <si>
    <t>You consume the target's life force, dealing 70 negative damage. If this reduces them to 0hp they die instantly. You regain HP equal to half the damage delt (after weakness/resistances), and any extra becomes temp HP that lasts 1 min.</t>
  </si>
  <si>
    <t>You consume the target's life force, dealing 80 negative damage. If this reduces them to 0hp they die instantly. You regain HP equal to half the damage delt (after weakness/resistances), and any extra becomes temp HP that lasts 1 min.</t>
  </si>
  <si>
    <t>Disappearance</t>
  </si>
  <si>
    <t>Shrouding the target from all senses, making them undetected in every way, so it counts as invisible to all senses. It is possible to Seek to find the target by looking at disturbed dust, or gaps in the sound spectrum.</t>
  </si>
  <si>
    <t>Discern Location</t>
  </si>
  <si>
    <t>You learn the name of the target's exact location and plane. You must have met the target, or a significant belonging, or for objects have touched them or a fragment of it. This spell automatically overrides spells that naturally ward against it of its level or lower.</t>
  </si>
  <si>
    <t>Divine Armageddon</t>
  </si>
  <si>
    <t>Calling forth a divine cataclysm, you destroy living and undead creatures alike, dealing 10d6 negative and 10d6 (deity's) alignment damage. A true neutral deity deals 4d6 extra negative damage instead. Creatures with negative healing take positive damage instead.</t>
  </si>
  <si>
    <t>Calling forth a divine cataclysm, you destroy living and undead creatures alike, dealing 11d6 negative and 11d6 (deity's) alignment damage. A true neutral deity deals 5d6 extra negative damage instead. Creatures with negative healing take positive damage instead.</t>
  </si>
  <si>
    <t>Calling forth a divine cataclysm, you destroy living and undead creatures alike, dealing 12d6 negative and 12d6 (deity's) alignment damage. A true neutral deity deals 6d6 extra negative damage instead. Creatures with negative healing take positive damage instead.</t>
  </si>
  <si>
    <t>Divine Aura</t>
  </si>
  <si>
    <t>Divine power wards your allies in the area, granting +1 to AC and saves. Choose an alignment of your diety (chaotic, evil, good, or lawful), the effects become +2 against creatures of the opposite alignment (chaotic if you choose lawful), and +4 if the save is against being Controlled. Melee attackers of the opposite alignment must make a will save or be blinded for 1 min (immune 1 min). The radius grows by 10ft each time you sustain.</t>
  </si>
  <si>
    <t>Divine Inspiration</t>
  </si>
  <si>
    <t>Infusing the target with spiritual energy, you refresh its magic. The target recovers 1 prepared spell of upto 6th level it has already cast today if possible. The target recovers 1 spontaneusly spell slot of upto 6th lv if possible. And if the target has a focus poil, it regains Focus Points as if it Refocused.</t>
  </si>
  <si>
    <t>Dream Council</t>
  </si>
  <si>
    <t>12 creatures you know</t>
  </si>
  <si>
    <t>Upon casting this spell, any target -including you- can fall asleep instantly, and ends for any nonsleeping creatures. Sleepers share a dream where they can communicate with another as if in the same room.</t>
  </si>
  <si>
    <t>Earthquake</t>
  </si>
  <si>
    <t>You shake the ground, toppling creatures into fissures, and collapse structures. The GM might add additional effects. Shaking Ground - -2 penalty to attacks, AC, and skill checks; Fissure - reflex save or fall into a 40ft deep fissure (perminate, DC 15 to climb); Collapse - GM rolls flat check for each structure (dc 16 for sturdy, DC 9 for shobby), a collapse deals 11d6 bludg (reflex): Crit succ - half damage; Success half damage, prone; Fail - full, prone; Crit Fail - full dam, falls into fissure.</t>
  </si>
  <si>
    <t>You shake the ground, toppling creatures into fissures, and collapse structures within half a mile, and the area is a quarter mile burst. The GM might add additional effects. Shaking Ground - -2 penalty to attacks, AC, and skill checks; Fissure - reflex save or fall into a 40ft deep fissure (perminate, DC 15 to climb); Collapse - GM rolls flat check for each structure (dc 16 for sturdy, DC 9 for shobby), a collapse deals 11d6 bludg (reflex): Crit succ - half damage; Success half damage, prone; Fail - full, prone; Crit Fail - full dam, falls into fissure.</t>
  </si>
  <si>
    <t>Falling Sky</t>
  </si>
  <si>
    <t>30ft radius, 60ft tall</t>
  </si>
  <si>
    <t>With telekinetic pressure, you throw all flying creatures straight down, where they take twice as much fall damage as they would of just falling (1 damage per ft, even if spell doesnt hit ground). Any creature on the ground by the end of the spell's duration makes a save: Crit Success - standing; Success - prone; Fail - prone, stunned 2; Crit Fail - proned, stunned 1 round.</t>
  </si>
  <si>
    <t>Horrid Wilting</t>
  </si>
  <si>
    <t>Upto all living targets</t>
  </si>
  <si>
    <t>You pull the moisture out of the targets' bodies, dealing 10d10 negative damage. Creatures of made of water (plants, and water elementals) treat the save as one degree worse. Creatures without water (such as golems) are immune.</t>
  </si>
  <si>
    <t>You pull the moisture out of the targets' bodies, dealing 11d10 negative damage. Creatures of made of water (plants, and water elementals) treat the save as one degree worse. Creatures without water (such as golems) are immune.</t>
  </si>
  <si>
    <t>You pull the moisture out of the targets' bodies, dealing 12d10 negative damage. Creatures of made of water (plants, and water elementals) treat the save as one degree worse. Creatures without water (such as golems) are immune.</t>
  </si>
  <si>
    <t>Hypnopompic Terrors</t>
  </si>
  <si>
    <t>upto 10 creatures</t>
  </si>
  <si>
    <t>With nightmare visions with real effects, you deal 6d12 mental damage. Sleeping creatures wake up, but their save is one degree worse. Success - half damage, frightened 2; Fail - full damage, frightened 2, paralyzed for 1 round; Crit Fail - double damage, frightened 2, paralyzed for 2 rounds.</t>
  </si>
  <si>
    <t>Maze</t>
  </si>
  <si>
    <t>You transport the target into an extradimensional eldritch maze immune to teleportation magic (except planeshift). Once each round the target can spend 1 action to make a Survival or Perception check against your spell DC to escape: Crit Success - escapes; Success - on the right path, if target was already on the right path it escapes; Fail - no progress; Crit Fail - no longer on the right path.</t>
  </si>
  <si>
    <t>Mind Blank</t>
  </si>
  <si>
    <t>A ward to hide from divination magic. Target gains +4 status bonus to saves against mental effects. Mind Blank attempts to counteract any detection, revelation, or scrying effects as if it was 1 level higher. On success the spell fails to find the target, but locates others (such as hiding the magic on the target from Detect Magic)</t>
  </si>
  <si>
    <t>Moment of Renewal</t>
  </si>
  <si>
    <t>6 creatures</t>
  </si>
  <si>
    <t>The targets experience a day's worth ofrecovery instantly. Any detrimental effects that last 24 hours would end, though this doesnt shorten spell effects. The target regains hp, and other conditions as if it had rested. Target does not make daily preperations nor gain any other benifits to resting then healing. Afterwhich target is immune for 1 day.</t>
  </si>
  <si>
    <t>Monstrosity Form</t>
  </si>
  <si>
    <t>Huge monster. AC [20+lv], 20 temp hp; darkvision; +30 athletics; +28 attack; Phoenix - 30ft (fly 90ft), Beak (15ft, 2d6+12 slash, 2d4 fire, 2d4 pers. fire), Talon (agile, 15ft, 2d8+12 slash), all creatures in 20ft take 2d6 fire; Purple Worm - 40ft (burrow 30ft, swim 20ft), Jaw (10ft, 2d12+20 pierc), Stinger (agile, 10ft, 2d8+15 peirc, 2d6 pers. poison), auto end paralyze, slow, stunned at end of turn; Sea Serpent - 20ft (swim 90ft), Jaw (15ft, 2d12+20 pierc), Tail (25ft, 2d8+20 blud), 2 action Spine rake (swim, deal 4d8+10 slash (reflex) to all you pass).</t>
  </si>
  <si>
    <t>Huge monster. AC [22+lv], 25 temp hp; darkvision; +33 athletics; +31 attack; Phoenix - 30ft (fly 90ft), Beak (15ft, 2d6+12 slash, 2d4 fire, 2d4 pers. fire), Talon (agile, 15ft, 2d8+12 slash), all creatures in 20ft take 2d6 fire; Purple Worm - 40ft (burrow 30ft, swim 20ft), Jaw (10ft, 2d12+20 pierc), Stinger (agile, 10ft, 2d8+15 peirc, 2d6 pers. poison), auto end paralyze, slow, stunned at end of turn; Sea Serpent - 20ft (swim 90ft), Jaw (15ft, 2d12+20 pierc), Tail (25ft, 2d8+20 blud), 2 action Spine rake (swim, deal 4d8+10 slash (reflex) to all you pass).</t>
  </si>
  <si>
    <t>Polar Ray</t>
  </si>
  <si>
    <t>With a blue-white ray of freezing air, you deal 10d8 cold damage on hit. On a successful hit the target is also drained 2.</t>
  </si>
  <si>
    <t>With a blue-white ray of freezing air, you deal 12d8 cold damage on hit. On a successful hit the target is also drained 2.</t>
  </si>
  <si>
    <t>With a blue-white ray of freezing air, you deal 14d8 cold damage on hit. On a successful hit the target is also drained 2.</t>
  </si>
  <si>
    <t>Power Word Stun</t>
  </si>
  <si>
    <t>You stun the target with an arcane word of power, afterwhich it becomes immune for 10 minutes. The effect is based on the target's level: upto lv 13 - Stunned 1d6 rounds; lv 14-15 - stunned 1 round; 16+ - stunned 1.</t>
  </si>
  <si>
    <t>You stun the target with an arcane word of power, afterwhich it becomes immune for 10 minutes. The effect is based on the target's level: upto lv 15 - Stunned 1d6 rounds; lv 16-17 - stunned 1 round; 18+ - stunned 1.</t>
  </si>
  <si>
    <t>You stun the target with an arcane word of power, afterwhich it becomes immune for 10 minutes. The effect is based on the target's level: upto lv 17 - Stunned 1d6 rounds; lv 18-19 - stunned 1 round; 20+ - stunned 1.</t>
  </si>
  <si>
    <t>Prismatic Wall</t>
  </si>
  <si>
    <t>You create a straight line of light, upto 60ft line, and 30ft high that sheds bright light for 20ft. Can't pass through creatures. Creatures other than you that enter its light make a Will save (suc - dazzle 1 round; fail - blind 1 round; crit - blind 1 min; immune 1 hour). A creature touching the wall is subject to all colors of the effect of 7th level Chromatic Wall at once. Can only be dispelled by its level or higher, and in order of the color's specific spell: red, orange, yellow, green, blue, indigo, violet</t>
  </si>
  <si>
    <t>Prying Survey</t>
  </si>
  <si>
    <t>120ft emanation</t>
  </si>
  <si>
    <t>You create 8 invisible eyes, 3inch round, to explore the area. You can spend an action to Seek from any location the eyes can see as if you were there. The eyes can not pass through barriers, and are destroyed if they take damage. As an exploration activity, you can travel at half speed, gaining the benifits of Scout and Search, even at going over 300ft a min.</t>
  </si>
  <si>
    <t>You create 8 invisible eyes, 3inch round, to explore the area within 500ft. You can spend an action to Seek from any location the eyes can see as if you were there. The eyes can not pass through barriers, and are destroyed if they take damage. As an exploration activity, you can travel at half speed, gaining the benifits of Scout and Search, even at going over 300ft a min.</t>
  </si>
  <si>
    <t>Punishing Winds</t>
  </si>
  <si>
    <t>30ft radius, 100ft tall</t>
  </si>
  <si>
    <t>Violent winds form of cyclone. Flying creatures instantly decend 40ft. The area is greater difficult terrain for flying creatures, and difficult terrain for creatures on the ground. Flying creatures that start their turn instantly decend 20ft. Any creature pushed into a surface takes bludgeoning damage as if they had fallen. The edge of the cylinder is a hard edge, prevent escape unless the creature makes an athletics / acrobatics check against your DC.</t>
  </si>
  <si>
    <t>Scintillating Pattern</t>
  </si>
  <si>
    <t>Brilliant colors fill the area, dazzling all creatures in the area and within 20ft of its boundry. A creature must make a save if it is in the area when the spell is cast, at the start of its turn, or enters it: Success - unaffected; Fail - confused 1d4 rounds; Crit Fail - stunned 1d4 rounds, then stunned until spell ends.</t>
  </si>
  <si>
    <t>Spirit Song</t>
  </si>
  <si>
    <t>60ft cone</t>
  </si>
  <si>
    <t>instant</t>
  </si>
  <si>
    <t>With an eldritch song, you attack spirits using ethereal energy, dealing 18d6 force damage. This can affect creatures projecting their conciousness, possession, and incorporeal creatures hiding in objects. Possessed creatures and those without spirits (such as constructs) are immune.</t>
  </si>
  <si>
    <t>With an eldritch song, you attack spirits using ethereal energy, dealing 20d6 force damage. This can affect creatures projecting their conciousness, possession, and incorporeal creatures hiding in objects. Possessed creatures and those without spirits (such as constructs) are immune.</t>
  </si>
  <si>
    <t>With an eldritch song, you attack spirits using ethereal energy, dealing 22d6 force damage. This can affect creatures projecting their conciousness, possession, and incorporeal creatures hiding in objects. Possessed creatures and those without spirits (such as constructs) are immune.</t>
  </si>
  <si>
    <t>Spiritual Epidemic</t>
  </si>
  <si>
    <t>With a curse you sap the target's lifeforce, leaving a trap behind. Any creature that casts a sivine or occult spell on the target during the duration is also affected by Spirit Epidemic as if they were the original target, as the curse continues to spread; Success - enfeebled 2 and stupefied 2 for 1 round; Fail - enfeeb/stupef 2 for 1 min, enfeeb/ stupef 1 permanently; Crit Fail - enfeeb/stupef 3 for 1min, enfee/stup 2 permenenly.</t>
  </si>
  <si>
    <t>Summon Archmage</t>
  </si>
  <si>
    <t>Calling forth a huge wizard (60ft) it empowers your spells. On arrivial it casts magic missle, dealing 3d4+3 force damage to 5 creatures within 100ft. The duration of benifitial spell on you or your allies does not decrease while within 100ft of the mage. On departue each enemy within 100ft must make a will save: fail - stupefied 2 for 1 round, and any 1 spell lower level then this spell its affected by is removed.</t>
  </si>
  <si>
    <t>Summon Diefic Herald</t>
  </si>
  <si>
    <t>Huge angel (60ft) with 100ft aura. LG - Retributive Strike - 5th lv divine wrath; NG - Glimpse of Redemption - 3 action Heal (5th lv); CG - Liberating Step - Freedom of Movement; LN - res 20 chaotic - 5th divine wrath; N - quickened 1 - 6th enervation; CN - res 20 lawful - 5th divine wrath; LE - Iron Command - 5th divine wrath; NE - Selfish Shield - 5th crushing despare; CE - Destructive Vengeance - 5th Weapon Storm (d12)</t>
  </si>
  <si>
    <t>Summon Irii</t>
  </si>
  <si>
    <t>Medium irii (60ft speed, 30ft aura): Fate: arrive - allies that roll under 10 gets 10, depart - enemy will save, on fail any roll above 10 becomes 10 until end of next turn; Fortune: arrive - allies have fortune (roll twice, take higher) for damage, perception, and saves, depart - enemy will save, misfortune (roll twice, take lower) for damage, perception, and saves until end of next turn.</t>
  </si>
  <si>
    <t>Uncontrollable Dance</t>
  </si>
  <si>
    <t>With the all consuming desire to dance, the target becomes flat-footed and cant use reactions, and Stride actions are replaced with dancing at half speed (no other move trait actions can be taken): Success - 3 rounds, 1 action must be spent dancing each turn; Fail - 1 min, 2 actions spent dancing each turn; Crit Fail - for 1 min all turns are spent dancing.</t>
  </si>
  <si>
    <t>Undermine Reality</t>
  </si>
  <si>
    <t>With a lashing of shadows, you sap the essence of the target, making them only quasi-real. While in this state the target's Strikes deal half damage, it cant crit succeed any skill, and creatures attempting saving throws against it's effects get 1 degree better: Success - lasts until end of next turn; Fail - 1 min, making a save at end of turn to end effect; Crit Fail - unlimited duration.</t>
  </si>
  <si>
    <t>Unrelenting Observation</t>
  </si>
  <si>
    <t>You allow the targets to begin hunting a creature or object. The hunted (also a target of this spell) is followed by a scrying eye that all other targets can see and follow, even if the hunted is invisible. This eye is blocked by lead or running water, but as no maximum distance. If the hunted is unwilling it makes a Will save: Success - 1 min; Fail - 1 hour</t>
  </si>
  <si>
    <t>Whirlwind</t>
  </si>
  <si>
    <t>15ft radius, 80ft tall</t>
  </si>
  <si>
    <t>Powerful winds form into a tornado, that is difficult terrain and must be 80ft tall. The tornado deals 5d10 bludgeoning, and each time you sustain you can move it 30ft in a line, affecting each creature only once a round. Success - half damage; Fail - full damage, creature rises 10ft into the air, creatures without fly speed gain one equal to speed until it reaches the ground; Crit fail - as failure, but double damage, and rises 20ft into the air.</t>
  </si>
  <si>
    <t>Powerful winds form into a tornado, that is difficult terrain and must be 80ft tall. The tornado deals 6d10 bludgeoning, and each time you sustain you can move it 30ft in a line, affecting each creature only once a round. Success - half damage; Fail - full damage, creature rises 10ft into the air, creatures without fly speed gain one equal to speed until it reaches the ground; Crit fail - as failure, but double damage, and rises 20ft into the air.</t>
  </si>
  <si>
    <t>Powerful winds form into a tornado, that is difficult terrain and must be 80ft tall. The tornado deals 7d10 bludgeoning, and each time you sustain you can move it 30ft in a line, affecting each creature only once a round. Success - half damage; Fail - full damage, creature rises 10ft into the air, creatures without fly speed gain one equal to speed until it reaches the ground; Crit fail - as failure, but double damage, and rises 20ft into the air.</t>
  </si>
  <si>
    <t>Wind Walk</t>
  </si>
  <si>
    <t>You and all the targets transform into a vaguely cloud-like form, being picked up by the wind. As an action you can change the direction of the wind as it carries you 20miles per hour. If any target makes an attack, casts a spell, comes under attack, or otherwise enter encounter mode, the spell ends for all after rolling intiative and they gently drift to the ground.</t>
  </si>
  <si>
    <t>Astral Labyrinth</t>
  </si>
  <si>
    <t>With a maze of astral energy, you attempt to counteract mind effects and teleportation that enter the area. Creatures entering or leaving via teleportation, extradimensional travel, or are summoned make a save: Success - stunned 1; Fail - stunned 1, you are aware they failed, and they land in a space you choose; Crit fail - stunned 3, you mentally see the creature, and it teleports into a space you choose.</t>
  </si>
  <si>
    <t>With a maze of astral energy, you attempt to counteract mind effects and teleportation that enter the area. Creatures other then you entering or leaving via teleportation, extradimensional travel, or are summoned make a save: Success - stunned 1; Fail - stunned 1, you are aware they failed, and they land in a space you choose; Crit fail - stunned 3, you mentally see the creature, and it teleports into a space you choose.</t>
  </si>
  <si>
    <t>Bilocation</t>
  </si>
  <si>
    <t>You create a second self, allowing you to exist in two places at once. The copy appears in an adjacent space, shares hitpoints, and when you take an action you select which takes it, and move actions move both versions. Any condition afffects both, and if you are both in one area of a spelly you are affected once. Both selves remain even after hitting 0hp. No max range, when the spell ends you choose which remains to become you.</t>
  </si>
  <si>
    <t>Bind Soul</t>
  </si>
  <si>
    <t>You wrench the soul of a target that died less then a minute ago before it passes into the afterlife, imprisoning it in a black sapphire (valued at 100gp*lv). While the target's soul is in the gem, it can not return to life via any means, including wish. The gem is destroyed if counteracted, has an AC of 16, hardness of 10, and can only hold 1 soul.</t>
  </si>
  <si>
    <t>Crusade</t>
  </si>
  <si>
    <t>With a devine mandate you give the targets an order that is not harming themselves. The spell ends for all creatures if you or your allies use hostile actions against them. The effect is based on level: upto 13 - will pursue order to death; 14th - will pursue until reduced to half health; 15th - as 14, plus will save at end of turn to end the effect.</t>
  </si>
  <si>
    <t>With a devine mandate you give the targets an order so long as it is not harming themselves. The spell ends for all creatures if you or your allies use hostile actions against them. The effect is based on level: upto 15 - will pursue order to death; 16th - will pursue until reduced to half health; 17th - as 16, plus will save at end of turn to end the effect.</t>
  </si>
  <si>
    <t>Disjunction</t>
  </si>
  <si>
    <t>1 magic item</t>
  </si>
  <si>
    <t>With crackling energy you disjoin the target. Attempt to counteract it, on a success its deactivated for 1 week. On a critical success, its destroyed. Doesnt work on artifacts.</t>
  </si>
  <si>
    <t>Divinity Leech</t>
  </si>
  <si>
    <t>Disrupting the connection of a divine caster, you block their magic and make them fatiqued. If they attempt to cast a spell you regain 6d6hp and they make a save: Success - each target of the spell as an outcome one degree of success better; Fail - spell is lost, stunned 1; Crit Fail - spell lost, stunned for 1 round.</t>
  </si>
  <si>
    <t>#162</t>
  </si>
  <si>
    <t>Foresight</t>
  </si>
  <si>
    <t>You gain a six sense that warns you of danger. If the target isnt you, you gain a psychic link. Target gains +2 to initative, and isnt flatfooted to undetected or flank. Due to the strain, you can only have one Foresight active at a time. Gain the reaction Foresight: if the target rolls dice against a hostile effect it has fortune (roll twice, take higher), and if a creature rolls dice against the target it has misfortune (roll twice, take lower).</t>
  </si>
  <si>
    <t>Implosion</t>
  </si>
  <si>
    <t>You crush the target, dealing 75 damage. The first time you sustain each round you must choose a new target to be subject to the same effect, and never targeting a creature more than once with a single casting of this spell. Can only affect 1 creature per turn. Has no effect on incorporeal, gaseous, or liquid creatures.</t>
  </si>
  <si>
    <t>You crush the target, dealing 85 damage. The first time you sustain each round you must choose a new target to be subject to the same effect, and never targeting a creature more than once with a single casting of this spell. Can only affect 1 creature per turn. Has no effect on incorporeal, gaseous, or liquid creatures.</t>
  </si>
  <si>
    <t>Linnorm Sting</t>
  </si>
  <si>
    <t>Replicating the attack of a tor linnorm, dealing 2d12 piercing damage, inflicting poison if they take damage. Success - 8d6 damage; Fail - Stage 1; Crit fail - stage 2; Tor Lunnorm Venom (lv 17, 10 rounds): Stage 1 - 8d6 fire, drained 1 (1 round); Stage 2 - 12d6 fire, drained 2 (1 round);</t>
  </si>
  <si>
    <t>Massacre</t>
  </si>
  <si>
    <t>A wave of necromatic energy with a desire to snuff out life. Each living creature of upto 17th Lv makes a save. Any creature reduced to 0hp dies. If this spell fails to kill a single creature, the negative energy has a backlash, dealing 30 negative damage to all living creatures (including above 17th lv, and you). Success - 9d6 negative damage; Fail - 100 negative damage; Crit Fail - target dies.</t>
  </si>
  <si>
    <t>A wave of necromatic energy with a desire to snuff out life. Each living creature of upto 19th Lv makes a save. Any creature reduced to 0hp dies. If this spell fails to kill a single creature, the negative energy has a backlash, dealing 30 negative damage to all living creatures (including above 19th lv, and you). Success - 10d6 negative damage; Fail - 115 negative damage; Crit Fail - target dies.</t>
  </si>
  <si>
    <t>Meteor Swarm</t>
  </si>
  <si>
    <t>4 40ft bursts</t>
  </si>
  <si>
    <t>Calling down 4 meteors, dealing 6d10 bludgeoning damage to any creature within 10ft burst of the center, and 14d6 fire damage to any creature within the 40ft burst. Meteor centers cant overlap, and each creature can only take damage of each type once. A single save is made for both bludgeoning and fire damage.</t>
  </si>
  <si>
    <t>Calling down 4 meteors, dealing 7d10 bludgeoning damage to any creature within 10ft burst of the center, and 16d6 fire damage to any creature within the 40ft burst. Meteor centers cant overlap, and each creature can only take damage of each type once. A single save is made for both bludgeoning and fire damage.</t>
  </si>
  <si>
    <t>Nature's Enmity</t>
  </si>
  <si>
    <t>500ft burst</t>
  </si>
  <si>
    <t>The animals and plants of the area turn against 5 targets you choose when casting this spell. While in the area, they suffer the following affects: -10ft speed penalty while adjacent to a plant; aggrassive animals, DC 8 flat check or swarmed dealing 2d10 (basic Reflex, flat footed on success); nature becomes hostile, DC 5 flat check to cast primal spells, and bonded animals become violent.</t>
  </si>
  <si>
    <t>One with the Land</t>
  </si>
  <si>
    <t>Merging with the land you gain the effects: imprecise tremorsense 200ft range; spell attack with nature dealing 5d12 physical damage on hit with a range of 60ft; and as 2 actions you can create or remove a 20ft burst of difficult terrain within 200ft. While merged with nature your form can be seen and attacked, but its enough to Hide or Take Cover. Destruction of where you are ends the spell and deals 10d6 damage to you.</t>
  </si>
  <si>
    <t>Overwhelming Presence</t>
  </si>
  <si>
    <t>Tribute</t>
  </si>
  <si>
    <t>Surrounding yourself with supernatural splendor, you take on the aura of a god level being of your choice. Any creature within the area can be affected, and must spend an action each paying tribute based on your appearence, during which it is Fascinated by you and cant use hostile actions. Success - 2 tributes; Fail - 6 tributes; Crit fail - 6 tributes at once.</t>
  </si>
  <si>
    <t>Power Word Kill</t>
  </si>
  <si>
    <t>1 target</t>
  </si>
  <si>
    <t>You utter the most powerful arcane words, afterwhich the target is immune for 10min. The effect is based on level: upto 14th lv - the target dies instantly; 15th - 50hp or less the target dies, over 50hp it is reduced to 0hp and dying 1; 16th+ - target takes 50 damage, dying instantly if reduced to 0hp.</t>
  </si>
  <si>
    <t>You utter the most powerful arcane words, afterwhich the target is immune for 10min. The effect is based on level: upto 16th lv - the target dies instantly; 17th - 50hp or less the target dies, over 50hp it is reduced to 0hp and dying 1; 18th+ - target takes 50 damage, dying instantly if reduced to 0hp.</t>
  </si>
  <si>
    <t>Prismatic Shield</t>
  </si>
  <si>
    <t>Shield sized shards of light float around you, intercepting attacks. Any ranged weapon attacks sized spear or smaller dont pass through, and you have a +2 AC against bigger weapons. Spells that target you require a counteract check against your spell DC or fail outright. Melee attackers hit a shard, gaining a random effect from prismatic spray.</t>
  </si>
  <si>
    <t>Prismatic Sphere</t>
  </si>
  <si>
    <t>10ft sphere</t>
  </si>
  <si>
    <t>You create a 7 layered sphere to protect an area. This functions like prismatic wall, but is shaped in a 10ft burst centered on a corner of your space. The sphere must be unbroken and cant pass through any creatures or objects.</t>
  </si>
  <si>
    <t>Proliferating eyes</t>
  </si>
  <si>
    <t>You implant an invisible, magical eye on the target's body that is highly contagious. The first two times the target touches any creature the spell buds off and a new eye is implanted on that creature, which can then bud off 2 more times. The eye propigates upto 4 times, to a max of 31 eyes. You can switch to seeing through any of the eyes as an action. You know the number of eyes, and which budded off.</t>
  </si>
  <si>
    <t>Resplendent Mansion</t>
  </si>
  <si>
    <t>You conjure a towering mansion upto 4 stories tall, and 300ft to a side, filling it has you please. Items can not be taken beyond it's walls and every door and window has an Alarm spell. There is food simular to Magnificent Mansion (can feed 150 people a 9-course meal).</t>
  </si>
  <si>
    <t>Shapechange</t>
  </si>
  <si>
    <t>With mastery of transformative magic, you can transform yourself using any polymorph spell you know, or could prep of upto 8th level (including over cast). As a single action you can change forms at will, picking another form from a different polymorph spell.</t>
  </si>
  <si>
    <t>Storm of Vengeance</t>
  </si>
  <si>
    <t>800ft</t>
  </si>
  <si>
    <t>360ft burst</t>
  </si>
  <si>
    <t>A storm forms, imposing a -4 penalty to physical ranged attacks, and greater difficult terrain for flying creatures. When you cast the spell, and each round you sustain, pick one: Acid Rain - 4d8 acid, no save; Hail - 4d10 bludgeon (basic Fort); Lightning - 10 bolts of lightning deal 7d6 eletric (basic Reflex), cant target more than once; Rain and Wind - difficult terrain, concealed; Thunder - Fort save or deaf for 10 min, then immune 1 hour</t>
  </si>
  <si>
    <t>A 100ft burst storm forms within 2,200ft, imposing a -4 penalty to physical ranged attacks, and greater difficult terrain for flying creatures. When you cast the spell, and each round you sustain, pick one: Acid Rain - 4d8 acid, no save; Hail - 4d10 bludgeon (basic Fort); Lightning - 10 bolts of lightning deal 7d6 eletric (basic Reflex), cant target more than once; Rain and Wind - difficult terrain, concealed; Thunder - Fort save or deaf for 10 min, then immune 1 hour</t>
  </si>
  <si>
    <t>Summon Ancient Fleshforged</t>
  </si>
  <si>
    <t>250ft</t>
  </si>
  <si>
    <t>Ancient fleshforged. Bone Breaker (garg. 40ft, 100ft climb): Arrive - 80ft aura, fort save (Suc: enfeeb 2 1 round, fail: enfeeb 3, 1 min; crit fail: enfeeb 4, 10 min, worse for skeleton). Depart: 2 10ft wide, 100ft line, 8d12 bludg (basic Fort). Scion of Desiccation (Gar, 100ft, 100ft fly) Arrive - 40ft aura, 10d10 negative (basic Fort), Depart - 60ft aura, fort (fail: drained 2; crit fail: drained 4); The Thousand (5 medium, 30ft) Arrive - 10ft aura (suc: fright 1; fail: fright 3; Crit fail: fright 4, flee 1 round), Depart - 60ft aura, 10d8 mental to fright (basic Will); Thorn Caller (gar, 100ft), Arrive - 200ft aura, dazzle and flatfoot, Depart - 6 attacks within 300ft, 10d8 peirc, half on miss.</t>
  </si>
  <si>
    <t>Summon Draconic Legion</t>
  </si>
  <si>
    <t>Gargantian swarm of dragons. Arrive - 120ft line and 60ft cone that cant overlap, dealing 10d8 damage (basic Reflex) of your choice between: cold, fire, poison for the cone, and acid, eletric, fire for the line. Depart - deals 9d8 (basic Reflex) slashing to all creatures within 20ft.</t>
  </si>
  <si>
    <t>Telepathic Demand</t>
  </si>
  <si>
    <t>You send a message of 25 words to someone you have previously made a mental connection to. They can immeadately reply with a message of 25 words of their own. Your message has the effect of Suggestion: Issue a command thats not self destructive, Crit success - aware of the spell; Success - immune 1 day; Fail - follows order for 1 min; Crit Fail - follows order 1 hour.</t>
  </si>
  <si>
    <t>Undertaker</t>
  </si>
  <si>
    <t>You promise them a grave. If either you or them is not on solid ground, they gain a +2 bonus, if neither are on the ground the save is one degree better. Success - 40 negative, difficult terrain until next turn; Fail - 80 negative, prone, difficult terrain; Crit Fail - 160 negative, prone, if in stone coffin (ac 10, hardness 14, 80hp) by your next turn they die, ressurecting as a ghast next sundown.</t>
  </si>
  <si>
    <t>#184</t>
  </si>
  <si>
    <t>Unfathomable Song</t>
  </si>
  <si>
    <t>With an unnatural song, the same targets makes a save, and again each round you sustain. Crit Success - immune 1 min; Success - unaffcted this round; Fail - roll 1d4; Crit Fail - roll 1d4+1; Table: 1 - frightened 2; 2 - confused 1 round; 3 - stupfied 4, 1 round; 4- blind 1 round; 5- stunned 1 round, stupefied 1 forever.</t>
  </si>
  <si>
    <t>Unspeakable Shadow</t>
  </si>
  <si>
    <t>The target's shadow  transforms into a terrifying monster. While frightened they must spend at least one action (ineffectivly) attacking the shadow, or fleeing. Success - frightened 2; Fail - frightened 3, cant go below 1 for 1 min; Crit Fail - so scared it might die, Fort save, on fail dies instantly, on success frightened 4, cant go below 1 for 1 min.</t>
  </si>
  <si>
    <t>Upheaval</t>
  </si>
  <si>
    <t>150ft burst</t>
  </si>
  <si>
    <t>The ground crumbles as pillars of stone errupt into the air, GM may add additional effects beyond: Stone Debris - difficult terrain; Rising Pillar - pillars of stone 10ft wide errupt 60ft into the air (DC 30 to climb), reflex save to avoid falling, auto fail if pillar hits cieling; Structural Collapse - DC 14 flat check for sturdy, DC 9 for average structures, 11d6 bludgeon for falling building (reflex) Crit suc - half damage; Succ - half damage, prone; Fail - full damage, prone; Crit fail - full damage, restained.</t>
  </si>
  <si>
    <t>Voracious Gestalt</t>
  </si>
  <si>
    <t>A powerful gestalt spirit entity grows in power as you kill. Affecting only creatures you choose, you deal 14d6 negative when you cast the spell. Creatures you choose that end their turn in the area take 6d6 negative. Once per turn, if you killed a creature, or the gestalt does, the radius increased by 20ft and damage by 1d6 at the end of your turn. This only works on creatures of a signifficant threat.</t>
  </si>
  <si>
    <t>A powerful gestalt spirit entity grows in power as you kill. Affecting only creatures you choose, you deal 16d6 negative when you cast the spell. Creatures you choose that end their turn in the area take 7d6 negative. Once per turn, if you killed a creature, or the gestalt does, the radius increased by 20ft and damage by 1d6 at the end of your turn. This only works on creatures of a signifficant threat.</t>
  </si>
  <si>
    <t>Wail of the Banshee</t>
  </si>
  <si>
    <t>A scream that chills the souls of enemies, dealing 8d10 negative damage to living enemies. Crit Success - unaffected; Success - full damage; Fail - full damage, drained 1d4; Crit fail - double damage, drained 4.</t>
  </si>
  <si>
    <t>Weapon of Judgement</t>
  </si>
  <si>
    <t>A ghostly weapon appears above the head of the target, pick War or Peace. War - the target must attack a creature you choose, otherwise is striked by the weapon; Peace - if the target take a hostile action against upto 5 allies it is striked by the weapon. Strike is a spell attack, dealing 3d10 + spell mod force damage. The weapon has its own MAP, does not flank, is not affected by feats.</t>
  </si>
  <si>
    <t>A ghostly weapon appears above the head of the target, pick War or Peace. War - the target must attack a creature you choose, otherwise is striked by the weapon; Peace - if the target take a hostile action against upto 5 allies it is striked by the weapon. Strike is a spell attack, dealing 4d10 + spell mod force damage. The weapon has its own MAP, does not flank, is not affected by feats.</t>
  </si>
  <si>
    <t>Weird</t>
  </si>
  <si>
    <t>Upto all creatures</t>
  </si>
  <si>
    <t>Filling the target's mind with terrifying images of their worst nightmare, you deal 16d6 mental damage. Success - half damage, frightened 1; Fail - fill damage, frightened 2; Crit Fail - so afraid might die, fort save, on a fail dies, on success takes double damage, frightened 2, fleeing until end of its next turn.</t>
  </si>
  <si>
    <t>Alter Reality</t>
  </si>
  <si>
    <t>Using the power of the spiritual multiverse you can do one of the following: Duplicate any occult spell of upto 9th lv you have access to; Duplicate upto any 7th level spell you have access to; Produce any effect with power equivilent to an occult 9th lv spell, or non occult 7th lv spell; Reverse certain effects that need Wish tier magic; Plead to the DM and hope for mercy.</t>
  </si>
  <si>
    <t>Avatar</t>
  </si>
  <si>
    <t>Huge Avatar form. AC [25+lv], 30 temp hp; darkvision; +35 athletics; +33 strike with a holy weapon, which tends to deal 6d[X] damage die. Please refer to Archives of Nethys for a more detailed readout, or Core Rulebook, page 318. I have given up.</t>
  </si>
  <si>
    <t>Cataclysm</t>
  </si>
  <si>
    <t>1000ft</t>
  </si>
  <si>
    <t>Calling through time, you take a piece of every way the universe dies, forming it together. All effects affect each creature, resistance is 10 lower, and creatures get 1 save for all effects: 3d10 acid from rain; 3d10 bludgeon from earthquake; 3d10 cold from wind; 3d10 electric from lightning; 3d10 to flying creatures from debre; 3d10 bludg to water creatures from tsunami (6d10 if swimming), and 3d10 fire from wildfire. Average of: 15d10</t>
  </si>
  <si>
    <t>Dinosaur Fort</t>
  </si>
  <si>
    <t>A fort of sharped sticks and dinasour hide, upto 300ft to a side, fitting the terrain. Each quadrent is guarded by a T-rex, who will not leave its space, but will help murder anyone within reach of their territory. They dont attack you or people you introduce to them. Each day you can not regain this spellslot, and the fort persists. Can not cast in populated area.</t>
  </si>
  <si>
    <t>Element Embodied</t>
  </si>
  <si>
    <t>Gargantian elemental. AC [25+lv], 30 temp HP; Darkvision; +36 acrobatics (air/fire) / athletics (earth/ water); +34 attack; Air - 80ft fly, 30ft aura of difficult terrain for flying, no reaction movement, Gust (25ft, 3d12+11 bludg, 10ft push), Lightning (80ft, 3d12+4 elec); Earth - 30ft (20ft burrow), res. 5 phsyical, 30ft aura difficult terrain (5 pierc each square), +10 temp hp, Fist (25ft, 3d12+15 bludg), Rock (40ft, 4d8+6 bludg); Fire 50ft, immun fire, weak 10 cold, 30ft aura of 5d6 fire (basic reflex), Tendril (25ft, 3d10+12 fire, 2d6 persist fire), Mote (60ft, 4d8+6 blud); Water - 40ft (80ft swim), res 10 fire, 30ft aura difficult terrain for water, Wave (25ft, 3d12+18 bludg, push or pull 10ft), Spout (60ft, 4d8+6 bludg).</t>
  </si>
  <si>
    <t>Fabricated Truth</t>
  </si>
  <si>
    <t>Choose a single statement you want the targets to believe. Each target can interprate differently, but understand this reviliation. Fabricate Truth will attempt to counteract any previous Fabricate Truth the target is under, resulting in the will save being a success if it fails. Crit Success - knows you tried to trick it; Success - dont believe you; Fail - duration 1 week; Crit Fail - unlimited duration.</t>
  </si>
  <si>
    <t>Fated Confrontation</t>
  </si>
  <si>
    <t>1 willing ally, 1 enemy</t>
  </si>
  <si>
    <t>Binding two souls to a climactic battle, isolating them from outside influence. During that time both may teleport within 30ft of each other. For 1 round both are isolated, unable to be affected by terrain or any effect from a 3rd party (not appling to duration of effects they are already under). For the duration, each opponate can manipulate fate once a turn, giving itself fortune for an attack or skill check, or give the other misfortune on a save.</t>
  </si>
  <si>
    <t>Gate</t>
  </si>
  <si>
    <t>You open a rift to another plane, with a 40ft radius, including vertical. The portal appears in the location of your choice on the destination plane if you know where you want to put it. If the location is in the realm of a god or simular being it can prevent the gate from forming.</t>
  </si>
  <si>
    <t>Indestructibility</t>
  </si>
  <si>
    <t>You are immune to anything you want. You are immune to any effect that would harm you, excluding effects of artifacts, deific power, or simularly powerful sorceres. You can choose to be affected if you are willing.</t>
  </si>
  <si>
    <t>Miracle</t>
  </si>
  <si>
    <t>Reguesting aid from a divine source, if they are willing one of the following can happen: Duplicate upto 9th lv divine magic to have access to; Duplicate upto 7th lv magic you have access to; Produce any effect simular to 9th lv divine magic, or 7th lv magic; Reverse effects that need Wish tier magic; Plead to the DM, and hope for grace.</t>
  </si>
  <si>
    <t>Nature Incarnate</t>
  </si>
  <si>
    <t>Primal Form. AC[25+lv], 30 temp HP; Darkvision; +36 athletics; +34 attack; Green Man - Medium, 40ft (40ft climb), Vine (30ft, 6d8+12 bludg or P), Thorn (100ft, 6d6+6 pierc), 60ft aura enemies must make Fort save or be clumsy 1, 1 round; Kaiju - Gargantuan, 50ft, res. 5 physical, Jaw (30ft, 6d10+10 pierc), Claw (agile, 30ft, 6d8+8 slash), Foot (agile, 15ft, 6d6+10 bludg), immune to (greater) difficult terrain, and immobilized, Trample (3 actions, double stride, huge and smaller make basic Reflex save or take foot damage)</t>
  </si>
  <si>
    <t>Nullify</t>
  </si>
  <si>
    <t>9th level spell</t>
  </si>
  <si>
    <t>When a foe within range casts a spell of upto 9th level you instantly destroy it, taking the magic into yourself. You automatically counteract the spell, but bring yourself harm, losing 1d8 hp per level of the spell.</t>
  </si>
  <si>
    <t>Primal Herd</t>
  </si>
  <si>
    <t>You and the targets become Huge Mammoths; AC [22+lv], 20 temp HP; 40ft speed; Low-light vision; +30 athletics; Attack mod is targets highest attack mod: Tusk (15ft, 4d8+19 pierc), Trunk (agile, 15ft, 4d6+16 bludg), Foot (agile, 15ft, 4d6+13 bludg), Trample (3 actions, double stride, Large or smaller creatures make basic Reflex (DC = 19+lv) against foot strike.</t>
  </si>
  <si>
    <t>Primal Phenomenon</t>
  </si>
  <si>
    <t>You request aid from nature, and as long as its not unnatural one of the following effects will occure: Duplicate upto 9th lv primal magic you have access to; Duplicate upto 7th lv magic you have access to; Produce effects simular to 9th lv primal, or 7th lv magic; Reverse effects that require Wish tier magic; Cry to the DM.</t>
  </si>
  <si>
    <t>Remake</t>
  </si>
  <si>
    <t>You fully re-create an object from nothing, so long as you have a piece of its original form (even a speck of dust from disintegrate). You restore the objects to perfect condition and even remake its (non-expendable) magical effects. This spell fails if: you have to guess what the object was, its larger then a 5ft cube, the object still exists, is an artifact or over lv 20.</t>
  </si>
  <si>
    <t>Revival</t>
  </si>
  <si>
    <t>A burst of healing energy into the living and recently slain. The living reagin 10d8+40 hp, and any dead (limitation of Raise Dead:  died within 3 days) rise up with the same hp restored to the living as Temp Hp. The dead can not regain hp or temp hp, and when the duration ends they die.</t>
  </si>
  <si>
    <t>Shadow Army</t>
  </si>
  <si>
    <t>A dozen semi-real copies of yourself swarm across the battlefield, allowing you to hide and sneak among them. Any enemy in the area when the spell is cast or ends its turn takes 3d10 mental, and 3d10 bludgeoning, inflicting the effect of your choice: clumsy 2, enfeebeled 2, flat-footed, slowed 1; Crit Success - no damage, gets one tier better on further saves, sees you; Success - half damage; Fail - full damage, chosen condition; Crit fail - double damage, chosen condition.</t>
  </si>
  <si>
    <t>Summon Kaiju</t>
  </si>
  <si>
    <t>Summon a legendary gargantuan kaiju: Agmazar (star) - 100ft (50ft climb), Arrive- 100ft aura foe 16d8 negative (basic Fort), Depart- 50ft aura (fort), foe is pushed 100ft away; Agyra (storm) - 80ft (200ft fly), Arrive- two 1,200ft lines, 6d12 electric (basic Reflex), Depart- 100ft aura 6d10 sonic (basic Reflex, prone on fail); Bezravnis (inferno)- 100ft (burrow), Arrive- 50ft aura 8d12 bludg (basic Reflex), earthquake spell, Depart- 50ft aura Reflex, -20ft speed on fail until escape; Mogaru (King) - 100ft (swim), Arrive- aura 60ft foes (will) stunned 3, Depart- 120ft cone, 10d6 fire (basic Reflex, 4d6 persistant fire on fail); Vorgozen (Shapeless) - 50ft (climb, 100ft swim), Arrive- 60ft aura foe (fort) sickened 2, Depart- 1,200ft line 10d6 acid, 10d8 bludg (basic Fort); Yarthoon (moon grub) - 60ft (100ft burrow, fly, swim), Arrive- 200ft aura foe 10d6 cold (basic Reflex), Depart- 100ft burst of obscuring mist, dealing 5d6 cold (basic Fort); Eneshra (Razor wings) - 75ft (100ft fly), Arrive- 100ft aura foe pulled 50ft (fort), 10d6 bludg if in center, Depart- 240ft line foe deal 12d6 eletric (basic Reflex)</t>
  </si>
  <si>
    <t>Time Stop</t>
  </si>
  <si>
    <t>Stopping time for everything but yourself, you can immeadately use 9 actions (3 sets of 3). After each set 1 round passes for you, lowing duration of effects created during this time and affecting you. All others are invulnerable to your attacks and affects. When time flows durations that extend beyond Time Stop immeadate affect others, lacking effects of "when you first cast."</t>
  </si>
  <si>
    <t>Wish</t>
  </si>
  <si>
    <t>State you wish and watch desire become reality, granting one of the following: Dupliucate upto 9th lv arcane spells you have access to; Duplicate upto 7th lv magic you have access to; Produce any effect simular to 9th lv arcane, or 7th lv magic; Reverse effects that need Wish tier magic; Ask the GM for more, hoping its not monkey paw.</t>
  </si>
  <si>
    <t>Adapt Self</t>
  </si>
  <si>
    <t>F</t>
  </si>
  <si>
    <t>With a subtle change, choose one of the following to apply: Gain a swim speed equal to half your land speed; Breath underwater; Darkvision; You are protected from severe heat/cold (duration 10min).</t>
  </si>
  <si>
    <t>Agile Feet</t>
  </si>
  <si>
    <t>The blessings of your god make your feet faster and your movements more fluid. You gain a +5-foot status bonus to your Speed and ignore difficult terrain. As part of casting agile feet, you can Stride or Step; you can instead Burrow, Climb, Fly, or Swim if you have the appropriate Speed.</t>
  </si>
  <si>
    <t>Ancestral Memories</t>
  </si>
  <si>
    <t>The memories of long dead spellcasters share their knowledge. Choose any non-Lore skill, or a Lore skill from the ancient empire of your bloodline. You become trained in that skill. If the activity lasts the duration of the spell, use the lower proficiency bonus.</t>
  </si>
  <si>
    <t>The memories of long dead spellcasters share their knowledge. Choose any non-Lore skill, or a Lore skill from the ancient empire of your bloodline. You become an expert in that skill. If the activity lasts the duration of the spell, use the lower proficiency bonus.</t>
  </si>
  <si>
    <t>Ancestral Touch</t>
  </si>
  <si>
    <t>You force a creature to see and feel the ancestors surrounding you, dealing 1d4 mental. Success - half damage; Fail - frightened 1, full damage; Crit Fail - Frightened 2, double damage.</t>
  </si>
  <si>
    <t>You force a creature to see and feel the ancestors surrounding you, dealing 2d4 mental. Success - half damage; Fail - frightened 1, full damage; Crit Fail - Frightened 2, double damage.</t>
  </si>
  <si>
    <t>You force a creature to see and feel the ancestors surrounding you, dealing 3d4 mental. Success - half damage; Fail - frightened 1, full damage; Crit Fail - Frightened 2, double damage.</t>
  </si>
  <si>
    <t>You force a creature to see and feel the ancestors surrounding you, dealing 4d4 mental. Success - half damage; Fail - frightened 1, full damage; Crit Fail - Frightened 2, double damage.</t>
  </si>
  <si>
    <t>You force a creature to see and feel the ancestors surrounding you, dealing 5d4 mental. Success - half damage; Fail - frightened 1, full damage; Crit Fail - Frightened 2, double damage.</t>
  </si>
  <si>
    <t>You force a creature to see and feel the ancestors surrounding you, dealing 6d4 mental. Success - half damage; Fail - frightened 1, full damage; Crit Fail - Frightened 2, double damage.</t>
  </si>
  <si>
    <t>You force a creature to see and feel the ancestors surrounding you, dealing 7d4 mental. Success - half damage; Fail - frightened 1, full damage; Crit Fail - Frightened 2, double damage.</t>
  </si>
  <si>
    <t>You force a creature to see and feel the ancestors surrounding you, dealing 8d4 mental. Success - half damage; Fail - frightened 1, full damage; Crit Fail - Frightened 2, double damage.</t>
  </si>
  <si>
    <t>You force a creature to see and feel the ancestors surrounding you, dealing 9d4 mental. Success - half damage; Fail - frightened 1, full damage; Crit Fail - Frightened 2, double damage.</t>
  </si>
  <si>
    <t>You force a creature to see and feel the ancestors surrounding you, dealing 10d4 mental. Success - half damage; Fail - frightened 1, full damage; Crit Fail - Frightened 2, double damage.</t>
  </si>
  <si>
    <t>Angelic Halo</t>
  </si>
  <si>
    <t>You gain an angelic halo with an aura that increases allies' healing from the heal spell. Allies in your halo's emanation who are healed by a heal spell gain a status bonus to Hit Points regained equal to double the heal spell's level.</t>
  </si>
  <si>
    <t>Appearance of Wealth</t>
  </si>
  <si>
    <t>M,V</t>
  </si>
  <si>
    <t>With a vision of immense wealth filling the area, each creature within 20ft that can be enticed by material wealth must make a save. A creature that enters the area automatically disbelieves, ending any fascinated condition. Sustaning does not result in new saves. Crit Success- unaffected; Success - fascinated until completing first action of its next turn; Fail - fascinated.</t>
  </si>
  <si>
    <t>Ashen Wind</t>
  </si>
  <si>
    <t>You conjure a swirling wind of ashes that blows through the area. Each creature in the area must attempt a Fortitude save or get the cloying ash in its lungs. Success - unaffected; Fail - sickened 1; Crit Fail - sickened 2.</t>
  </si>
  <si>
    <t>Athletic Rush</t>
  </si>
  <si>
    <t>Your body fills with physical power and skill. You gain a +10-foot status bonus to Speed and a +2 status bonus to Athletics checks. As a part of Casting this Spell, you can use a Stride, Leap, Climb, or Swim action. The spell's bonuses apply during that action.</t>
  </si>
  <si>
    <t>Augment Summoning</t>
  </si>
  <si>
    <t>1 summoned creature</t>
  </si>
  <si>
    <t>You augment the abilities of a creature you summoned. The target gains a +1 status bonus to all checks (including creature's DCs, and AC) for the duration of its summoning, up to 1 minute.</t>
  </si>
  <si>
    <t>Bit of Luck</t>
  </si>
  <si>
    <t>You tilt the scales of luck slightly to protect a creature from disaster. When the target would attempt a saving throw, it can roll twice and use the better result. Once it does this, the spell ends. If you cast this spell again any previous casting ends. After targeting a creature it is immune for 24 hours.</t>
  </si>
  <si>
    <t>Blind Ambition</t>
  </si>
  <si>
    <t>Strengthing the target's ambition and increasing resentment of its allies. Success - target has a -1 status penalty to saving throws against Coercersion, Requests, or other mental affects so long as the target is being encouraged to advanced its own ambition; Fail - as success, but the penalty is -2; Crit Fail - no check needed, target will pursue its own agenda.</t>
  </si>
  <si>
    <t>Blood Ward</t>
  </si>
  <si>
    <t>You ward the target against one creature type, granting a +1 status bonus to its Saving throws and AC to one of the following: abberration, animal, beast, celestial, construct, dragon, elemental, fay, fiend, fungus, monitor, ooze, plant, or undead. The target becomes immune to this spell for 10min</t>
  </si>
  <si>
    <t>You ward the target against one creature type, granting a +2 status bonus to its Saving throws and AC to one of the following: abberration, animal, beast, celestial, construct, dragon, elemental, fay, fiend, fungus, monitor, ooze, plant, or undead. The target becomes immune to this spell for 10min</t>
  </si>
  <si>
    <t>Brain Drian</t>
  </si>
  <si>
    <t>You probe the target's mind, dealing 1d8 mental damage. If the target fails the save, you sort through the stolen memories to attempt a single Recall Knowledge, using the target's skill modifier.</t>
  </si>
  <si>
    <t>You probe the target's mind, dealing 2d8 mental damage. If the target fails the save, you sort through the stolen memories to attempt a single Recall Knowledge, using the target's skill modifier.</t>
  </si>
  <si>
    <t>You probe the target's mind, dealing 3d8 mental damage. If the target fails the save, you sort through the stolen memories to attempt a single Recall Knowledge, using the target's skill modifier.</t>
  </si>
  <si>
    <t>You probe the target's mind, dealing 4d8 mental damage. If the target fails the save, you sort through the stolen memories to attempt a single Recall Knowledge, using the target's skill modifier.</t>
  </si>
  <si>
    <t>You probe the target's mind, dealing 5d8 mental damage. If the target fails the save, you sort through the stolen memories to attempt a single Recall Knowledge, using the target's skill modifier.</t>
  </si>
  <si>
    <t>You probe the target's mind, dealing 6d8 mental damage. If the target fails the save, you sort through the stolen memories to attempt a single Recall Knowledge, using the target's skill modifier.</t>
  </si>
  <si>
    <t>You probe the target's mind, dealing 7d8 mental damage. If the target fails the save, you sort through the stolen memories to attempt a single Recall Knowledge, using the target's skill modifier.</t>
  </si>
  <si>
    <t>You probe the target's mind, dealing 8d8 mental damage. If the target fails the save, you sort through the stolen memories to attempt a single Recall Knowledge, using the target's skill modifier.</t>
  </si>
  <si>
    <t>You probe the target's mind, dealing 9d8 mental damage. If the target fails the save, you sort through the stolen memories to attempt a single Recall Knowledge, using the target's skill modifier.</t>
  </si>
  <si>
    <t>You probe the target's mind, dealing 10d8 mental damage. If the target fails the save, you sort through the stolen memories to attempt a single Recall Knowledge, using the target's skill modifier.</t>
  </si>
  <si>
    <t>Cackle</t>
  </si>
  <si>
    <t>With a quick burst of laughter, you prolong a magical effect you created. You Sustain a Spell.</t>
  </si>
  <si>
    <t>Call of the Grave</t>
  </si>
  <si>
    <t>Fire a ray of sickening energy, making an attack. On hit (success) the target is sickened 1; Crit Success - target becomes sickened 2, and slowed 1 as long as its sickened.</t>
  </si>
  <si>
    <t>Call to Arms</t>
  </si>
  <si>
    <t>You cry out a call to arms when you roll iniative, inspiring your allies to enter the fray. Each ally in the area gains a +2 status bonus to their initiative roll and gains temporary Hit Points equal to the spell's level; these temporary Hit Points last for the spell's duration.</t>
  </si>
  <si>
    <t>You cry out a call to arms when you roll iniative, inspiring your allies to enter the fray. Each ally in the area gains a +3 status bonus to their initiative roll and gains temporary Hit Points equal to the spell's level; these temporary Hit Points last for the spell's duration.</t>
  </si>
  <si>
    <t>You cry out a call to arms when you roll iniative, inspiring your allies to enter the fray. Each ally in the area gains a +4 status bonus to their initiative roll and gains temporary Hit Points equal to the spell's level; these temporary Hit Points last for the spell's duration.</t>
  </si>
  <si>
    <t>Charged Javelin</t>
  </si>
  <si>
    <t>You fire a javelin of electricity that leaves a field around the target, dealing 1d6 eletricity damage and 1 persistant elecricity damage. A critical hit deals double initial and persistant damage. As long as the target is taking the persistant damage it has a -1 status penalty to saves against electricity effects, and all other creatures have a +1 to attacks with metal weapons.</t>
  </si>
  <si>
    <t>You fire a javelin of electricity that leaves a field around the target, dealing 2d6 eletricity damage and 2 persistant elecricity damage. A critical hit deals double initial and persistant damage. As long as the target is taking the persistant damage it has a -1 status penalty to saves against electricity effects, and all other creatures have a +1 to attacks with metal weapons.</t>
  </si>
  <si>
    <t>You fire a javelin of electricity that leaves a field around the target, dealing 3d6 eletricity damage and 3 persistant elecricity damage. A critical hit deals double initial and persistant damage. As long as the target is taking the persistant damage it has a -1 status penalty to saves against electricity effects, and all other creatures have a +1 to attacks with metal weapons.</t>
  </si>
  <si>
    <t>You fire a javelin of electricity that leaves a field around the target, dealing 4d6 eletricity damage and 4 persistant elecricity damage. A critical hit deals double initial and persistant damage. As long as the target is taking the persistant damage it has a -1 status penalty to saves against electricity effects, and all other creatures have a +1 to attacks with metal weapons.</t>
  </si>
  <si>
    <t>You fire a javelin of electricity that leaves a field around the target, dealing 5d6 eletricity damage and 5 persistant elecricity damage. A critical hit deals double initial and persistant damage. As long as the target is taking the persistant damage it has a -1 status penalty to saves against electricity effects, and all other creatures have a +1 to attacks with metal weapons.</t>
  </si>
  <si>
    <t>You fire a javelin of electricity that leaves a field around the target, dealing 6d6 eletricity damage and 6 persistant elecricity damage. A critical hit deals double initial and persistant damage. As long as the target is taking the persistant damage it has a -1 status penalty to saves against electricity effects, and all other creatures have a +1 to attacks with metal weapons.</t>
  </si>
  <si>
    <t>You fire a javelin of electricity that leaves a field around the target, dealing 7d6 eletricity damage and 7 persistant elecricity damage. A critical hit deals double initial and persistant damage. As long as the target is taking the persistant damage it has a -1 status penalty to saves against electricity effects, and all other creatures have a +1 to attacks with metal weapons.</t>
  </si>
  <si>
    <t>You fire a javelin of electricity that leaves a field around the target, dealing 8d6 eletricity damage and 8 persistant elecricity damage. A critical hit deals double initial and persistant damage. As long as the target is taking the persistant damage it has a -1 status penalty to saves against electricity effects, and all other creatures have a +1 to attacks with metal weapons.</t>
  </si>
  <si>
    <t>You fire a javelin of electricity that leaves a field around the target, dealing 9d6 eletricity damage and 9 persistant elecricity damage. A critical hit deals double initial and persistant damage. As long as the target is taking the persistant damage it has a -1 status penalty to saves against electricity effects, and all other creatures have a +1 to attacks with metal weapons.</t>
  </si>
  <si>
    <t>You fire a javelin of electricity that leaves a field around the target, dealing 10d6 eletricity damage and 10 persistant elecricity damage. A critical hit deals double initial and persistant damage. As long as the target is taking the persistant damage it has a -1 status penalty to saves against electricity effects, and all other creatures have a +1 to attacks with metal weapons.</t>
  </si>
  <si>
    <t>Charming Touch</t>
  </si>
  <si>
    <t>You infuse the target with attraction towards you. It gains +4 bonus to save if you or your allies were recently hostile. When the spell end target only realizes it was charmed if actions taken were out of character. Crit Success - aware you tried to charm them; Success - unaffected; Fail - target becomes friendly (or helpful if already friendly), and cant use hostile actions; Crit fail - helpful, no harmful actions.</t>
  </si>
  <si>
    <t>Charming Words</t>
  </si>
  <si>
    <t>You whisper enchanted words to deflect your foe's ire. Success - target has -1 circumstance penalty to attacks and damage rolls against you; Fail - target cant take hostile actions against you; Crit Fail - target is stunned 1, and cant take hostile actions against you.</t>
  </si>
  <si>
    <t>Cinder Gaze</t>
  </si>
  <si>
    <t>Staring into a fire, you read the future on the smoke and flames. Roll a d4, effects last upto 10min, or sooner if used. Cant recast within 10min. 1. Terrible Danger - +2 status bonus to next iniative; 2. New Life - temp hp 1+ [spell ability mod]; 3. Vivid insight - fortune (roll twice, take higher) on next Recall Knowledge; 4. Good Fortune - fortune (roll twice, take higher) on next saving throw.</t>
  </si>
  <si>
    <t>Staring into a fire, you read the future on the smoke and flames. Roll a d4, effects last upto 10min, or sooner if used. Cant recast within 10min. 1. Terrible Danger - +2 status bonus to next iniative; 2. New Life - temp hp 3+ [spell ability mod]; 3. Vivid insight - fortune (roll twice, take higher) on next Recall Knowledge; 4. Good Fortune - fortune (roll twice, take higher) on next saving throw.</t>
  </si>
  <si>
    <t>Staring into a fire, you read the future on the smoke and flames. Roll a d4, effects last upto 10min, or sooner if used. Cant recast within 10min. 1. Terrible Danger - +2 status bonus to next iniative; 2. New Life - temp hp 5+ [spell ability mod]; 3. Vivid insight - fortune (roll twice, take higher) on next Recall Knowledge; 4. Good Fortune - fortune (roll twice, take higher) on next saving throw.</t>
  </si>
  <si>
    <t>Staring into a fire, you read the future on the smoke and flames. Roll a d4, effects last upto 10min, or sooner if used. Cant recast within 10min. 1. Terrible Danger - +2 status bonus to next iniative; 2. New Life - temp hp 7+ [spell ability mod]; 3. Vivid insight - fortune (roll twice, take higher) on next Recall Knowledge; 4. Good Fortune - fortune (roll twice, take higher) on next saving throw.</t>
  </si>
  <si>
    <t>Staring into a fire, you read the future on the smoke and flames. Roll a d4, effects last upto 10min, or sooner if used. Cant recast within 10min. 1. Terrible Danger - +2 status bonus to next iniative; 2. New Life - temp hp 9+ [spell ability mod]; 3. Vivid insight - fortune (roll twice, take higher) on next Recall Knowledge; 4. Good Fortune - fortune (roll twice, take higher) on next saving throw.</t>
  </si>
  <si>
    <t>Staring into a fire, you read the future on the smoke and flames. Roll a d4, effects last upto 10min, or sooner if used. Cant recast within 10min. 1. Terrible Danger - +2 status bonus to next iniative; 2. New Life - temp hp 11+ [spell ability mod]; 3. Vivid insight - fortune (roll twice, take higher) on next Recall Knowledge; 4. Good Fortune - fortune (roll twice, take higher) on next saving throw.</t>
  </si>
  <si>
    <t>Staring into a fire, you read the future on the smoke and flames. Roll a d4, effects last upto 10min, or sooner if used. Cant recast within 10min. 1. Terrible Danger - +2 status bonus to next iniative; 2. New Life - temp hp 13+ [spell ability mod]; 3. Vivid insight - fortune (roll twice, take higher) on next Recall Knowledge; 4. Good Fortune - fortune (roll twice, take higher) on next saving throw.</t>
  </si>
  <si>
    <t>Staring into a fire, you read the future on the smoke and flames. Roll a d4, effects last upto 10min, or sooner if used. Cant recast within 10min. 1. Terrible Danger - +2 status bonus to next iniative; 2. New Life - temp hp 15+ [spell ability mod]; 3. Vivid insight - fortune (roll twice, take higher) on next Recall Knowledge; 4. Good Fortune - fortune (roll twice, take higher) on next saving throw.</t>
  </si>
  <si>
    <t>Staring into a fire, you read the future on the smoke and flames. Roll a d4, effects last upto 10min, or sooner if used. Cant recast within 10min. 1. Terrible Danger - +2 status bonus to next iniative; 2. New Life - temp hp 17+ [spell ability mod]; 3. Vivid insight - fortune (roll twice, take higher) on next Recall Knowledge; 4. Good Fortune - fortune (roll twice, take higher) on next saving throw.</t>
  </si>
  <si>
    <t>Staring into a fire, you read the future on the smoke and flames. Roll a d4, effects last upto 10min, or sooner if used. Cant recast within 10min. 1. Terrible Danger - +2 status bonus to next iniative; 2. New Life - temp hp 19+ [spell ability mod]; 3. Vivid insight - fortune (roll twice, take higher) on next Recall Knowledge; 4. Good Fortune - fortune (roll twice, take higher) on next saving throw.</t>
  </si>
  <si>
    <t>Cloak of Shadow</t>
  </si>
  <si>
    <t>You drape the target is swirling shadows. Bright light within 20ft becomes dim (magical darkness), and can use the concealed condition to Hide (though observes see moving shadow). As an interact action the clock can be discarded, darkening the area.</t>
  </si>
  <si>
    <t>Counter Performance</t>
  </si>
  <si>
    <t>Your performance protects you and your allies against auditory of visual effects. Roll a Performance check for a type you know: auditory or visual based on the trigger. You and allies in the area can use the better result between your Performance check and the saving throw.</t>
  </si>
  <si>
    <t>Crushing Ground</t>
  </si>
  <si>
    <t>You tear open the ground and slam it shut, dealing 2d6 bludgeoning damage. Success - half damage; Fail - full damage, flat footed, -10ft speed; Crit Fail - double damage, flat footed, immobilized, can attempt escape, takes another 2d6 bludgeoning damage if it doesnt escape by the spell's end.</t>
  </si>
  <si>
    <t>You tear open the ground and slam it shut, dealing 4d6 bludgeoning damage. Success - half damage; Fail - full damage, flat footed, -10ft speed; Crit Fail - double damage, flat footed, immobilized, can attempt escape, takes another 4d6 bludgeoning damage if it doesnt escape by the spell's end.</t>
  </si>
  <si>
    <t>You tear open the ground and slam it shut, dealing 6d6 bludgeoning damage. Success - half damage; Fail - full damage, flat footed, -10ft speed; Crit Fail - double damage, flat footed, immobilized, can attempt escape, takes another 6d6 bludgeoning damage if it doesnt escape by the spell's end.</t>
  </si>
  <si>
    <t>You tear open the ground and slam it shut, dealing 8d6 bludgeoning damage. Success - half damage; Fail - full damage, flat footed, -10ft speed; Crit Fail - double damage, flat footed, immobilized, can attempt escape, takes another 8d6 bludgeoning damage if it doesnt escape by the spell's end.</t>
  </si>
  <si>
    <t>You tear open the ground and slam it shut, dealing 10d6 bludgeoning damage. Success - half damage; Fail - full damage, flat footed, -10ft speed; Crit Fail - double damage, flat footed, immobilized, can attempt escape, takes another 10d6 bludgeoning damage if it doesnt escape by the spell's end.</t>
  </si>
  <si>
    <t>You tear open the ground and slam it shut, dealing 12d6 bludgeoning damage. Success - half damage; Fail - full damage, flat footed, -10ft speed; Crit Fail - double damage, flat footed, immobilized, can attempt escape, takes another 12d6 bludgeoning damage if it doesnt escape by the spell's end.</t>
  </si>
  <si>
    <t>You tear open the ground and slam it shut, dealing 14d6 bludgeoning damage. Success - half damage; Fail - full damage, flat footed, -10ft speed; Crit Fail - double damage, flat footed, immobilized, can attempt escape, takes another 14d6 bludgeoning damage if it doesnt escape by the spell's end.</t>
  </si>
  <si>
    <t>You tear open the ground and slam it shut, dealing 16d6 bludgeoning damage. Success - half damage; Fail - full damage, flat footed, -10ft speed; Crit Fail - double damage, flat footed, immobilized, can attempt escape, takes another 16d6 bludgeoning damage if it doesnt escape by the spell's end.</t>
  </si>
  <si>
    <t>You tear open the ground and slam it shut, dealing 18d6 bludgeoning damage. Success - half damage; Fail - full damage, flat footed, -10ft speed; Crit Fail - double damage, flat footed, immobilized, can attempt escape, takes another 18d6 bludgeoning damage if it doesnt escape by the spell's end.</t>
  </si>
  <si>
    <t>You tear open the ground and slam it shut, dealing 20d6 bludgeoning damage. Success - half damage; Fail - full damage, flat footed, -10ft speed; Crit Fail - double damage, flat footed, immobilized, can attempt escape, takes another 20d6 bludgeoning damage if it doesnt escape by the spell's end.</t>
  </si>
  <si>
    <t>Cry of Destruction</t>
  </si>
  <si>
    <t>Your voice booms, smashing what's in front of you. Each creature and unattended object take 1d8 sonic. If you have already delt damage to an enemy this turn with a strike or spell, increase the damage dice to d12s.</t>
  </si>
  <si>
    <t>Your voice booms, smashing what's in front of you. Each creature and unattended object take 2d8 sonic. If you have already delt damage to an enemy this turn with a strike or spell, increase the damage dice to d12s.</t>
  </si>
  <si>
    <t>Your voice booms, smashing what's in front of you. Each creature and unattended object take 3d8 sonic. If you have already delt damage to an enemy this turn with a strike or spell, increase the damage dice to d12s.</t>
  </si>
  <si>
    <t>Your voice booms, smashing what's in front of you. Each creature and unattended object take 4d8 sonic. If you have already delt damage to an enemy this turn with a strike or spell, increase the damage dice to d12s.</t>
  </si>
  <si>
    <t>Your voice booms, smashing what's in front of you. Each creature and unattended object take 5d8 sonic. If you have already delt damage to an enemy this turn with a strike or spell, increase the damage dice to d12s.</t>
  </si>
  <si>
    <t>Your voice booms, smashing what's in front of you. Each creature and unattended object take 6d8 sonic. If you have already delt damage to an enemy this turn with a strike or spell, increase the damage dice to d12s.</t>
  </si>
  <si>
    <t>Your voice booms, smashing what's in front of you. Each creature and unattended object take 7d8 sonic. If you have already delt damage to an enemy this turn with a strike or spell, increase the damage dice to d12s.</t>
  </si>
  <si>
    <t>Your voice booms, smashing what's in front of you. Each creature and unattended object take 8d8 sonic. If you have already delt damage to an enemy this turn with a strike or spell, increase the damage dice to d12s.</t>
  </si>
  <si>
    <t>Your voice booms, smashing what's in front of you. Each creature and unattended object take 9d8 sonic. If you have already delt damage to an enemy this turn with a strike or spell, increase the damage dice to d12s.</t>
  </si>
  <si>
    <t>Your voice booms, smashing what's in front of you. Each creature and unattended object take 10d8 sonic. If you have already delt damage to an enemy this turn with a strike or spell, increase the damage dice to d12s.</t>
  </si>
  <si>
    <t>Dazzling Flash</t>
  </si>
  <si>
    <t>You raise your religious symbol and create a blinding flash of light. Success - Dazzled for 1 round; Fail - blinded 1 round, and dazzled 1 min. A creature can spend an interact action rubbing its eyes to remove blinded; Crit Fail - blinded 1 round, dazzled 1 hour.</t>
  </si>
  <si>
    <t>You raise your religious symbol and create a blinding flash of light within a 30ft cone. Success - Dazzled for 1 round; Fail - blinded 1 round, and dazzled 1 min. A creature can spend an interact action rubbing its eyes to remove blinded; Crit Fail - blinded 1 round, dazzled 1 hour.</t>
  </si>
  <si>
    <t>Death's Call</t>
  </si>
  <si>
    <t>Seeing another's passing invigorates you, reguardless of if they were alive or undead. You gain temp hp equal to double the triggering creature's level plus [spell ability mod]. If the creature is undead, double the gained temp HP. Temp hp lasts the duration of the spell.</t>
  </si>
  <si>
    <t>Delay Consequence</t>
  </si>
  <si>
    <t>When a creature or object is hit by an attack, you can move that moment to later in the timestream. Roll damage normally, but do not reduce HP or apply any other effects of the attack until the spell's duration has ended.</t>
  </si>
  <si>
    <t>5TH LEVEL SPELLS</t>
  </si>
  <si>
    <t>Diabolic Edict</t>
  </si>
  <si>
    <t>1 willing living creature</t>
  </si>
  <si>
    <t>You issue a diabolic edict, demanding the target perform a particular task and offering rewards for its fulfillment. It gains a +1 status bonus to attack rolls and skill checks related to performing the task. If it refuses to perform the task you proclaimed, it instead takes a –1 status penalty to all its attack rolls and skill checks.</t>
  </si>
  <si>
    <t>Dim the Light</t>
  </si>
  <si>
    <t>Upon casting a darkness or shadow spell you cause the ambiant light level to flicker. You immeadately attempt a Stealth check to Hide, becoming hidden to creatures even if you dont have cover. You cease being hidden at the end of your turn unless you are behind cover or concealed.</t>
  </si>
  <si>
    <t>Dimensional Assault</t>
  </si>
  <si>
    <t>POLYMORPH / SUMMON SPELLS</t>
  </si>
  <si>
    <t>You tumble through space, making a short dimensional hop to better position yourself for an attack. Teleport to any square within half your movement speed that's within reach of a creature, and then make a melee Strike against one creature within your reach.</t>
  </si>
  <si>
    <t>Divine Plagues</t>
  </si>
  <si>
    <t>Your diety sends a wracking plague. Decide to inflict clumsy, enfeebeled, or stupefied. Success - unaffected; Fail - stage 1; Crit Fail - stage 2; Divine Plague (disease) - Stage 1: chosen condition 1 (1 round); Stage 2: slowed 1, chosen condition 1 (1 round); Stage 3: cant recover from condition (1 day).</t>
  </si>
  <si>
    <t>Your diety sends a wracking, virulent plague. Decide to inflict clumsy, enfeebeled, or stupefied. Success - unaffected; Fail - stage 1; Crit Fail - stage 2; Divine Plague (disease) - Stage 1: chosen condition 2 (1 round); Stage 2: slowed 1, chosen condition 2 (1 round); Stage 3: cant recover from condition (1 day).</t>
  </si>
  <si>
    <t>Diviner's Sight</t>
  </si>
  <si>
    <t>You glimpse the target's future. Roll a d20; when the target makes a saving throw or skill check it can use the result of your roll instead. Alternatively you can reviel a secret roll from the target. You can only have 1 casting of Diviner's Sight up at a time.</t>
  </si>
  <si>
    <t>Draconic Barrage</t>
  </si>
  <si>
    <t>You shape energy into one incorporeal tiny dragon that fits around you. Roll 1d6 to determine its color. You can command the dragon to make a 60ft spit attack with your spell attack bonus, and deals 1d6 +[spell ability mod] damage. Once it had made a strike the dragon it fades away: 1. Acid (Copper/Black), 2. Cold (Silver/White), 3. Electric (Bronze/Blue), 4. Fire (Red/Gold), 5. Poison (Green), 6. choice</t>
  </si>
  <si>
    <t>You shape energy into 2 incorporeal tiny dragon that fits around you. Roll 1d6 each to determine their colors. You can command the dragon to make a 60ft spit attack with your spell attack bonus, and deals 2d6 +[spell ability mod] damage. Once it had made a strike the dragon it fades away: 1. Acid (Copper/Black), 2. Cold (Silver/White), 3. Electric (Bronze/Blue), 4. Fire (Red/Gold), 5. Poison (Green), 6. choice</t>
  </si>
  <si>
    <t>You shape energy into 3 incorporeal tiny dragon that fits around you. Roll 1d6 each to determine their colors. You can command the dragon to make a 60ft spit attack with your spell attack bonus, and deals 3d6 +[spell ability mod] damage. Once it had made a strike the dragon it fades away: 1. Acid (Copper/Black), 2. Cold (Silver/White), 3. Electric (Bronze/Blue), 4. Fire (Red/Gold), 5. Poison (Green), 6. choice</t>
  </si>
  <si>
    <t>You shape energy into 4 incorporeal tiny dragon that fits around you. Roll 1d6 each to determine their colors. You can command the dragon to make a 60ft spit attack with your spell attack bonus, and deals 4d6 +[spell ability mod] damage. Once it had made a strike the dragon it fades away: 1. Acid (Copper/Black), 2. Cold (Silver/White), 3. Electric (Bronze/Blue), 4. Fire (Red/Gold), 5. Poison (Green), 6. choice</t>
  </si>
  <si>
    <t>You shape energy into 5 incorporeal tiny dragon that fits around you. Roll 1d6 each to determine their colors. You can command the dragon to make a 60ft spit attack with your spell attack bonus, and deals 5d6 +[spell ability mod] damage. Once it had made a strike the dragon it fades away: 1. Acid (Copper/Black), 2. Cold (Silver/White), 3. Electric (Bronze/Blue), 4. Fire (Red/Gold), 5. Poison (Green), 6. choice</t>
  </si>
  <si>
    <t>You shape energy into 6 incorporeal tiny dragon that fits around you. Roll 1d6 each to determine their colors. You can command the dragon to make a 60ft spit attack with your spell attack bonus, and deals 6d6 +[spell ability mod] damage. Once it had made a strike the dragon it fades away: 1. Acid (Copper/Black), 2. Cold (Silver/White), 3. Electric (Bronze/Blue), 4. Fire (Red/Gold), 5. Poison (Green), 6. choice</t>
  </si>
  <si>
    <t>You shape energy into 7 incorporeal tiny dragon that fits around you. Roll 1d6 each to determine their colors. You can command the dragon to make a 60ft spit attack with your spell attack bonus, and deals 7d6 +[spell ability mod] damage. Once it had made a strike the dragon it fades away: 1. Acid (Copper/Black), 2. Cold (Silver/White), 3. Electric (Bronze/Blue), 4. Fire (Red/Gold), 5. Poison (Green), 6. choice</t>
  </si>
  <si>
    <t>You shape energy into 8 incorporeal tiny dragon that fits around you. Roll 1d6 each to determine their colors. You can command the dragon to make a 60ft spit attack with your spell attack bonus, and deals 8d6 +[spell ability mod] damage. Once it had made a strike the dragon it fades away: 1. Acid (Copper/Black), 2. Cold (Silver/White), 3. Electric (Bronze/Blue), 4. Fire (Red/Gold), 5. Poison (Green), 6. choice</t>
  </si>
  <si>
    <t>You shape energy into 9 incorporeal tiny dragon that fits around you. Roll 1d6 each to determine their colors. You can command the dragon to make a 60ft spit attack with your spell attack bonus, and deals 9d6 +[spell ability mod] damage. Once it had made a strike the dragon it fades away: 1. Acid (Copper/Black), 2. Cold (Silver/White), 3. Electric (Bronze/Blue), 4. Fire (Red/Gold), 5. Poison (Green), 6. choice</t>
  </si>
  <si>
    <t>You shape energy into 10 incorporeal tiny dragon that fits around you. Roll 1d6 each to determine their colors. You can command the dragon to make a 60ft spit attack with your spell attack bonus, and deals 10d6 +[spell ability mod] damage. Once it had made a strike the dragon it fades away: 1. Acid (Copper/Black), 2. Cold (Silver/White), 3. Electric (Bronze/Blue), 4. Fire (Red/Gold), 5. Poison (Green), 6. choice</t>
  </si>
  <si>
    <t>Dragon Claws</t>
  </si>
  <si>
    <t>Vicious claws grow from your fingers. Finesse unarmed attacks deal 1d4 slashing and 1d6 damage based on dragon bloodline. Your scales from blood magic glow faintly, giving resistance 5 to the same energy type. Damage types are Acid, Electric, Fire, Piercing, Poison, Bludgeoning, Cold, Mental, Negative.</t>
  </si>
  <si>
    <t>Vicious claws grow from your fingers. Finesse unarmed attacks deal 1d4 slashing and 2d6 damage based on dragon bloodline. Your scales from blood magic glow faintly, giving resistance 10 to the same energy type. Damage types are Acid, Electric, Fire, Piercing, Poison, Bludgeoning, Cold, Mental, Negative.</t>
  </si>
  <si>
    <t>Vicious claws grow from your fingers. Finesse unarmed attacks deal 1d4 slashing and 3d6 damage based on dragon bloodline. Your scales from blood magic glow faintly, giving resistance 15 to the same energy type. Damage types are Acid, Electric, Fire, Piercing, Poison, Bludgeoning, Cold, Mental, Negative.</t>
  </si>
  <si>
    <t>Efficient Apport</t>
  </si>
  <si>
    <t>Walking takes effort. Teleport an unattended object of upto light bulk into your hand. If you dont have a free hand, it falls to the ground at your feet.</t>
  </si>
  <si>
    <t>Walking takes effort. Teleport an unattended object of upto 1 bulk into your hand. If you dont have a free hand, it falls to the ground at your feet.</t>
  </si>
  <si>
    <t>Walking takes effort. Teleport an unattended object of upto 1 bulk into your hand from 120ft away. If you dont have a free hand, it falls to the ground at your feet.</t>
  </si>
  <si>
    <t>Walking takes effort. Teleport an unattended object of upto 2 bulk into your hand from 120ft away. If you dont have a free hand, it falls to the ground at your feet.</t>
  </si>
  <si>
    <t>Eject Soul</t>
  </si>
  <si>
    <t>Your touch disrupts the connection between body and soul, forcing them apart. Allies can choose their degree of success. Success - unaffected; Fail - stunned 1 as its soul briefly disconnects from its body; Crit Fail - Target's soul leaves its body for 1 round. Body is stunned during this. Soul has 60ft fly, incorproeal, invisible, cant attack or cast spells.</t>
  </si>
  <si>
    <t>Your touch disrupts the connection between body and soul, forcing them apart. Allies can choose their degree of success. Success - unaffected; Fail - stunned 1 as its soul briefly disconnects from its body; Crit Fail - Target's soul leaves its body for 1 round. Body is stunned during this. Soul has 60ft fly, incorproeal, invisible, cant attack or cast spells. Allies leave their body for 2 rounds.</t>
  </si>
  <si>
    <t>Your touch disrupts the connection between body and soul, forcing them apart. Allies can choose their degree of success. Success - unaffected; Fail - stunned 1 as its soul briefly disconnects from its body; Crit Fail - Target's soul leaves its body for 1 round. Body is stunned during this. Soul has 60ft fly, incorproeal, invisible, cant attack or cast spells. Allies leave their body for 3 rounds.</t>
  </si>
  <si>
    <t>Your touch disrupts the connection between body and soul, forcing them apart. Allies can choose their degree of success. Success - unaffected; Fail - stunned 1 as its soul briefly disconnects from its body; Crit Fail - Target's soul leaves its body for 1 round. Body is stunned during this. Soul has 60ft fly, incorproeal, invisible, cant attack or cast spells. Allies leave their body for 4 rounds.</t>
  </si>
  <si>
    <t>Elemental Betrayal</t>
  </si>
  <si>
    <t>You call upon the elements to undermine your foe. Choose air, earth, fire, or water when casting this spell. When the target takes damage from a spell or effect with the chosen trait it takes an additional 2 damage from the spell/effect. Any time the target takes fire or cold damage this effect triggers if you chose the fire trait or the water trait, respectively.</t>
  </si>
  <si>
    <t>You call upon the elements to undermine your foe. Choose air, earth, fire, or water when casting this spell. When the target takes damage from a spell or effect with the chosen trait it takes an additional 3 damage from the spell/effect. Any time the target takes fire or cold damage this effect triggers if you chose the fire trait or the water trait, respectively.</t>
  </si>
  <si>
    <t>You call upon the elements to undermine your foe. Choose air, earth, fire, or water when casting this spell. When the target takes damage from a spell or effect with the chosen trait it takes an additional 4 damage from the spell/effect. Any time the target takes fire or cold damage this effect triggers if you chose the fire trait or the water trait, respectively.</t>
  </si>
  <si>
    <t>You call upon the elements to undermine your foe. Choose air, earth, fire, or water when casting this spell. When the target takes damage from a spell or effect with the chosen trait it takes an additional 5 damage from the spell/effect. Any time the target takes fire or cold damage this effect triggers if you chose the fire trait or the water trait, respectively.</t>
  </si>
  <si>
    <t>You call upon the elements to undermine your foe. Choose air, earth, fire, or water when casting this spell. When the target takes damage from a spell or effect with the chosen trait it takes an additional 6 damage from the spell/effect. Any time the target takes fire or cold damage this effect triggers if you chose the fire trait or the water trait, respectively.</t>
  </si>
  <si>
    <t>Elemental Toss</t>
  </si>
  <si>
    <t>You fling a chunk of your elemental matter, making a spell attack. Deal 1d8 bludgeoning damage (or fire if fire) on a success, and double on a crit. This attack has your elemental trait.</t>
  </si>
  <si>
    <t>You fling a chunk of your elemental matter, making a spell attack. Deal 2d8 bludgeoning damage (or fire if fire) on a success, and double on a crit. This attack has your elemental trait.</t>
  </si>
  <si>
    <t>You fling a chunk of your elemental matter, making a spell attack. Deal 3d8 bludgeoning damage (or fire if fire) on a success, and double on a crit. This attack has your elemental trait.</t>
  </si>
  <si>
    <t>You fling a chunk of your elemental matter, making a spell attack. Deal 4d8 bludgeoning damage (or fire if fire) on a success, and double on a crit. This attack has your elemental trait.</t>
  </si>
  <si>
    <t>You fling a chunk of your elemental matter, making a spell attack. Deal 5d8 bludgeoning damage (or fire if fire) on a success, and double on a crit. This attack has your elemental trait.</t>
  </si>
  <si>
    <t>You fling a chunk of your elemental matter, making a spell attack. Deal 6d8 bludgeoning damage (or fire if fire) on a success, and double on a crit. This attack has your elemental trait.</t>
  </si>
  <si>
    <t>You fling a chunk of your elemental matter, making a spell attack. Deal 7d8 bludgeoning damage (or fire if fire) on a success, and double on a crit. This attack has your elemental trait.</t>
  </si>
  <si>
    <t>You fling a chunk of your elemental matter, making a spell attack. Deal 8d8 bludgeoning damage (or fire if fire) on a success, and double on a crit. This attack has your elemental trait.</t>
  </si>
  <si>
    <t>You fling a chunk of your elemental matter, making a spell attack. Deal 9d8 bludgeoning damage (or fire if fire) on a success, and double on a crit. This attack has your elemental trait.</t>
  </si>
  <si>
    <t>You fling a chunk of your elemental matter, making a spell attack. Deal 10d8 bludgeoning damage (or fire if fire) on a success, and double on a crit. This attack has your elemental trait.</t>
  </si>
  <si>
    <t>Empty Inside</t>
  </si>
  <si>
    <t>You inject a sliver of the void into your mind, momentarily remaking it into a bleak and empty place. Attempt a counteract check against one emotion effect affecting you.</t>
  </si>
  <si>
    <t>You inject a sliver of the void into your mind, momentarily remaking it into a bleak and empty place. Attempt a counteract check against any number of emotion effect affecting you.</t>
  </si>
  <si>
    <t>Evolution Surge</t>
  </si>
  <si>
    <t>Flooding your eidolon with power, choose one of the following: Low light and darkvision; imprecise scent 30ft; breath underwater and swim speed equal to land speed (max 30ft), or auqatic edolons get land speed and breath air; +20ft speed bonus.</t>
  </si>
  <si>
    <t>Flooding your eidolon with power, choose one of the following: Low light and darkvision; imprecise scent 30ft; breath underwater and swim speed equal to land speed (max 30ft), or auqatic edolons get land speed and breath air; +20ft speed bonus; Large, reach 10ft, can ride; climb speed equal to land speed.</t>
  </si>
  <si>
    <t>Flooding your eidolon with power, choose one of the following: Low light and darkvision; imprecise scent 30ft; breath underwater and swim speed equal to land speed (max 30ft), or auqatic edolons get land speed and breath air; +20ft speed bonus; Large, reach 10ft, can ride; climb speed equal to land speed; Huge, reach 15ft, can ride; Fly speed equal to land speed.</t>
  </si>
  <si>
    <t>Extend Boost</t>
  </si>
  <si>
    <t>Focusing on your connection you extend the duration of your Boost Eidolon or Reinforce Eidolon spell. Attempt a spellcasting skill check (ie Nature for primal). DC is usually standard-difficulty DC. Crit Success - spell lasts 4 rounds; Success - spell lasts 3 rounds; Fail - spell lasts 1 round, but you dont spend the Focus point for this spell.</t>
  </si>
  <si>
    <t>Face in the Crowd</t>
  </si>
  <si>
    <t>While in a crowd of roughly similar creatures, your appearance becomes bland and nondescript. You gain a +2 status bonus to Deception and Stealth checks to go unnoticed among the crowd, and you ignore difficult terrain caused by the crowd.</t>
  </si>
  <si>
    <t>While in a crowd of roughly similar creatures, the appearance of upto 10 creatures within 10ft become bland and nondescript. Gain a +2 status bonus to Deception and Stealth checks to go unnoticed among the crowd, and you ignore difficult terrain caused by the crowd.</t>
  </si>
  <si>
    <t>Faerie Dust</t>
  </si>
  <si>
    <t>You sprinkle magical dust area, forcing a will save. For every action beyond the first you use the radius increases by 5ft. Success - unaffected; Fail - no reactions, -2 status penalty to Perception checks and Will saves; Crit Fail - As fail, -1 penalty to Perception and Will saves for 1 min.</t>
  </si>
  <si>
    <t>You sprinkle magical dust in a 10ft burst, forcing a will save. For every action beyond the first you use the radius increases by 5ft. Success - unaffected; Fail - no reactions, -2 status penalty to Perception checks and Will saves; Crit Fail - As fail, -1 penalty to Perception and Will saves for 1 min.</t>
  </si>
  <si>
    <t>You sprinkle magical dust in a 15ft burst, forcing a will save. For every action beyond the first you use the radius increases by 5ft. Success - unaffected; Fail - no reactions, -2 status penalty to Perception checks and Will saves; Crit Fail - As fail, -1 penalty to Perception and Will saves for 1 min.</t>
  </si>
  <si>
    <t>You sprinkle magical dust in a 20ft burst, forcing a will save. For every action beyond the first you use the radius increases by 5ft. Success - unaffected; Fail - no reactions, -2 status penalty to Perception checks and Will saves; Crit Fail - As fail, -1 penalty to Perception and Will saves for 1 min.</t>
  </si>
  <si>
    <t>Fire Ray</t>
  </si>
  <si>
    <t>A blazing band of fire arcs through the air. Make a spell attack roll, dealing 2d6 fire damage. On a critical hit deal double damage and 1d4 persistent fire damage.</t>
  </si>
  <si>
    <t>A blazing band of fire arcs through the air. Make a spell attack roll, dealing 4d6 fire damage. On a critical hit deal double damage and 2d4 persistent fire damage.</t>
  </si>
  <si>
    <t>A blazing band of fire arcs through the air. Make a spell attack roll, dealing 6d6 fire damage. On a critical hit deal double damage and 3d4 persistent fire damage.</t>
  </si>
  <si>
    <t>A blazing band of fire arcs through the air. Make a spell attack roll, dealing 8d6 fire damage. On a critical hit deal double damage and 4d4 persistent fire damage.</t>
  </si>
  <si>
    <t>A blazing band of fire arcs through the air. Make a spell attack roll, dealing 10d6 fire damage. On a critical hit deal double damage and 5d4 persistent fire damage.</t>
  </si>
  <si>
    <t>A blazing band of fire arcs through the air. Make a spell attack roll, dealing 12d6 fire damage. On a critical hit deal double damage and 6d4 persistent fire damage.</t>
  </si>
  <si>
    <t>A blazing band of fire arcs through the air. Make a spell attack roll, dealing 14d6 fire damage. On a critical hit deal double damage and 7d4 persistent fire damage.</t>
  </si>
  <si>
    <t>A blazing band of fire arcs through the air. Make a spell attack roll, dealing 16d6 fire damage. On a critical hit deal double damage and 8d4 persistent fire damage.</t>
  </si>
  <si>
    <t>A blazing band of fire arcs through the air. Make a spell attack roll, dealing 18d6 fire damage. On a critical hit deal double damage and 9d4 persistent fire damage.</t>
  </si>
  <si>
    <t>A blazing band of fire arcs through the air. Make a spell attack roll, dealing 20d6 fire damage. On a critical hit deal double damage and 10d4 persistent fire damage.</t>
  </si>
  <si>
    <t>Force Bolt</t>
  </si>
  <si>
    <t>You fire an unerring dart of force from your fingertips. It automatically hits and deals 1d4+1 force damage to the target.</t>
  </si>
  <si>
    <t>You fire an unerring dart of force from your fingertips. It automatically hits and deals 2d4+2 force damage to the target.</t>
  </si>
  <si>
    <t>You fire an unerring dart of force from your fingertips. It automatically hits and deals 3d4+3 force damage to the target.</t>
  </si>
  <si>
    <t>You fire an unerring dart of force from your fingertips. It automatically hits and deals 4d4+4 force damage to the target.</t>
  </si>
  <si>
    <t>You fire an unerring dart of force from your fingertips. It automatically hits and deals 5d4+5 force damage to the target.</t>
  </si>
  <si>
    <t>You fire an unerring dart of force from your fingertips. It automatically hits and deals 6d4+6 force damage to the target.</t>
  </si>
  <si>
    <t>You fire an unerring dart of force from your fingertips. It automatically hits and deals 7d4+7 force damage to the target.</t>
  </si>
  <si>
    <t>You fire an unerring dart of force from your fingertips. It automatically hits and deals 8d4+8 force damage to the target.</t>
  </si>
  <si>
    <t>You fire an unerring dart of force from your fingertips. It automatically hits and deals 9d4+9 force damage to the target.</t>
  </si>
  <si>
    <t>You fire an unerring dart of force from your fingertips. It automatically hits and deals 10d4+10 force damage to the target.</t>
  </si>
  <si>
    <t>Force Fang</t>
  </si>
  <si>
    <t>Turning your attack into pure force you bypass your opponent's defenses. Choose a target within reach of a melee attack, or within a Spellstrike range. Your attack becomes pure force, replacing its normal abilities and automatically deals 1d4+1 force damage to the target.</t>
  </si>
  <si>
    <t>Turning your attack into pure force you bypass your opponent's defenses. Choose a target within reach of a melee attack, or within a Spellstrike range. Your attack becomes pure force, replacing its normal abilities and automatically deals 2d4+2 force damage to the target.</t>
  </si>
  <si>
    <t>Turning your attack into pure force you bypass your opponent's defenses. Choose a target within reach of a melee attack, or within a Spellstrike range. Your attack becomes pure force, replacing its normal abilities and automatically deals 3d4+3 force damage to the target.</t>
  </si>
  <si>
    <t>Turning your attack into pure force you bypass your opponent's defenses. Choose a target within reach of a melee attack, or within a Spellstrike range. Your attack becomes pure force, replacing its normal abilities and automatically deals 4d4+4 force damage to the target.</t>
  </si>
  <si>
    <t>Turning your attack into pure force you bypass your opponent's defenses. Choose a target within reach of a melee attack, or within a Spellstrike range. Your attack becomes pure force, replacing its normal abilities and automatically deals 5d4+5 force damage to the target.</t>
  </si>
  <si>
    <t>Turning your attack into pure force you bypass your opponent's defenses. Choose a target within reach of a melee attack, or within a Spellstrike range. Your attack becomes pure force, replacing its normal abilities and automatically deals 6d4+6 force damage to the target.</t>
  </si>
  <si>
    <t>Turning your attack into pure force you bypass your opponent's defenses. Choose a target within reach of a melee attack, or within a Spellstrike range. Your attack becomes pure force, replacing its normal abilities and automatically deals 7d4+7 force damage to the target.</t>
  </si>
  <si>
    <t>Turning your attack into pure force you bypass your opponent's defenses. Choose a target within reach of a melee attack, or within a Spellstrike range. Your attack becomes pure force, replacing its normal abilities and automatically deals 8d4+8 force damage to the target.</t>
  </si>
  <si>
    <t>Turning your attack into pure force you bypass your opponent's defenses. Choose a target within reach of a melee attack, or within a Spellstrike range. Your attack becomes pure force, replacing its normal abilities and automatically deals 9d4+9 force damage to the target.</t>
  </si>
  <si>
    <t>Turning your attack into pure force you bypass your opponent's defenses. Choose a target within reach of a melee attack, or within a Spellstrike range. Your attack becomes pure force, replacing its normal abilities and automatically deals 10d4+10 force damage to the target.</t>
  </si>
  <si>
    <t>Forced Quiet</t>
  </si>
  <si>
    <t>You quiet the target's voice. While it can still talk and cast spells, it can not be heared from more than 10ft away unless a listening creature succeeds a perception check against your Spell DC. Success - duration 1 round; Fail - duration 1 min; Crit Fail - duration 10 min.</t>
  </si>
  <si>
    <t>Frenzied Revelry</t>
  </si>
  <si>
    <t>You work yourself into an infectious frenzy, dancing wildly so allies in the area may join in. This grants a +1 status bonus to saves against mental effects while in the area. If someone crits a save against an enemy's mental effects while under the effect its revelry increases, granting a +1 status bonus to attacks and damage rolls for 1 round.</t>
  </si>
  <si>
    <t>You work yourself into an infectious frenzy, dancing wildly so allies in the 10ft emanation may join in. This grants a +2 status bonus to saves against mental effects while in the area. If someone crits a save against an enemy's mental effects while under the effect its revelry increases, granting a +1 status bonus to attacks and damage rolls for 1 round.</t>
  </si>
  <si>
    <t>You work yourself into an infectious frenzy, dancing wildly so allies in the 15ft emanation may join in. This grants a +3 status bonus to saves against mental effects while in the area. If someone crits a save against an enemy's mental effects while under the effect its revelry increases, granting a +1 status bonus to attacks and damage rolls for 1 round.</t>
  </si>
  <si>
    <t>Genie's Veil</t>
  </si>
  <si>
    <t>When the target is attacked you bend fate to protect them. The target dissapears vanishes in a burst of colored smoke and sparkles, reappearing an instant later. The target is concealed against the triggering attack and until the end of the current creature's turn.</t>
  </si>
  <si>
    <t>Glutton's Jaw</t>
  </si>
  <si>
    <t>Your mouth transforms into a shadowy maw bristling with pointed teeth. These jaws are an unarmed attack with the forceful trait dealing 1d8 piercing damage. If you hit with your jaws and deal damage, you gain 1d6 temporary Hit Points.</t>
  </si>
  <si>
    <t>Your mouth transforms into a shadowy maw bristling with pointed teeth. These jaws are an unarmed attack with the forceful trait dealing 1d8 piercing damage. If you hit with your jaws and deal damage, you gain 2d6 temporary Hit Points.</t>
  </si>
  <si>
    <t>Your mouth transforms into a shadowy maw bristling with pointed teeth. These jaws are an unarmed attack with the forceful trait dealing 1d8 piercing damage. If you hit with your jaws and deal damage, you gain 3d6 temporary Hit Points.</t>
  </si>
  <si>
    <t>Your mouth transforms into a shadowy maw bristling with pointed teeth. These jaws are an unarmed attack with the forceful trait dealing 1d8 piercing damage. If you hit with your jaws and deal damage, you gain 4d6 temporary Hit Points.</t>
  </si>
  <si>
    <t>Your mouth transforms into a shadowy maw bristling with pointed teeth. These jaws are an unarmed attack with the forceful trait dealing 1d8 piercing damage. If you hit with your jaws and deal damage, you gain 5d6 temporary Hit Points.</t>
  </si>
  <si>
    <t>Goodberry</t>
  </si>
  <si>
    <t>1 ripe berry</t>
  </si>
  <si>
    <t>You imbue a berry with the bounty of nature, turning it into a goodberry that heals 1d6+4 hp when eaten using an action. Every 6 goodberries consumed is as nurishing as one square meal.</t>
  </si>
  <si>
    <t>You imbue 2 berries with the bounty of nature, turning it into a goodberry that heals 1d6+4 hp when eaten using an action. Any number of berries can be eaten using a single action. Every 6 goodberries consumed is as nurishing as one square meal.</t>
  </si>
  <si>
    <t>You imbue 3 berries with the bounty of nature, turning it into a goodberry that heals 1d6+4 hp when eaten using an action. Any number of berries can be eaten using a single action. Every 6 goodberries consumed is as nurishing as one square meal.</t>
  </si>
  <si>
    <t>You imbue 4 berries with the bounty of nature, turning it into a goodberry that heals 1d6+4 hp when eaten using an action. Any number of berries can be eaten using a single action. Every 6 goodberries consumed is as nurishing as one square meal.</t>
  </si>
  <si>
    <t>You imbue 5 berries with the bounty of nature, turning it into a goodberry that heals 1d6+4 hp when eaten using an action. Any number of berries can be eaten using a single action. Every 6 goodberries consumed is as nurishing as one square meal.</t>
  </si>
  <si>
    <t>You imbue 6 berries with the bounty of nature, turning it into a goodberry that heals 1d6+4 hp when eaten using an action. Any number of berries can be eaten using a single action. Every 6 goodberries consumed is as nurishing as one square meal.</t>
  </si>
  <si>
    <t>You imbue 7 berries with the bounty of nature, turning it into a goodberry that heals 1d6+4 hp when eaten using an action. Any number of berries can be eaten using a single action. Every 6 goodberries consumed is as nurishing as one square meal.</t>
  </si>
  <si>
    <t>You imbue 8 berries with the bounty of nature, turning it into a goodberry that heals 1d6+4 hp when eaten using an action. Any number of berries can be eaten using a single action. Every 6 goodberries consumed is as nurishing as one square meal.</t>
  </si>
  <si>
    <t>You imbue 9 berries with the bounty of nature, turning it into a goodberry that heals 1d6+4 hp when eaten using an action. Any number of berries can be eaten using a single action. Every 6 goodberries consumed is as nurishing as one square meal.</t>
  </si>
  <si>
    <t>You imbue 10 berries with the bounty of nature, turning it into a goodberry that heals 1d6+4 hp when eaten using an action. Any number of berries can be eaten using a single action. Every 6 goodberries consumed is as nurishing as one square meal.</t>
  </si>
  <si>
    <t>Gravity Weapon</t>
  </si>
  <si>
    <t>You build up gravitational force and funnel it into your blows, leading to more powerful attacks with blade and bow alike. On your first weapon Strike each round, you gain a status bonus to damage equal to twice the number of weapon damage dice.</t>
  </si>
  <si>
    <t>Guided Introspection</t>
  </si>
  <si>
    <t>You guide the target through deep interspection, granting them a +1 status bonus to saving throws against emotion and fear. If the target beecomes confused the duration is 1 round less (min 1 round). If the target becomes frightened or stupefied the value is lowered by 1 (min 1).</t>
  </si>
  <si>
    <t>You guide the target through deep interspection, granting them a +2 status bonus to saving throws against emotion and fear. If the target beecomes confused the duration is 1 round less (min 1 round). If the target becomes frightened or stupefied the value is lowered by 1 (min 1).</t>
  </si>
  <si>
    <t>You guide the target through deep interspection, granting them a +3 status bonus to saving throws against emotion and fear. If the target beecomes confused the duration is 1 round less (min 1 round). If the target becomes frightened or stupefied the value is lowered by 1 (min 1).</t>
  </si>
  <si>
    <t>You guide the target through deep interspection, granting them a +4 status bonus to saving throws against emotion and fear. If the target beecomes confused the duration is 1 round less (min 1 round). If the target becomes frightened or stupefied the value is lowered by 1 (min 1).</t>
  </si>
  <si>
    <t>#186</t>
  </si>
  <si>
    <t>Hallowed Ground</t>
  </si>
  <si>
    <t>The area becomes hostile to undead, dealing 1d6 positive and 1d4 good damage when you cast the spell. After that undead in the area have weakness 1 to positive damage, and your necromancy spells while in the area. This spell attempts to counteract any raise undead in the area.</t>
  </si>
  <si>
    <t>The area becomes hostile to undead, dealing 2d6 positive and 2d4 good damage when you cast the spell. After that undead in the area have weakness 2 to positive damage, and your necromancy spells while in the area. This spell attempts to counteract any raise undead in the area.</t>
  </si>
  <si>
    <t>The area becomes hostile to undead, dealing 3d6 positive and 3d4 good damage when you cast the spell. After that undead in the area have weakness 3 to positive damage, and your necromancy spells while in the area. This spell attempts to counteract any raise undead in the area.</t>
  </si>
  <si>
    <t>The area becomes hostile to undead, dealing 4d6 positive and 4d4 good damage when you cast the spell. After that undead in the area have weakness 4 to positive damage, and your necromancy spells while in the area. This spell attempts to counteract any raise undead in the area.</t>
  </si>
  <si>
    <t>The area becomes hostile to undead, dealing 5d6 positive and 5d4 good damage when you cast the spell. After that undead in the area have weakness 5 to positive damage, and your necromancy spells while in the area. This spell attempts to counteract any raise undead in the area.</t>
  </si>
  <si>
    <t>Book of the Dead</t>
  </si>
  <si>
    <t>Hand of the Apprentice</t>
  </si>
  <si>
    <t>You hurl a held melee weapon you are trained with. Make a spell attack, on a success you deal the weapon's damage as if you had hit it with a melee stike, using [spell ability mod] instead of Strength for damage. On a crit deal double damage and add weapon's critical specialization. The weapon will always return to your hand.</t>
  </si>
  <si>
    <t>Heal Animal</t>
  </si>
  <si>
    <t>1 willing living animal</t>
  </si>
  <si>
    <t>You heal an animal wounds, restoring 1d8 HP. If you use 2 actions to cast the spell it has a range of 30ft and restores an additional 8 HP.</t>
  </si>
  <si>
    <t>You heal an animal wounds, restoring 2d8 HP. If you use 2 actions to cast the spell it has a range of 30ft and restores an additional 16 HP.</t>
  </si>
  <si>
    <t>You heal an animal wounds, restoring 3d8 HP. If you use 2 actions to cast the spell it has a range of 30ft and restores an additional 24 HP.</t>
  </si>
  <si>
    <t>You heal an animal wounds, restoring 4d8 HP. If you use 2 actions to cast the spell it has a range of 30ft and restores an additional 32 HP.</t>
  </si>
  <si>
    <t>You heal an animal wounds, restoring 5d8 HP. If you use 2 actions to cast the spell it has a range of 30ft and restores an additional 40 HP.</t>
  </si>
  <si>
    <t>You heal an animal wounds, restoring 6d8 HP. If you use 2 actions to cast the spell it has a range of 30ft and restores an additional 48 HP.</t>
  </si>
  <si>
    <t>You heal an animal wounds, restoring 7d8 HP. If you use 2 actions to cast the spell it has a range of 30ft and restores an additional 56 HP.</t>
  </si>
  <si>
    <t>You heal an animal wounds, restoring 8d8 HP. If you use 2 actions to cast the spell it has a range of 30ft and restores an additional 64 HP.</t>
  </si>
  <si>
    <t>You heal an animal wounds, restoring 9d8 HP. If you use 2 actions to cast the spell it has a range of 30ft and restores an additional 72 HP.</t>
  </si>
  <si>
    <t>You heal an animal wounds, restoring 10d8 HP. If you use 2 actions to cast the spell it has a range of 30ft and restores an additional 80 HP.</t>
  </si>
  <si>
    <t>Heal Companion</t>
  </si>
  <si>
    <t>Your animal companion</t>
  </si>
  <si>
    <t>You heal your animal companion's wounds, restoring 1d10 HP. If you use 2 actions to cast the spell it has a range of 30ft and restores an additional 8 HP.</t>
  </si>
  <si>
    <t>You heal your animal companion's wounds, restoring 2d10 HP. If you use 2 actions to cast the spell it has a range of 30ft and restores an additional 16 HP.</t>
  </si>
  <si>
    <t>You heal your animal companion's wounds, restoring 3d10 HP. If you use 2 actions to cast the spell it has a range of 30ft and restores an additional 24 HP.</t>
  </si>
  <si>
    <t>You heal your animal companion's wounds, restoring 4d10 HP. If you use 2 actions to cast the spell it has a range of 30ft and restores an additional 32 HP.</t>
  </si>
  <si>
    <t>You heal your animal companion's wounds, restoring 5d10 HP. If you use 2 actions to cast the spell it has a range of 30ft and restores an additional 40 HP.</t>
  </si>
  <si>
    <t>You heal your animal companion's wounds, restoring 6d10 HP. If you use 2 actions to cast the spell it has a range of 30ft and restores an additional 48 HP.</t>
  </si>
  <si>
    <t>You heal your animal companion's wounds, restoring 7d10 HP. If you use 2 actions to cast the spell it has a range of 30ft and restores an additional 56 HP.</t>
  </si>
  <si>
    <t>You heal your animal companion's wounds, restoring 8d10 HP. If you use 2 actions to cast the spell it has a range of 30ft and restores an additional 64 HP.</t>
  </si>
  <si>
    <t>You heal your animal companion's wounds, restoring 9d10 HP. If you use 2 actions to cast the spell it has a range of 30ft and restores an additional 72 HP.</t>
  </si>
  <si>
    <t>You heal your animal companion's wounds, restoring 10d10 HP. If you use 2 actions to cast the spell it has a range of 30ft and restores an additional 80 HP.</t>
  </si>
  <si>
    <t>Healer's Blessing</t>
  </si>
  <si>
    <t>You bless the target with a connection to positive energy. The target regains 2 additional HP from a healing spell. This additional healing only applies the first time it regains HP from a given healing spell, so a spell that heals the creature repeatedly over a duration would restore additional Hit Points only once.</t>
  </si>
  <si>
    <t>You bless the target with a connection to positive energy. The target regains 4 additional HP from a healing spell. This additional healing only applies the first time it regains HP from a given healing spell, so a spell that heals the creature repeatedly over a duration would restore additional Hit Points only once.</t>
  </si>
  <si>
    <t>You bless the target with a connection to positive energy. The target regains 6 additional HP from a healing spell. This additional healing only applies the first time it regains HP from a given healing spell, so a spell that heals the creature repeatedly over a duration would restore additional Hit Points only once.</t>
  </si>
  <si>
    <t>You bless the target with a connection to positive energy. The target regains 8 additional HP from a healing spell. This additional healing only applies the first time it regains HP from a given healing spell, so a spell that heals the creature repeatedly over a duration would restore additional Hit Points only once.</t>
  </si>
  <si>
    <t>You bless the target with a connection to positive energy. The target regains 10 additional HP from a healing spell. This additional healing only applies the first time it regains HP from a given healing spell, so a spell that heals the creature repeatedly over a duration would restore additional Hit Points only once.</t>
  </si>
  <si>
    <t>You bless the target with a connection to positive energy. The target regains 12 additional HP from a healing spell. This additional healing only applies the first time it regains HP from a given healing spell, so a spell that heals the creature repeatedly over a duration would restore additional Hit Points only once.</t>
  </si>
  <si>
    <t>You bless the target with a connection to positive energy. The target regains 14 additional HP from a healing spell. This additional healing only applies the first time it regains HP from a given healing spell, so a spell that heals the creature repeatedly over a duration would restore additional Hit Points only once.</t>
  </si>
  <si>
    <t>You bless the target with a connection to positive energy. The target regains 16 additional HP from a healing spell. This additional healing only applies the first time it regains HP from a given healing spell, so a spell that heals the creature repeatedly over a duration would restore additional Hit Points only once.</t>
  </si>
  <si>
    <t>You bless the target with a connection to positive energy. The target regains 18 additional HP from a healing spell. This additional healing only applies the first time it regains HP from a given healing spell, so a spell that heals the creature repeatedly over a duration would restore additional Hit Points only once.</t>
  </si>
  <si>
    <t>You bless the target with a connection to positive energy. The target regains 20 additional HP from a healing spell. This additional healing only applies the first time it regains HP from a given healing spell, so a spell that heals the creature repeatedly over a duration would restore additional Hit Points only once.</t>
  </si>
  <si>
    <t>Hollow Heart</t>
  </si>
  <si>
    <t>You stroke the target's ambition beyond reason, until it believes no one is capable of helping and cant be trusted. Success - target treats no other creature as an ally for 1 round; Fail - no allies for 3 rounds; Crit Fail - no allies for 3 rounds, frightened 1 as it realizes it cant rely on anyone.</t>
  </si>
  <si>
    <t>Hurtling Stone</t>
  </si>
  <si>
    <t>You evoke a magical stone and throw it, with your god's presence guiding your aim. Make a spell attack roll against the target. The stone deals bludgeoning damage equal to 1d6 plus your Strength modifier. On a crit the stone deals double damage.</t>
  </si>
  <si>
    <t>You evoke a magical stone and throw it, with your god's presence guiding your aim. Make a spell attack roll against the target. The stone deals bludgeoning damage equal to 2d6 plus your Strength modifier. On a crit the stone deals double damage.</t>
  </si>
  <si>
    <t>You evoke a magical stone and throw it, with your god's presence guiding your aim. Make a spell attack roll against the target. The stone deals bludgeoning damage equal to 3d6 plus your Strength modifier. On a crit the stone deals double damage.</t>
  </si>
  <si>
    <t>You evoke a magical stone and throw it, with your god's presence guiding your aim. Make a spell attack roll against the target. The stone deals bludgeoning damage equal to 4d6 plus your Strength modifier. On a crit the stone deals double damage.</t>
  </si>
  <si>
    <t>You evoke a magical stone and throw it, with your god's presence guiding your aim. Make a spell attack roll against the target. The stone deals bludgeoning damage equal to 5d6 plus your Strength modifier. On a crit the stone deals double damage.</t>
  </si>
  <si>
    <t>You evoke a magical stone and throw it, with your god's presence guiding your aim. Make a spell attack roll against the target. The stone deals bludgeoning damage equal to 6d6 plus your Strength modifier. On a crit the stone deals double damage.</t>
  </si>
  <si>
    <t>You evoke a magical stone and throw it, with your god's presence guiding your aim. Make a spell attack roll against the target. The stone deals bludgeoning damage equal to 7d6 plus your Strength modifier. On a crit the stone deals double damage.</t>
  </si>
  <si>
    <t>You evoke a magical stone and throw it, with your god's presence guiding your aim. Make a spell attack roll against the target. The stone deals bludgeoning damage equal to 8d6 plus your Strength modifier. On a crit the stone deals double damage.</t>
  </si>
  <si>
    <t>You evoke a magical stone and throw it, with your god's presence guiding your aim. Make a spell attack roll against the target. The stone deals bludgeoning damage equal to 9d6 plus your Strength modifier. On a crit the stone deals double damage.</t>
  </si>
  <si>
    <t>You evoke a magical stone and throw it, with your god's presence guiding your aim. Make a spell attack roll against the target. The stone deals bludgeoning damage equal to 10d6 plus your Strength modifier. On a crit the stone deals double damage.</t>
  </si>
  <si>
    <t>Hymn of Healing</t>
  </si>
  <si>
    <t>You and 1 ally</t>
  </si>
  <si>
    <t>[S]4round</t>
  </si>
  <si>
    <t>Your divine singing mends wounds and provides a temporary respite from harm. The target gains fast healing 2. When you Cast the Spell and the first time each round you Sustain the Spell, the target gains 2 temporary Hit Points, which last for 1 round.</t>
  </si>
  <si>
    <t>Your divine singing mends wounds and provides a temporary respite from harm. The target gains fast healing 4. When you Cast the Spell and the first time each round you Sustain the Spell, the target gains 4 temporary Hit Points, which last for 1 round.</t>
  </si>
  <si>
    <t>Your divine singing mends wounds and provides a temporary respite from harm. The target gains fast healing 6. When you Cast the Spell and the first time each round you Sustain the Spell, the target gains 6 temporary Hit Points, which last for 1 round.</t>
  </si>
  <si>
    <t>Your divine singing mends wounds and provides a temporary respite from harm. The target gains fast healing 8. When you Cast the Spell and the first time each round you Sustain the Spell, the target gains 8 temporary Hit Points, which last for 1 round.</t>
  </si>
  <si>
    <t>Your divine singing mends wounds and provides a temporary respite from harm. The target gains fast healing 10. When you Cast the Spell and the first time each round you Sustain the Spell, the target gains 10 temporary Hit Points, which last for 1 round.</t>
  </si>
  <si>
    <t>Your divine singing mends wounds and provides a temporary respite from harm. The target gains fast healing 12. When you Cast the Spell and the first time each round you Sustain the Spell, the target gains 12 temporary Hit Points, which last for 1 round.</t>
  </si>
  <si>
    <t>Your divine singing mends wounds and provides a temporary respite from harm. The target gains fast healing 14. When you Cast the Spell and the first time each round you Sustain the Spell, the target gains 14 temporary Hit Points, which last for 1 round.</t>
  </si>
  <si>
    <t>Your divine singing mends wounds and provides a temporary respite from harm. The target gains fast healing 16. When you Cast the Spell and the first time each round you Sustain the Spell, the target gains 16 temporary Hit Points, which last for 1 round.</t>
  </si>
  <si>
    <t>Your divine singing mends wounds and provides a temporary respite from harm. The target gains fast healing 18. When you Cast the Spell and the first time each round you Sustain the Spell, the target gains 18 temporary Hit Points, which last for 1 round.</t>
  </si>
  <si>
    <t>Your divine singing mends wounds and provides a temporary respite from harm. The target gains fast healing 20. When you Cast the Spell and the first time each round you Sustain the Spell, the target gains 20 temporary Hit Points, which last for 1 round.</t>
  </si>
  <si>
    <t>Hyperfocus</t>
  </si>
  <si>
    <t>You sharpen a creature's senses, though further away objects become blurry. The target gains +1 to all perception checks with precise senses. Impresice senses become presice. The range of senses is capped at 20ft. Allies can choose the outcome: Success - affected 1 round; Fail - 1 min; Crit Fail - 10ft range, lasts 1 min.</t>
  </si>
  <si>
    <t>You sharpen 2 creature's senses, though further away objects become blurry. The target gains +1 to all perception checks with precise senses. Impresice senses become presice. The range of senses is capped at 20ft. Allies can choose the outcome: Success - affected 1 round; Fail - 1 min; Crit Fail - 10ft range, lasts 1 min.</t>
  </si>
  <si>
    <t>You sharpen 4 creature's senses, though further away objects become blurry. The target gains +1 to all perception checks with precise senses. Impresice senses become presice. The range of senses is capped at 20ft. Allies can choose the outcome: Success - affected 1 round; Fail - 1 min; Crit Fail - 10ft range, lasts 1 min.</t>
  </si>
  <si>
    <t>Incendiary Aura</t>
  </si>
  <si>
    <t>You surround yourself with a combustible aura , a 10ft emanation. Each time a creature within the emanation takes fire damage, it catches on fire, taking 2d4 persistent fire damage.</t>
  </si>
  <si>
    <t>You surround yourself with a combustible aura , a 15ft emanation. Each time a creature within the emanation takes fire damage, it catches on fire, taking 3d4 persistent fire damage.</t>
  </si>
  <si>
    <t>You surround yourself with a combustible aura , a 20ft emanation. Each time a creature within the emanation takes fire damage, it catches on fire, taking 4d4 persistent fire damage.</t>
  </si>
  <si>
    <t>You surround yourself with a combustible aura , a 25ft emanation. Each time a creature within the emanation takes fire damage, it catches on fire, taking 5d4 persistent fire damage.</t>
  </si>
  <si>
    <t>You surround yourself with a combustible aura , a 30ft emanation. Each time a creature within the emanation takes fire damage, it catches on fire, taking 6d4 persistent fire damage.</t>
  </si>
  <si>
    <t>Jealous Hex</t>
  </si>
  <si>
    <t>You draw forth a hag's jealousy to deny tje target its greatest attritube: Str (enfeebeled), Dex (clumsy), Con (drained), Int, Wis, or Cha (stupefied). If two scores are tied the target decides. Success - unaffected; Fail - condition value is 1; Crit Fail - condition value is 2; At the start of each of your turns the target can attempt another save, ending the effect on a success.</t>
  </si>
  <si>
    <t>Ki Rush</t>
  </si>
  <si>
    <t>Accelerated by your ki, you move with such speed you become a blur. Move two times: two Strides, two Steps, or one Stride and one Step (in either order). You gain the concealed condition during this movement and until the start of your next turn.</t>
  </si>
  <si>
    <t>Ki Strike</t>
  </si>
  <si>
    <t>You focus your ki into magical attacks. Make an unarmed Strike of Flurry of Blows (still limited to one a turn). You gain a +1 status bonus to your attack rolls with the strike, and it deals an extra 1d6 damage of one of the following types: force, lawful (if you're lawful), negative, positive.</t>
  </si>
  <si>
    <t>You focus your ki into magical attacks. Make an unarmed Strike of Flurry of Blows (still limited to one a turn). You gain a +1 status bonus to your attack rolls with the strike, and it deals an extra 2d6 damage of one of the following types: force, lawful (if you're lawful), negative, positive.</t>
  </si>
  <si>
    <t>You focus your ki into magical attacks. Make an unarmed Strike of Flurry of Blows (still limited to one a turn). You gain a +1 status bonus to your attack rolls with the strike, and it deals an extra 3d6 damage of one of the following types: force, lawful (if you're lawful), negative, positive.</t>
  </si>
  <si>
    <t>Lament</t>
  </si>
  <si>
    <t>A wave of negative emotions from a wail shakes your enemies hearts, dealing 1d8 mental damage. Targeting as many creatures in the area as you want. If you have any harmful conditions from emotion effects, Lament deals additional mental damage equal to the counteract level of the highest one.</t>
  </si>
  <si>
    <t>A wave of negative emotions from a wail shakes your enemies hearts, dealing 2d8 mental damage. Targeting as many creatures in the area as you want. If you have any harmful conditions from emotion effects, Lament deals additional mental damage equal to the counteract level of the highest one.</t>
  </si>
  <si>
    <t>A wave of negative emotions from a wail shakes your enemies hearts, dealing 3d8 mental damage. Targeting as many creatures in the area as you want. If you have any harmful conditions from emotion effects, Lament deals additional mental damage equal to the counteract level of the highest one.</t>
  </si>
  <si>
    <t>A wave of negative emotions from a wail shakes your enemies hearts, dealing 4d8 mental damage. Targeting as many creatures in the area as you want. If you have any harmful conditions from emotion effects, Lament deals additional mental damage equal to the counteract level of the highest one.</t>
  </si>
  <si>
    <t>A wave of negative emotions from a wail shakes your enemies hearts, dealing 5d8 mental damage. Targeting as many creatures in the area as you want. If you have any harmful conditions from emotion effects, Lament deals additional mental damage equal to the counteract level of the highest one.</t>
  </si>
  <si>
    <t>A wave of negative emotions from a wail shakes your enemies hearts, dealing 6d8 mental damage. Targeting as many creatures in the area as you want. If you have any harmful conditions from emotion effects, Lament deals additional mental damage equal to the counteract level of the highest one.</t>
  </si>
  <si>
    <t>A wave of negative emotions from a wail shakes your enemies hearts, dealing 7d8 mental damage. Targeting as many creatures in the area as you want. If you have any harmful conditions from emotion effects, Lament deals additional mental damage equal to the counteract level of the highest one.</t>
  </si>
  <si>
    <t>A wave of negative emotions from a wail shakes your enemies hearts, dealing 8d8 mental damage. Targeting as many creatures in the area as you want. If you have any harmful conditions from emotion effects, Lament deals additional mental damage equal to the counteract level of the highest one.</t>
  </si>
  <si>
    <t>A wave of negative emotions from a wail shakes your enemies hearts, dealing 9d8 mental damage. Targeting as many creatures in the area as you want. If you have any harmful conditions from emotion effects, Lament deals additional mental damage equal to the counteract level of the highest one.</t>
  </si>
  <si>
    <t>A wave of negative emotions from a wail shakes your enemies hearts, dealing 10d8 mental damage. Targeting as many creatures in the area as you want. If you have any harmful conditions from emotion effects, Lament deals additional mental damage equal to the counteract level of the highest one.</t>
  </si>
  <si>
    <t>Lay on Hands</t>
  </si>
  <si>
    <t>Your hands are infused with positive energy. If you target a willing living creature, you restore 6hp, and if they are an ally they gain a +2 bonus to their AC for 2 round. If you target an undead it takes 1d6 positive damage and it must attempt a basic Fortitude save; on fail takes -2 status penalty to its AC for 1 round.</t>
  </si>
  <si>
    <t>Your hands are infused with positive energy. If you target a willing living creature, you restore 12hp, and if they are an ally they gain a +2 bonus to their AC for 2 round. If you target an undead it takes 2d6 positive damage and it must attempt a basic Fortitude save; on fail takes -2 status penalty to its AC for 1 round.</t>
  </si>
  <si>
    <t>Your hands are infused with positive energy. If you target a willing living creature, you restore 18hp, and if they are an ally they gain a +2 bonus to their AC for 2 round. If you target an undead it takes 3d6 positive damage and it must attempt a basic Fortitude save; on fail takes -2 status penalty to its AC for 1 round.</t>
  </si>
  <si>
    <t>Your hands are infused with positive energy. If you target a willing living creature, you restore 24hp, and if they are an ally they gain a +2 bonus to their AC for 2 round. If you target an undead it takes 4d6 positive damage and it must attempt a basic Fortitude save; on fail takes -2 status penalty to its AC for 1 round.</t>
  </si>
  <si>
    <t>Your hands are infused with positive energy. If you target a willing living creature, you restore 30hp, and if they are an ally they gain a +2 bonus to their AC for 2 round. If you target an undead it takes 5d6 positive damage and it must attempt a basic Fortitude save; on fail takes -2 status penalty to its AC for 1 round.</t>
  </si>
  <si>
    <t>Your hands are infused with positive energy. If you target a willing living creature, you restore 36hp, and if they are an ally they gain a +2 bonus to their AC for 2 round. If you target an undead it takes 6d6 positive damage and it must attempt a basic Fortitude save; on fail takes -2 status penalty to its AC for 1 round.</t>
  </si>
  <si>
    <t>Your hands are infused with positive energy. If you target a willing living creature, you restore 42hp, and if they are an ally they gain a +2 bonus to their AC for 2 round. If you target an undead it takes 7d6 positive damage and it must attempt a basic Fortitude save; on fail takes -2 status penalty to its AC for 1 round.</t>
  </si>
  <si>
    <t>Your hands are infused with positive energy. If you target a willing living creature, you restore 48hp, and if they are an ally they gain a +2 bonus to their AC for 2 round. If you target an undead it takes 8d6 positive damage and it must attempt a basic Fortitude save; on fail takes -2 status penalty to its AC for 1 round.</t>
  </si>
  <si>
    <t>Your hands are infused with positive energy. If you target a willing living creature, you restore 54hp, and if they are an ally they gain a +2 bonus to their AC for 2 round. If you target an undead it takes 9d6 positive damage and it must attempt a basic Fortitude save; on fail takes -2 status penalty to its AC for 1 round.</t>
  </si>
  <si>
    <t>Your hands are infused with positive energy. If you target a willing living creature, you restore 60hp, and if they are an ally they gain a +2 bonus to their AC for 2 round. If you target an undead it takes 10d6 positive damage and it must attempt a basic Fortitude save; on fail takes -2 status penalty to its AC for 1 round.</t>
  </si>
  <si>
    <t>Life Boost</t>
  </si>
  <si>
    <t>You temporarily bolster the target's vitality. The target gains fast healing equal to double the spell's level.</t>
  </si>
  <si>
    <t>Life Link</t>
  </si>
  <si>
    <t>You forge a connection of life between you and the target, distributing harm. When you cast the spell, the target regains 1d4 hp. The first time each round the target takes damage reduce that damage by 3, and you take the damage reduced this way. There is no way to reduce the damage you take.</t>
  </si>
  <si>
    <t>You forge a connection of life between you and 2 targets, distributing harm. When you cast the spell, the targets regains 3d4 hp. The first time each round a target takes damage reduce that damage by 5, and you take the damage reduced this way. There is no way to reduce the damage you take.</t>
  </si>
  <si>
    <t>You forge a connection of life between you and 3 targets, distributing harm. When you cast the spell, the targets regains 6d4 hp. The first time each round a target takes damage reduce that damage by 10, and you take the damage reduced this way. There is no way to reduce the damage you take.</t>
  </si>
  <si>
    <t>You forge a connection of life between you and 4 targets, distributing harm. When you cast the spell, the targets regains 9d4 hp. The first time each round a target takes damage reduce that damage by 15, and you take the damage reduced this way. There is no way to reduce the damage you take.</t>
  </si>
  <si>
    <t>Lift Nature's Caul</t>
  </si>
  <si>
    <t>You cause force the creatures in the 5ft emanation to see the reality for what it "really" is, a warped and alien hellscape. Aberrations and worshippers of Outer Gods enjoy this and gain a +1 bonus to will saves and attacks for 1min; All other creatures suffer: Crit Success - immune 1 hour; Success - sickened 1; Fail - stupefied 1 for 1 min, frightend 1; Crit Fail - Stupefied 1 for 1min, frightened 2, cant reduce fright below 1 while stupefied.</t>
  </si>
  <si>
    <t>You cause force the creatures in the 10ft emanation to see the reality for what it "really" is, a warped and alien hellscape. Aberrations and worshippers of Outer Gods enjoy this and gain a +1 bonus to will saves and attacks for 1min; All other creatures suffer: Crit Success - immune 1 hour; Success - sickened 1; Fail - stupefied 1 for 2 min, frightend 1; Crit Fail - Stupefied 1 for 2min, frightened 2, cant reduce fright below 1 while stupefied.</t>
  </si>
  <si>
    <t>You cause force the creatures in the 15ft emanation to see the reality for what it "really" is, a warped and alien hellscape. Aberrations and worshippers of Outer Gods enjoy this and gain a +1 bonus to will saves and attacks for 1min; All other creatures suffer: Crit Success - immune 1 hour; Success - sickened 1; Fail - stupefied 1 for 3 min, frightend 1; Crit Fail - Stupefied 1 for 3min, frightened 2, cant reduce fright below 1 while stupefied.</t>
  </si>
  <si>
    <t>You cause force the creatures in the 15ft emanation to see the reality for what it "really" is, a warped and alien hellscape. Aberrations and worshippers of Outer Gods enjoy this and gain a +1 bonus to will saves and attacks for 1min; All other creatures suffer: Crit Success - immune 1 hour; Success - sickened 1; Fail - stupefied 1 for 4 min, frightend 1; Crit Fail - Stupefied 1 for 4min, frightened 2, cant reduce fright below 1 while stupefied.</t>
  </si>
  <si>
    <t>You cause force the creatures in the 15ft emanation to see the reality for what it "really" is, a warped and alien hellscape. Aberrations and worshippers of Outer Gods enjoy this and gain a +1 bonus to will saves and attacks for 1min; All other creatures suffer: Crit Success - immune 1 hour; Success - sickened 1; Fail - stupefied 1 for 5 min, frightend 1; Crit Fail - Stupefied 1 for 5min, frightened 2, cant reduce fright below 1 while stupefied.</t>
  </si>
  <si>
    <t>Lingering Composition</t>
  </si>
  <si>
    <t>You add a flurish to your compositions. If your next action is a compsition cantrip with a duration of 1 round, attempt a Performance check against a standard DC of the highest lv target. Crit success - 4 round duration; Success - 3 round duration; Fail - 1 round duration, dont spend the Focus point.</t>
  </si>
  <si>
    <t>Loremaster's Etude</t>
  </si>
  <si>
    <t>When you or an ally attempts to recall knowledge you call upon your own knowledge to assist them. The triggering roll has fortune (roll twice, use the higher).</t>
  </si>
  <si>
    <t>Magic Hide</t>
  </si>
  <si>
    <t>Your animal companion grows a thicker hide, matted fur, or a harder shell, granting it a +1 status bonus to AC.</t>
  </si>
  <si>
    <t>Magic's Vessel</t>
  </si>
  <si>
    <t>The target becomes a receptacle of pure magical energy, gaining a +1 status bonus to saving throws. Each time you Cast a Spell using spell slots, you automatically Sustain this spell, and grant the target resistance to spells until the start of your next turn. This resistance is equal to the level of the spell you cast.</t>
  </si>
  <si>
    <t>Moonbeam</t>
  </si>
  <si>
    <t>You shine a ray of moonlight, dealing 1d6 fire damage on a hit. This damage is silver for the purpose of weakness and resistances. On a hit the target is dazzled for 1 round, on a critical hit the target is dazzled for 1 min.</t>
  </si>
  <si>
    <t>You shine a ray of moonlight, dealing 2d6 fire damage on a hit. This damage is silver for the purpose of weakness and resistances. On a hit the target is dazzled for 1 round, on a critical hit the target is dazzled for 1 min.</t>
  </si>
  <si>
    <t>You shine a ray of moonlight, dealing 3d6 fire damage on a hit. This damage is silver for the purpose of weakness and resistances. On a hit the target is dazzled for 1 round, on a critical hit the target is dazzled for 1 min.</t>
  </si>
  <si>
    <t>You shine a ray of moonlight, dealing 4d6 fire damage on a hit. This damage is silver for the purpose of weakness and resistances. On a hit the target is dazzled for 1 round, on a critical hit the target is dazzled for 1 min.</t>
  </si>
  <si>
    <t>You shine a ray of moonlight, dealing 5d6 fire damage on a hit. This damage is silver for the purpose of weakness and resistances. On a hit the target is dazzled for 1 round, on a critical hit the target is dazzled for 1 min.</t>
  </si>
  <si>
    <t>You shine a ray of moonlight, dealing 6d6 fire damage on a hit. This damage is silver for the purpose of weakness and resistances. On a hit the target is dazzled for 1 round, on a critical hit the target is dazzled for 1 min.</t>
  </si>
  <si>
    <t>You shine a ray of moonlight, dealing 7d6 fire damage on a hit. This damage is silver for the purpose of weakness and resistances. On a hit the target is dazzled for 1 round, on a critical hit the target is dazzled for 1 min.</t>
  </si>
  <si>
    <t>You shine a ray of moonlight, dealing 8d6 fire damage on a hit. This damage is silver for the purpose of weakness and resistances. On a hit the target is dazzled for 1 round, on a critical hit the target is dazzled for 1 min.</t>
  </si>
  <si>
    <t>You shine a ray of moonlight, dealing 9d6 fire damage on a hit. This damage is silver for the purpose of weakness and resistances. On a hit the target is dazzled for 1 round, on a critical hit the target is dazzled for 1 min.</t>
  </si>
  <si>
    <t>You shine a ray of moonlight, dealing 10d6 fire damage on a hit. This damage is silver for the purpose of weakness and resistances. On a hit the target is dazzled for 1 round, on a critical hit the target is dazzled for 1 min.</t>
  </si>
  <si>
    <t>Needle of Vengeance</t>
  </si>
  <si>
    <t>A jagged needle jabs into the foe's psyche whenever they try to attack a specifically forbidden creature. Name yourself or one ally. The target foe takes 2 mental damage any time it uses a hostile action against the named creature.</t>
  </si>
  <si>
    <t>A jagged needle jabs into the foe's psyche whenever they try to attack a specifically forbidden creature. Name yourself or one ally. The target foe takes 4 mental damage any time it uses a hostile action against the named creature.</t>
  </si>
  <si>
    <t>A jagged needle jabs into the foe's psyche whenever they try to attack a specifically forbidden creature. Name yourself or one ally. The target foe takes 6 mental damage any time it uses a hostile action against the named creature.</t>
  </si>
  <si>
    <t>A jagged needle jabs into the foe's psyche whenever they try to attack a specifically forbidden creature. Name yourself or one ally. The target foe takes 8 mental damage any time it uses a hostile action against the named creature.</t>
  </si>
  <si>
    <t>A jagged needle jabs into the foe's psyche whenever they try to attack a specifically forbidden creature. Name yourself or one ally. The target foe takes 10 mental damage any time it uses a hostile action against the named creature.</t>
  </si>
  <si>
    <t>A jagged needle jabs into the foe's psyche whenever they try to attack a specifically forbidden creature. Name yourself or one ally. The target foe takes 12 mental damage any time it uses a hostile action against the named creature.</t>
  </si>
  <si>
    <t>A jagged needle jabs into the foe's psyche whenever they try to attack a specifically forbidden creature. Name yourself or one ally. The target foe takes 14 mental damage any time it uses a hostile action against the named creature.</t>
  </si>
  <si>
    <t>A jagged needle jabs into the foe's psyche whenever they try to attack a specifically forbidden creature. Name yourself or one ally. The target foe takes 16 mental damage any time it uses a hostile action against the named creature.</t>
  </si>
  <si>
    <t>A jagged needle jabs into the foe's psyche whenever they try to attack a specifically forbidden creature. Name yourself or one ally. The target foe takes 18 mental damage any time it uses a hostile action against the named creature.</t>
  </si>
  <si>
    <t>A jagged needle jabs into the foe's psyche whenever they try to attack a specifically forbidden creature. Name yourself or one ally. The target foe takes 20 mental damage any time it uses a hostile action against the named creature.</t>
  </si>
  <si>
    <t>Nymph's Token</t>
  </si>
  <si>
    <t xml:space="preserve">You grant an ally a token of favor. You create a token such as a lock of hair or a flower, and as a part of casting can give the token to an ally within reach. As long as the ally has the token they gain a +1 status bonus to Performance checks and Will saves. </t>
  </si>
  <si>
    <t>You grant an ally a token of favor. You create a token such as a lock of hair or a flower, and as a part of casting can give the token to an ally within reach. As long as the ally has the token they gain a +1 status bonus to Performance checks and Will saves. While the token is within 30ft you can cast Touch ranged spells on the bearer.</t>
  </si>
  <si>
    <t>Oathkeeper's Insignia</t>
  </si>
  <si>
    <t>Upon making a promise or deal, you create a trinket (bracelet, flower), a magical indicator to assure a creature you have upheld your end of a bargain. If you complete the terms of the promise you made the trinket fades away with a pleasant chime; if you violate the terms the trinket breaks with a dissonant crash.</t>
  </si>
  <si>
    <t>Upon making a promise or deal, you create a trinket (bracelet, flower), a magical indicator to assure a creature you have upheld your end of a bargain that lasts 1 day. If you complete the terms of the promise you made the trinket fades away with a pleasant chime; if you violate the terms the trinket breaks with a dissonant crash.</t>
  </si>
  <si>
    <t>Upon making a promise or deal, you create a trinket (bracelet, flower), a magical indicator to assure a creature you have upheld your end of a bargain that lasts 1 week. If you complete the terms of the promise you made the trinket fades away with a pleasant chime; if you violate the terms the trinket breaks with a dissonant crash.</t>
  </si>
  <si>
    <t>Upon making a promise or deal, you create a trinket (bracelet, flower), a magical indicator to assure a creature you have upheld your end of a bargain that lasts 1 month. If you complete the terms of the promise you made the trinket fades away with a pleasant chime; if you violate the terms the trinket breaks with a dissonant crash.</t>
  </si>
  <si>
    <t>Upon making a promise or deal, you create a trinket (bracelet, flower), a magical indicator to assure a creature you have upheld your end of a bargain that lasts 1 year. If you complete the terms of the promise you made the trinket fades away with a pleasant chime; if you violate the terms the trinket breaks with a dissonant crash.</t>
  </si>
  <si>
    <t>Object Memory</t>
  </si>
  <si>
    <t>You draw forth the experience of those who created and used the object. If you touch a weapon you proficiency rank increases to trained. If you touch a tool your proficiency rank for the next skill check becomes trained. This spell has no benefit for activities that take longer than a minute to complete.</t>
  </si>
  <si>
    <t>You draw forth the experience of those who created and used the object. If you touch a weapon you proficiency rank increases to expert. If you touch a tool your proficiency rank for the next skill check becomes expert. This spell has no benefit for activities that take longer than a minute to complete.</t>
  </si>
  <si>
    <t>Overstuff</t>
  </si>
  <si>
    <t>Huge amount of food and drink fill the target, as it recieves a full meal's worth of nourishment. Success - sickened 1, automatically ends if it uses an action; Fail - sickened 1; Crit Fail - Sickened 2. Creature sickened in this way have a -10ft status penalty to its speed.</t>
  </si>
  <si>
    <t>Parch</t>
  </si>
  <si>
    <t>Dry winds dehydrate the target. If it has the water trait or made primarily out of liquids (such as oozes) its save is one degree worse. Creatures with no water content are immune. Success: -1 status penalty to checks and DCs for 1 round; Fail: -1 to checks and DCs, 1 min; Crit Fail: -2 penalty to checks, DCs for 1 min, dazzled. Creatures can drink water (or potions) to end the spell, or by using 2 actions if they cant drink.</t>
  </si>
  <si>
    <t>Dry winds dehydrate 4 targets. If it has the water trait or made primarily out of liquids (such as oozes) its save is one degree worse. Creatures with no water content are immune. Success: -1 status penalty to checks and DCs for 1 round; Fail: -1 to checks and DCs, 1 min; Crit Fail: -2 penalty to checks, DCs for 1 min, dazzled. Creatures can drink water (or potions) to end the spell, or by using 2 actions if they cant drink.</t>
  </si>
  <si>
    <t>Perfected Mind</t>
  </si>
  <si>
    <t>With meditation you remove distractions from your mind. Attempt a Will save against one mental effect you are under (that requires a Will save). You use the new roll for your save unless it is worse than the original, then nothing happens. You can only use this spell against a given effect once.</t>
  </si>
  <si>
    <t>Phase Familiar</t>
  </si>
  <si>
    <t>Your familiar</t>
  </si>
  <si>
    <t>When your familiar would take damage you call upon your patron's power to shift your familiar into an ephemeral misty version of itself. Your familiar gains resistance 5 to all damage and immunity to precision against the triggering attack.</t>
  </si>
  <si>
    <t>When your familiar would take damage you call upon your patron's power to shift your familiar into an ephemeral misty version of itself. Your familiar gains resistance 7 to all damage and immunity to precision against the triggering attack.</t>
  </si>
  <si>
    <t>When your familiar would take damage you call upon your patron's power to shift your familiar into an ephemeral misty version of itself. Your familiar gains resistance 9 to all damage and immunity to precision against the triggering attack.</t>
  </si>
  <si>
    <t>When your familiar would take damage you call upon your patron's power to shift your familiar into an ephemeral misty version of itself. Your familiar gains resistance 11 to all damage and immunity to precision against the triggering attack.</t>
  </si>
  <si>
    <t>When your familiar would take damage you call upon your patron's power to shift your familiar into an ephemeral misty version of itself. Your familiar gains resistance 13 to all damage and immunity to precision against the triggering attack.</t>
  </si>
  <si>
    <t>When your familiar would take damage you call upon your patron's power to shift your familiar into an ephemeral misty version of itself. Your familiar gains resistance 15 to all damage and immunity to precision against the triggering attack.</t>
  </si>
  <si>
    <t>When your familiar would take damage you call upon your patron's power to shift your familiar into an ephemeral misty version of itself. Your familiar gains resistance 17 to all damage and immunity to precision against the triggering attack.</t>
  </si>
  <si>
    <t>When your familiar would take damage you call upon your patron's power to shift your familiar into an ephemeral misty version of itself. Your familiar gains resistance 19 to all damage and immunity to precision against the triggering attack.</t>
  </si>
  <si>
    <t>When your familiar would take damage you call upon your patron's power to shift your familiar into an ephemeral misty version of itself. Your familiar gains resistance 21 to all damage and immunity to precision against the triggering attack.</t>
  </si>
  <si>
    <t>When your familiar would take damage you call upon your patron's power to shift your familiar into an ephemeral misty version of itself. Your familiar gains resistance 23 to all damage and immunity to precision against the triggering attack.</t>
  </si>
  <si>
    <t>Physical Boost</t>
  </si>
  <si>
    <t>You temporarily improve the target's physique. The target gains a +2 status bonus to the next Acrobatics check, Athletics check, Fortitude save, or Reflex save it attempts.</t>
  </si>
  <si>
    <t>Practice Makes Perfect</t>
  </si>
  <si>
    <t>You or an ally gains a +2 status bonus to a failed skill check that they are trained in. This bonus is +3 if they are a master or better in the triggering skill. This bonus can change the outcome of the check.</t>
  </si>
  <si>
    <t>#148</t>
  </si>
  <si>
    <t>Protective Ward</t>
  </si>
  <si>
    <t>You emanate a shimmering aura of protective magic. You and any allies in the area gain a +1 status bonus to AC. Each time you Sustain the Spell, the emanation's radius increases by 5 feet, to a maximum of 30 feet.</t>
  </si>
  <si>
    <t>Protector's Sacrifice</t>
  </si>
  <si>
    <t>When an ally would take damage you prevent some of their suffering by taking that damage. Reduce the damage from the triggering attack by 3. You take the damage reduced yourself and it can not be reduced or increased in any way. Any other effects of the attack still apply to the inital target, such as poison.</t>
  </si>
  <si>
    <t>When an ally would take damage you prevent some of their suffering by taking that damage. Reduce the damage from the triggering attack by 6. You take the damage reduced yourself and it can not be reduced or increased in any way. Any other effects of the attack still apply to the inital target, such as poison.</t>
  </si>
  <si>
    <t>When an ally would take damage you prevent some of their suffering by taking that damage. Reduce the damage from the triggering attack by 9. You take the damage reduced yourself and it can not be reduced or increased in any way. Any other effects of the attack still apply to the inital target, such as poison.</t>
  </si>
  <si>
    <t>When an ally would take damage you prevent some of their suffering by taking that damage. Reduce the damage from the triggering attack by 12. You take the damage reduced yourself and it can not be reduced or increased in any way. Any other effects of the attack still apply to the inital target, such as poison.</t>
  </si>
  <si>
    <t>When an ally would take damage you prevent some of their suffering by taking that damage. Reduce the damage from the triggering attack by 15. You take the damage reduced yourself and it can not be reduced or increased in any way. Any other effects of the attack still apply to the inital target, such as poison.</t>
  </si>
  <si>
    <t>When an ally would take damage you prevent some of their suffering by taking that damage. Reduce the damage from the triggering attack by 18. You take the damage reduced yourself and it can not be reduced or increased in any way. Any other effects of the attack still apply to the inital target, such as poison.</t>
  </si>
  <si>
    <t>When an ally would take damage you prevent some of their suffering by taking that damage. Reduce the damage from the triggering attack by 21. You take the damage reduced yourself and it can not be reduced or increased in any way. Any other effects of the attack still apply to the inital target, such as poison.</t>
  </si>
  <si>
    <t>When an ally would take damage you prevent some of their suffering by taking that damage. Reduce the damage from the triggering attack by 24. You take the damage reduced yourself and it can not be reduced or increased in any way. Any other effects of the attack still apply to the inital target, such as poison.</t>
  </si>
  <si>
    <t>When an ally would take damage you prevent some of their suffering by taking that damage. Reduce the damage from the triggering attack by 27. You take the damage reduced yourself and it can not be reduced or increased in any way. Any other effects of the attack still apply to the inital target, such as poison.</t>
  </si>
  <si>
    <t>When an ally would take damage you prevent some of their suffering by taking that damage. Reduce the damage from the triggering attack by 30. You take the damage reduced yourself and it can not be reduced or increased in any way. Any other effects of the attack still apply to the inital target, such as poison.</t>
  </si>
  <si>
    <t>Pushing Gust</t>
  </si>
  <si>
    <t>With a push of air you buffet the target with a powerful gust of wind. Success - target is pushed 5ft away; Fail - target is pushed 10ft away; Crit Fail - pushed 10ft away and knocked prone.</t>
  </si>
  <si>
    <t>Read Fate</t>
  </si>
  <si>
    <t>You attempt to learn a different creature's fate in the short term, a day for most or the next hour for adventurers. You learn a single enigmatic word connected to the fate, that cant necessarily be taken at face value. GM rolls a secret check (DC 6 flat), on a fail, or if the future is too uncertain the given word is "inconclusive." Creature is immune for 24 hours.</t>
  </si>
  <si>
    <t>Redact</t>
  </si>
  <si>
    <t>Written materials</t>
  </si>
  <si>
    <t>You strike mention of a specific name from upto 1 bulk of unattended written materials. Give a proper name when casting this spell, and all mentions of that name become smeared and unreadable. Epithets and unambiguous references to the name are also redacted, such as titles.</t>
  </si>
  <si>
    <t>You strike mention of a specific name from upto 1 bulk of unattended written materials. Give a proper name when casting this spell, and all mentions of that name become smeared and unreadable. Epithets and unambiguous references to the name are also redacted, such as titles. You can replace the redacted name with your own, Society check to notice the alteration.</t>
  </si>
  <si>
    <t>You strike mention of a specific name from upto 1 bulk of unattended written materials forever. Give a proper name when casting this spell, and all mentions of that name become smeared and unreadable. Epithets and unambiguous references to the name are also redacted, such as titles. You can replace the redacted name with your own, Society check to notice the alteration.</t>
  </si>
  <si>
    <t>Rejuvenating Flames</t>
  </si>
  <si>
    <t>A gout of flames that both heals and burns. You restore 1d4 hp to allies in the area, and those allies gain a +1 status bonus to Fortitude saves for 1 min. Enemies in the area take 1d4 fire damage with a basic Reflex save.</t>
  </si>
  <si>
    <t>A gout of flames that both heals and burns. You restore 2d4 hp to allies in the area, and those allies gain a +1 status bonus to Fortitude saves for 1 min. Enemies in the area take 2d4 fire damage with a basic Reflex save.</t>
  </si>
  <si>
    <t>A gout of flames that both heals and burns. You restore 3d4 hp to allies in the area, and those allies gain a +1 status bonus to Fortitude saves for 1 min. Enemies in the area take 3d4 fire damage with a basic Reflex save.</t>
  </si>
  <si>
    <t>A gout of flames that both heals and burns. You restore 4d4 hp to allies in the area, and those allies gain a +1 status bonus to Fortitude saves for 1 min. Enemies in the area take 4d4 fire damage with a basic Reflex save.</t>
  </si>
  <si>
    <t>A gout of flames that both heals and burns. You restore 5d4 hp to allies in the area, and those allies gain a +1 status bonus to Fortitude saves for 1 min. Enemies in the area take 5d4 fire damage with a basic Reflex save.</t>
  </si>
  <si>
    <t>A gout of flames that both heals and burns. You restore 6d4 hp to allies in the area, and those allies gain a +1 status bonus to Fortitude saves for 1 min. Enemies in the area take 6d4 fire damage with a basic Reflex save.</t>
  </si>
  <si>
    <t>A gout of flames that both heals and burns. You restore 7d4 hp to allies in the area, and those allies gain a +1 status bonus to Fortitude saves for 1 min. Enemies in the area take 7d4 fire damage with a basic Reflex save.</t>
  </si>
  <si>
    <t>A gout of flames that both heals and burns. You restore 8d4 hp to allies in the area, and those allies gain a +1 status bonus to Fortitude saves for 1 min. Enemies in the area take 8d4 fire damage with a basic Reflex save.</t>
  </si>
  <si>
    <t>A gout of flames that both heals and burns. You restore 9d4 hp to allies in the area, and those allies gain a +1 status bonus to Fortitude saves for 1 min. Enemies in the area take 9d4 fire damage with a basic Reflex save.</t>
  </si>
  <si>
    <t>A gout of flames that both heals and burns. You restore 10d4 hp to allies in the area, and those allies gain a +1 status bonus to Fortitude saves for 1 min. Enemies in the area take 10d4 fire damage with a basic Reflex save.</t>
  </si>
  <si>
    <t>#168</t>
  </si>
  <si>
    <t>Rising Surf</t>
  </si>
  <si>
    <t>You create a wave of water you ride. You move upto 35ft, rising 5ft in the air (enough to avoid most obsticals). You must end your turn with solid footing. This isnt a stride, but is measured like one, and can trigger reactions caused by movement. You can not transport anyone else.</t>
  </si>
  <si>
    <t>You create a wave of water you ride. You move upto 40ft, rising 10ft in the air (enough to avoid most obsticals). You must end your turn with solid footing. This isnt a stride, but is measured like one, and can trigger reactions caused by movement. You can not transport anyone else.</t>
  </si>
  <si>
    <t>You create a wave of water you ride. You move upto 45ft, rising 15ft in the air (enough to avoid most obsticals). You must end your turn with solid footing. This isnt a stride, but is measured like one, and can trigger reactions caused by movement. You can not transport anyone else.</t>
  </si>
  <si>
    <t>You create a wave of water you ride. You move upto 50ft, rising 20ft in the air (enough to avoid most obsticals). You must end your turn with solid footing. This isnt a stride, but is measured like one, and can trigger reactions caused by movement. You can not transport anyone else.</t>
  </si>
  <si>
    <t>You create a wave of water you ride. You move upto 55ft, rising 25ft in the air (enough to avoid most obsticals). You must end your turn with solid footing. This isnt a stride, but is measured like one, and can trigger reactions caused by movement. You can not transport anyone else.</t>
  </si>
  <si>
    <t>Savor the Sting</t>
  </si>
  <si>
    <t>You inflict pain and revel in their anguish. This deals 1d4 mental and 1d4 persistant mental damage. As long as the target is taking this persistant damage you gain a +1 status bonus to attack rolls and skill checks against the target. Success: half damage, no persistant; Fail: full damage, persistant damage; Crit Fail: double damage, persistant damage.</t>
  </si>
  <si>
    <t>You inflict pain and revel in their anguish. This deals 2d4 mental and 2d4 persistant mental damage. As long as the target is taking this persistant damage you gain a +1 status bonus to attack rolls and skill checks against the target. Success: half damage, no persistant; Fail: full damage, persistant damage; Crit Fail: double damage, persistant damage.</t>
  </si>
  <si>
    <t>You inflict pain and revel in their anguish. This deals 3d4 mental and 3d4 persistant mental damage. As long as the target is taking this persistant damage you gain a +1 status bonus to attack rolls and skill checks against the target. Success: half damage, no persistant; Fail: full damage, persistant damage; Crit Fail: double damage, persistant damage.</t>
  </si>
  <si>
    <t>You inflict pain and revel in their anguish. This deals 4d4 mental and 4d4 persistant mental damage. As long as the target is taking this persistant damage you gain a +1 status bonus to attack rolls and skill checks against the target. Success: half damage, no persistant; Fail: full damage, persistant damage; Crit Fail: double damage, persistant damage.</t>
  </si>
  <si>
    <t>You inflict pain and revel in their anguish. This deals 5d4 mental and 5d4 persistant mental damage. As long as the target is taking this persistant damage you gain a +1 status bonus to attack rolls and skill checks against the target. Success: half damage, no persistant; Fail: full damage, persistant damage; Crit Fail: double damage, persistant damage.</t>
  </si>
  <si>
    <t>You inflict pain and revel in their anguish. This deals 6d4 mental and 6d4 persistant mental damage. As long as the target is taking this persistant damage you gain a +1 status bonus to attack rolls and skill checks against the target. Success: half damage, no persistant; Fail: full damage, persistant damage; Crit Fail: double damage, persistant damage.</t>
  </si>
  <si>
    <t>You inflict pain and revel in their anguish. This deals 7d4 mental and 7d4 persistant mental damage. As long as the target is taking this persistant damage you gain a +1 status bonus to attack rolls and skill checks against the target. Success: half damage, no persistant; Fail: full damage, persistant damage; Crit Fail: double damage, persistant damage.</t>
  </si>
  <si>
    <t>You inflict pain and revel in their anguish. This deals 8d4 mental and 8d4 persistant mental damage. As long as the target is taking this persistant damage you gain a +1 status bonus to attack rolls and skill checks against the target. Success: half damage, no persistant; Fail: full damage, persistant damage; Crit Fail: double damage, persistant damage.</t>
  </si>
  <si>
    <t>You inflict pain and revel in their anguish. This deals 9d4 mental and 9d4 persistant mental damage. As long as the target is taking this persistant damage you gain a +1 status bonus to attack rolls and skill checks against the target. Success: half damage, no persistant; Fail: full damage, persistant damage; Crit Fail: double damage, persistant damage.</t>
  </si>
  <si>
    <t>You inflict pain and revel in their anguish. This deals 10d4 mental and 10d4 persistant mental damage. As long as the target is taking this persistant damage you gain a +1 status bonus to attack rolls and skill checks against the target. Success: half damage, no persistant; Fail: full damage, persistant damage; Crit Fail: double damage, persistant damage.</t>
  </si>
  <si>
    <t>Scholarly Recollection</t>
  </si>
  <si>
    <t>Upon attempting a Perception check to Seek, or Recall knowledge check you gather your thoughts with a short prayer as your diety helps you find the right knowledge. The triggering roll has fortune (roll twice, take higher).</t>
  </si>
  <si>
    <t>Sepulchral Mask</t>
  </si>
  <si>
    <t>Manifesting a supernatural funerary mask you gain a +1 status bonus to Will saves against emotional effects. Its appearence makes your enemies confront their regrets, dealing 1d4 mental damage when they start their turn within 5ft. Success: half damage; Fail: full damage, -1 to will saves for 1 round; Crit fail: full damage, -1 to will saves for 1 round.</t>
  </si>
  <si>
    <t>Manifesting a supernatural funerary mask you gain a +1 status bonus to Will saves against emotional effects. Its appearence makes your enemies confront their regrets, dealing 2d4 mental damage when they start their turn within 10ft. Success: half damage; Fail: full damage, -1 to will saves for 1 round; Crit fail: full damage, -1 to will saves for 1 round.</t>
  </si>
  <si>
    <t>Manifesting a supernatural funerary mask you gain a +1 status bonus to Will saves against emotional effects. Its appearence makes your enemies confront their regrets, dealing 3d4 mental damage when they start their turn within 15ft. Success: half damage; Fail: full damage, -1 to will saves for 1 round; Crit fail: full damage, -1 to will saves for 1 round.</t>
  </si>
  <si>
    <t>Manifesting a supernatural funerary mask you gain a +1 status bonus to Will saves against emotional effects. Its appearence makes your enemies confront their regrets, dealing 4d4 mental damage when they start their turn within 20ft. Success: half damage; Fail: full damage, -1 to will saves for 1 round; Crit fail: full damage, -1 to will saves for 1 round.</t>
  </si>
  <si>
    <t>Manifesting a supernatural funerary mask you gain a +1 status bonus to Will saves against emotional effects. Its appearence makes your enemies confront their regrets, dealing 5d4 mental damage when they start their turn within 25ft. Success: half damage; Fail: full damage, -1 to will saves for 1 round; Crit fail: full damage, -1 to will saves for 1 round.</t>
  </si>
  <si>
    <t>Share Burden</t>
  </si>
  <si>
    <t>When an ally attempts a save against a harmful mental effect you arent affected by you share some of the pain. Both you and your ally use the outcome one degree of success better than the result of your ally's saving throw, even if the trigger effect usually affects only one target.</t>
  </si>
  <si>
    <t>Shielding Strike</t>
  </si>
  <si>
    <t>As you attack a foe, warding magic transforms your momentum into action and lifts your shield. Make a melee Strike. You can then either Raise your Shield if you're wielding one or cast shield if you have the spell.</t>
  </si>
  <si>
    <t>Shooting Star</t>
  </si>
  <si>
    <t>You let loose a projectile that you are weilding, shooting it with a blazing trail like a meteor. Make a ranged strike, ignoring the target's concealment and reducing the target's cover by one degree. On hit the effect lasts, giving concealment negation and cover reduction to any other attacks against the target until the start of your next turn.</t>
  </si>
  <si>
    <t>Snare Hopping</t>
  </si>
  <si>
    <t>1 snare you built</t>
  </si>
  <si>
    <t>You may not have placed your snare in the right place, but you can magically move it there. You teleport the target snare to another unoccupied location within the 10ft range.</t>
  </si>
  <si>
    <t>You may not have placed your snare in the right place, but you can magically move it there. You teleport the target snare to another unoccupied location within the 20ft range.</t>
  </si>
  <si>
    <t>You may not have placed your snare in the right place, but you can magically move it there. You teleport the target snare to another unoccupied location within the 30ft range.</t>
  </si>
  <si>
    <t>You may not have placed your snare in the right place, but you can magically move it there. You teleport the target snare to another unoccupied location within the 40ft range.</t>
  </si>
  <si>
    <t>You may not have placed your snare in the right place, but you can magically move it there. You teleport the target snare to another unoccupied location within the 50ft range.</t>
  </si>
  <si>
    <t>You may not have placed your snare in the right place, but you can magically move it there. You teleport the target snare to another unoccupied location within the 60ft range.</t>
  </si>
  <si>
    <t>You may not have placed your snare in the right place, but you can magically move it there. You teleport the target snare to another unoccupied location within the 70ft range.</t>
  </si>
  <si>
    <t>You may not have placed your snare in the right place, but you can magically move it there. You teleport the target snare to another unoccupied location within the 80ft range.</t>
  </si>
  <si>
    <t>You may not have placed your snare in the right place, but you can magically move it there. You teleport the target snare to another unoccupied location within the 90ft range.</t>
  </si>
  <si>
    <t>You may not have placed your snare in the right place, but you can magically move it there. You teleport the target snare to another unoccupied location within the 100ft range.</t>
  </si>
  <si>
    <t>Soothing Words</t>
  </si>
  <si>
    <t>With soothing words you grant the target a +1 status bonus to Will saving throws. This bonus is +2 against emotional effects. Upon casting this spell you can attempt to counteract one emotion effect on the target.</t>
  </si>
  <si>
    <t>With soothing words you grant the target a +2 status bonus to Will saving throws. This bonus is +3 against emotional effects. Upon casting this spell you can attempt to counteract one emotion effect on the target.</t>
  </si>
  <si>
    <t>Soul Siphon</t>
  </si>
  <si>
    <t>You siphon off a portion of the target's soul to bolster your own vitality. The target takes 1d4 negative damage, and you gain temp hp to all hp loss this way, including from drained. Success - half damage; Fail - full damage, drained 1; Crit Fail - double damage, drained 2.</t>
  </si>
  <si>
    <t>You siphon off a portion of the target's soul to bolster your own vitality. The target takes 2d4 negative damage, and you gain temp hp to all hp loss this way, including from drained. Success - half damage; Fail - full damage, drained 1; Crit Fail - double damage, drained 2.</t>
  </si>
  <si>
    <t>You siphon off a portion of the target's soul to bolster your own vitality. The target takes 3d4 negative damage, and you gain temp hp to all hp loss this way, including from drained. Success - half damage; Fail - full damage, drained 1; Crit Fail - double damage, drained 2.</t>
  </si>
  <si>
    <t>You siphon off a portion of the target's soul to bolster your own vitality. The target takes 4d4 negative damage, and you gain temp hp to all hp loss this way, including from drained. Success - half damage; Fail - full damage, drained 1; Crit Fail - double damage, drained 2.</t>
  </si>
  <si>
    <t>You siphon off a portion of the target's soul to bolster your own vitality. The target takes 5d4 negative damage, and you gain temp hp to all hp loss this way, including from drained. Success - half damage; Fail - full damage, drained 1; Crit Fail - double damage, drained 2.</t>
  </si>
  <si>
    <t>You siphon off a portion of the target's soul to bolster your own vitality. The target takes 6d4 negative damage, and you gain temp hp to all hp loss this way, including from drained. Success - half damage; Fail - full damage, drained 1; Crit Fail - double damage, drained 2.</t>
  </si>
  <si>
    <t>You siphon off a portion of the target's soul to bolster your own vitality. The target takes 7d4 negative damage, and you gain temp hp to all hp loss this way, including from drained. Success - half damage; Fail - full damage, drained 1; Crit Fail - double damage, drained 2.</t>
  </si>
  <si>
    <t>You siphon off a portion of the target's soul to bolster your own vitality. The target takes 8d4 negative damage, and you gain temp hp to all hp loss this way, including from drained. Success - half damage; Fail - full damage, drained 1; Crit Fail - double damage, drained 2.</t>
  </si>
  <si>
    <t>You siphon off a portion of the target's soul to bolster your own vitality. The target takes 9d4 negative damage, and you gain temp hp to all hp loss this way, including from drained. Success - half damage; Fail - full damage, drained 1; Crit Fail - double damage, drained 2.</t>
  </si>
  <si>
    <t>You siphon off a portion of the target's soul to bolster your own vitality. The target takes 10d4 negative damage, and you gain temp hp to all hp loss this way, including from drained. Success - half damage; Fail - full damage, drained 1; Crit Fail - double damage, drained 2.</t>
  </si>
  <si>
    <t>Spinning Staff</t>
  </si>
  <si>
    <t>You spin a staff you are wielding, making 2 attacks and charging your next spellstrike. Make a melee strike with your staff against one foe and then a second melee strike with your staff against a different foe. Multi attack penalty applies to both of these as normal.</t>
  </si>
  <si>
    <t>Splash of Art</t>
  </si>
  <si>
    <t>A deluge of colorful art fill the area. Roll 1d4 to determine the effect, a successful save negates the effect. 1. White (Dazzled, 1 round; crit: 1 min); 2. Red (Enfeebeled 1, 1 round; Crit: enfeebeled 2); 3. Yellow (Frightened 1; Crit: frightened 2); 4. Blue (Clumsy 1, 1 round; Crit: Clumsy 2).</t>
  </si>
  <si>
    <t>Split the Tongue</t>
  </si>
  <si>
    <t>When a creature fails a Deception or Diplomacy check you split its lying tongue like a snake, dealing 1d8 slashing damage. Success - half damage; Fail - full damage, stupefied for 1d4 rounds; Crit fail - double damage, stupefied 2 for 1d4 rounds.</t>
  </si>
  <si>
    <t>When a creature fails a Deception or Diplomacy check you split its lying tongue like a snake, dealing 2d8 slashing damage. Success - half damage; Fail - full damage, stupefied for 1d4 rounds; Crit fail - double damage, stupefied 2 for 1d4 rounds.</t>
  </si>
  <si>
    <t>When a creature fails a Deception or Diplomacy check you split its lying tongue like a snake, dealing 3d8 slashing damage. Success - half damage; Fail - full damage, stupefied for 1d4 rounds; Crit fail - double damage, stupefied 2 for 1d4 rounds.</t>
  </si>
  <si>
    <t>When a creature fails a Deception or Diplomacy check you split its lying tongue like a snake, dealing 4d8 slashing damage. Success - half damage; Fail - full damage, stupefied for 1d4 rounds; Crit fail - double damage, stupefied 2 for 1d4 rounds.</t>
  </si>
  <si>
    <t>When a creature fails a Deception or Diplomacy check you split its lying tongue like a snake, dealing 5d8 slashing damage. Success - half damage; Fail - full damage, stupefied for 1d4 rounds; Crit fail - double damage, stupefied 2 for 1d4 rounds.</t>
  </si>
  <si>
    <t>When a creature fails a Deception or Diplomacy check you split its lying tongue like a snake, dealing 6d8 slashing damage. Success - half damage; Fail - full damage, stupefied for 1d4 rounds; Crit fail - double damage, stupefied 2 for 1d4 rounds.</t>
  </si>
  <si>
    <t>When a creature fails a Deception or Diplomacy check you split its lying tongue like a snake, dealing 7d8 slashing damage. Success - half damage; Fail - full damage, stupefied for 1d4 rounds; Crit fail - double damage, stupefied 2 for 1d4 rounds.</t>
  </si>
  <si>
    <t>When a creature fails a Deception or Diplomacy check you split its lying tongue like a snake, dealing 8d8 slashing damage. Success - half damage; Fail - full damage, stupefied for 1d4 rounds; Crit fail - double damage, stupefied 2 for 1d4 rounds.</t>
  </si>
  <si>
    <t>When a creature fails a Deception or Diplomacy check you split its lying tongue like a snake, dealing 9d8 slashing damage. Success - half damage; Fail - full damage, stupefied for 1d4 rounds; Crit fail - double damage, stupefied 2 for 1d4 rounds.</t>
  </si>
  <si>
    <t>When a creature fails a Deception or Diplomacy check you split its lying tongue like a snake, dealing 10d8 slashing damage. Success - half damage; Fail - full damage, stupefied for 1d4 rounds; Crit fail - double damage, stupefied 2 for 1d4 rounds.</t>
  </si>
  <si>
    <t>#161</t>
  </si>
  <si>
    <t>Spray the Stars</t>
  </si>
  <si>
    <t>A spray of tiny shooting stars deal 1d4 damage to all creatures. Success - half damage, and dazzled for 1 round; Fail - full damage and is dazzled for 3 round; Crit Fail - double damage, and dazzled for 1 min.</t>
  </si>
  <si>
    <t>A spray of tiny shooting stars deal 2d4 damage to all creatures. Success - half damage, and dazzled for 1 round; Fail - full damage and is dazzled for 3 round; Crit Fail - double damage, and dazzled for 1 min.</t>
  </si>
  <si>
    <t>A spray of tiny shooting stars deal 3d4 damage to all creatures. Success - half damage, and dazzled for 1 round; Fail - full damage and is dazzled for 3 round; Crit Fail - double damage, and dazzled for 1 min.</t>
  </si>
  <si>
    <t>A spray of tiny shooting stars deal 4d4 damage to all creatures. Success - half damage, and dazzled for 1 round; Fail - full damage and is dazzled for 3 round; Crit Fail - double damage, and dazzled for 1 min.</t>
  </si>
  <si>
    <t>A spray of tiny shooting stars deal 5d4 damage to all creatures. Success - half damage, and dazzled for 1 round; Fail - full damage and is dazzled for 3 round; Crit Fail - double damage, and dazzled for 1 min.</t>
  </si>
  <si>
    <t>A spray of tiny shooting stars deal 6d4 damage to all creatures. Success - half damage, and dazzled for 1 round; Fail - full damage and is dazzled for 3 round; Crit Fail - double damage, and dazzled for 1 min.</t>
  </si>
  <si>
    <t>A spray of tiny shooting stars deal 7d4 damage to all creatures. Success - half damage, and dazzled for 1 round; Fail - full damage and is dazzled for 3 round; Crit Fail - double damage, and dazzled for 1 min.</t>
  </si>
  <si>
    <t>A spray of tiny shooting stars deal 8d4 damage to all creatures. Success - half damage, and dazzled for 1 round; Fail - full damage and is dazzled for 3 round; Crit Fail - double damage, and dazzled for 1 min.</t>
  </si>
  <si>
    <t>A spray of tiny shooting stars deal 9d4 damage to all creatures. Success - half damage, and dazzled for 1 round; Fail - full damage and is dazzled for 3 round; Crit Fail - double damage, and dazzled for 1 min.</t>
  </si>
  <si>
    <t>A spray of tiny shooting stars deal 10d4 damage to all creatures. Success - half damage, and dazzled for 1 round; Fail - full damage and is dazzled for 3 round; Crit Fail - double damage, and dazzled for 1 min.</t>
  </si>
  <si>
    <t>String of Fate</t>
  </si>
  <si>
    <t>1 ally and self</t>
  </si>
  <si>
    <t>You bond yourself to an ally, vowing to share their fate. Whenever an effect would require both you and the target to attempt a saving throw, if one of you succeeds at your saving throw and the other critically fails, you can choose to both fail instead. You and the ally must agree to fail; otherwise, use your normal save results instead.</t>
  </si>
  <si>
    <t>Stumbling Curse</t>
  </si>
  <si>
    <t>You send a creature careening on a haphazard trajectory. Success - target takes a -2 status penalty to Athletics and Acrobatics; Fail - as success, and each time target Strides the first 5ft of movement are random; Crit Fail - as fail, but you control the first 5ft of their movement.</t>
  </si>
  <si>
    <t>Sudden Shift</t>
  </si>
  <si>
    <t>When an enemy misses you with a melee attack you take the opportunity to swiftly move from a dangerous spot and veil yourself. You Step and become Concealed.</t>
  </si>
  <si>
    <t>Swarmsense</t>
  </si>
  <si>
    <t>You extend your senses to a swarm of crawling and flying creatures you create in your square. You can hear through the swarm. Each time you Sustain the swarm can move 10ft along the ground. It has an AC of 15, +0 to saves, and 1hp.</t>
  </si>
  <si>
    <t>You extend your senses to a swarm of crawling and flying creatures you create in your square. You can hear through the swarm. Each time you Sustain the swarm can move 10ft with spiderclimb. It has an AC of 15, +0 to saves, and 1hp.</t>
  </si>
  <si>
    <t>You extend your senses to a swarm of crawling and flying creatures you create in your square. You can see and hear through the swarm. Each time you Sustain the swarm can move 10ft with spiderclimb, and fly. It has an AC of 15, +0 to saves, and 1hp.</t>
  </si>
  <si>
    <t>You extend your senses to a swarm of crawling and flying creatures you create in your square. You can see and hear through the swarm. Each time you Sustain the swarm can move 20ft with spiderclimb, and fly. It has an AC of 15, +0 to saves, and 1hp.</t>
  </si>
  <si>
    <t>Sweet Dream</t>
  </si>
  <si>
    <t>You lull the target into an enchanting dream, having it fall unconcious if it wasnt already. If the target is asleep for at least one min it gains the effects of the dream of your choice for the rest of the duration: Dream of Insight: +1 status bonus to INT skill checks; Dream of Glamour: +1 to CHA skill checks; Dream of Voyage: +5ft speed. All effects end if you cast this spell again.</t>
  </si>
  <si>
    <t>Tempest Surge</t>
  </si>
  <si>
    <t>You surround the target in a swirling swarm of violent winds and crackling lightning, dealing 1d12 electricity damage. On a failed save the target is also Clumsy 2 for 1 round and takes 1 persistant electricity damage.</t>
  </si>
  <si>
    <t>You surround the target in a swirling swarm of violent winds and crackling lightning, dealing 2d12 electricity damage. On a failed save the target is also Clumsy 2 for 1 round and takes 2 persistant electricity damage.</t>
  </si>
  <si>
    <t>You surround the target in a swirling swarm of violent winds and crackling lightning, dealing 3d12 electricity damage. On a failed save the target is also Clumsy 2 for 1 round and takes 3 persistant electricity damage.</t>
  </si>
  <si>
    <t>You surround the target in a swirling swarm of violent winds and crackling lightning, dealing 4d12 electricity damage. On a failed save the target is also Clumsy 2 for 1 round and takes 4 persistant electricity damage.</t>
  </si>
  <si>
    <t>You surround the target in a swirling swarm of violent winds and crackling lightning, dealing 5d12 electricity damage. On a failed save the target is also Clumsy 2 for 1 round and takes 5 persistant electricity damage.</t>
  </si>
  <si>
    <t>You surround the target in a swirling swarm of violent winds and crackling lightning, dealing 6d12 electricity damage. On a failed save the target is also Clumsy 2 for 1 round and takes 6 persistant electricity damage.</t>
  </si>
  <si>
    <t>You surround the target in a swirling swarm of violent winds and crackling lightning, dealing 7d12 electricity damage. On a failed save the target is also Clumsy 2 for 1 round and takes 7 persistant electricity damage.</t>
  </si>
  <si>
    <t>You surround the target in a swirling swarm of violent winds and crackling lightning, dealing 8d12 electricity damage. On a failed save the target is also Clumsy 2 for 1 round and takes 8 persistant electricity damage.</t>
  </si>
  <si>
    <t>You surround the target in a swirling swarm of violent winds and crackling lightning, dealing 9d12 electricity damage. On a failed save the target is also Clumsy 2 for 1 round and takes 9 persistant electricity damage.</t>
  </si>
  <si>
    <t>You surround the target in a swirling swarm of violent winds and crackling lightning, dealing 10d12 electricity damage. On a failed save the target is also Clumsy 2 for 1 round and takes 10 persistant electricity damage.</t>
  </si>
  <si>
    <t>Tempest Touch</t>
  </si>
  <si>
    <t>Your touch calls forth a churning mass of icy water that clings to the target, dealing 1d4 bludgeoning and 1d4 cold damage. Success - half damage, -5ft speed until end of your next turn; Fail - full damage, -10ft speed until end of your next turn; Crit fail - as failure, double damage.</t>
  </si>
  <si>
    <t>Your touch calls forth a churning mass of icy water that clings to the target, dealing 2d4 bludgeoning and 2d4 cold damage. Success - half damage, -5ft speed until end of your next turn; Fail - full damage, -10ft speed until end of your next turn; Crit fail - as failure, double damage.</t>
  </si>
  <si>
    <t>Your touch calls forth a churning mass of icy water that clings to the target, dealing 3d4 bludgeoning and 3d4 cold damage. Success - half damage, -5ft speed until end of your next turn; Fail - full damage, -10ft speed until end of your next turn; Crit fail - as failure, double damage.</t>
  </si>
  <si>
    <t>Your touch calls forth a churning mass of icy water that clings to the target, dealing 4d4 bludgeoning and 4d4 cold damage. Success - half damage, -5ft speed until end of your next turn; Fail - full damage, -10ft speed until end of your next turn; Crit fail - as failure, double damage.</t>
  </si>
  <si>
    <t>Your touch calls forth a churning mass of icy water that clings to the target, dealing 5d4 bludgeoning and 5d4 cold damage. Success - half damage, -5ft speed until end of your next turn; Fail - full damage, -10ft speed until end of your next turn; Crit fail - as failure, double damage.</t>
  </si>
  <si>
    <t>Your touch calls forth a churning mass of icy water that clings to the target, dealing 6d4 bludgeoning and 6d4 cold damage. Success - half damage, -5ft speed until end of your next turn; Fail - full damage, -10ft speed until end of your next turn; Crit fail - as failure, double damage.</t>
  </si>
  <si>
    <t>Your touch calls forth a churning mass of icy water that clings to the target, dealing 7d4 bludgeoning and 7d4 cold damage. Success - half damage, -5ft speed until end of your next turn; Fail - full damage, -10ft speed until end of your next turn; Crit fail - as failure, double damage.</t>
  </si>
  <si>
    <t>Your touch calls forth a churning mass of icy water that clings to the target, dealing 8d4 bludgeoning and 8d4 cold damage. Success - half damage, -5ft speed until end of your next turn; Fail - full damage, -10ft speed until end of your next turn; Crit fail - as failure, double damage.</t>
  </si>
  <si>
    <t>Your touch calls forth a churning mass of icy water that clings to the target, dealing 9d4 bludgeoning and 9d4 cold damage. Success - half damage, -5ft speed until end of your next turn; Fail - full damage, -10ft speed until end of your next turn; Crit fail - as failure, double damage.</t>
  </si>
  <si>
    <t>Your touch calls forth a churning mass of icy water that clings to the target, dealing 10d4 bludgeoning and 10d4 cold damage. Success - half damage, -5ft speed until end of your next turn; Fail - full damage, -10ft speed until end of your next turn; Crit fail - as failure, double damage.</t>
  </si>
  <si>
    <t>Temporal Distortion</t>
  </si>
  <si>
    <t>You share some of your own temporal distortions with a foe, unpredictably throwing them through time. Roll a d4 to determine the effect: 1. Clumsy; 2. Enfeebeled; 3. Stupefied; 4. you choose; Success - unaffected; Fail - rolled condition 1 for 4 rounds; Crit Fail - rolled condition 3 for 2 rounds.</t>
  </si>
  <si>
    <t>Tentacular Limbs</t>
  </si>
  <si>
    <t>Your arms turn into long, pliable tenticales allowing unarmed strikes and touch ranged spells to reach 10ft. Melee weapons are unaffected. When you cast a spell you can add an extra action to extend your reach to 20ft.</t>
  </si>
  <si>
    <t>Your arms turn into long, pliable tenticales allowing unarmed strikes and touch ranged spells to reach 10ft. Melee weapons are unaffected. When you cast a spell you can add an extra action to extend your reach to 30ft.</t>
  </si>
  <si>
    <t>Your arms turn into long, pliable tenticales allowing unarmed strikes and touch ranged spells to reach 10ft. Melee weapons are unaffected. When you cast a spell you can add an extra action to extend your reach to 40ft.</t>
  </si>
  <si>
    <t>Your arms turn into long, pliable tenticales allowing unarmed strikes and touch ranged spells to reach 10ft. Melee weapons are unaffected. When you cast a spell you can add an extra action to extend your reach to 50ft.</t>
  </si>
  <si>
    <t>Your arms turn into long, pliable tenticales allowing unarmed strikes and touch ranged spells to reach 10ft. Melee weapons are unaffected. When you cast a spell you can add an extra action to extend your reach to 60ft.</t>
  </si>
  <si>
    <t>Thunderous Strike</t>
  </si>
  <si>
    <t>You swing a two handed weapon, creating a wave of sonic vibrations. Make a melee strike. Each creature in the area must make a save, taking 2 sonic damage on a failure. On a crit fail they also fall prone. Your strike must be within the cone.</t>
  </si>
  <si>
    <t>You swing a two handed weapon, creating a wave of sonic vibrations. Make a melee strike. Each creature in the area must make a save, taking 3 sonic damage on a failure. On a crit fail they also fall prone. Your strike must be within the cone.</t>
  </si>
  <si>
    <t>You swing a two handed weapon, creating a wave of sonic vibrations. Make a melee strike. Each creature in the area must make a save, taking 4 sonic damage on a failure. On a crit fail they also fall prone. Your strike must be within the cone.</t>
  </si>
  <si>
    <t>You swing a two handed weapon, creating a wave of sonic vibrations. Make a melee strike. Each creature in the area must make a save, taking 5 sonic damage on a failure. On a crit fail they also fall prone. Your strike must be within the cone.</t>
  </si>
  <si>
    <t>You swing a two handed weapon, creating a wave of sonic vibrations. Make a melee strike. Each creature in the area must make a save, taking 6 sonic damage on a failure. On a crit fail they also fall prone. Your strike must be within the cone.</t>
  </si>
  <si>
    <t>You swing a two handed weapon, creating a wave of sonic vibrations. Make a melee strike. Each creature in the area must make a save, taking 7 sonic damage on a failure. On a crit fail they also fall prone. Your strike must be within the cone.</t>
  </si>
  <si>
    <t>You swing a two handed weapon, creating a wave of sonic vibrations. Make a melee strike. Each creature in the area must make a save, taking 8 sonic damage on a failure. On a crit fail they also fall prone. Your strike must be within the cone.</t>
  </si>
  <si>
    <t>You swing a two handed weapon, creating a wave of sonic vibrations. Make a melee strike. Each creature in the area must make a save, taking 9 sonic damage on a failure. On a crit fail they also fall prone. Your strike must be within the cone.</t>
  </si>
  <si>
    <t>You swing a two handed weapon, creating a wave of sonic vibrations. Make a melee strike. Each creature in the area must make a save, taking 10 sonic damage on a failure. On a crit fail they also fall prone. Your strike must be within the cone.</t>
  </si>
  <si>
    <t>You swing a two handed weapon, creating a wave of sonic vibrations. Make a melee strike. Each creature in the area must make a save, taking 11 sonic damage on a failure. On a crit fail they also fall prone. Your strike must be within the cone.</t>
  </si>
  <si>
    <t>Tidal Surge</t>
  </si>
  <si>
    <t>With a tremendous wave of water you move the target as long as they are in water or on the ground. Fail - you move the target 5ft in any direction if they are on the ground, or 10ft if they are in a body of water; Crit Fail - you move the target 10ft if they are on land, or 20ft if they are in water.</t>
  </si>
  <si>
    <t>Touch of Corruption</t>
  </si>
  <si>
    <t>You infuse the target with negative energy. If the target is living you deal 1d6 negative damage (basic Fort save); on a fail target has a -2 status penalty to AC for 1 round. If the target is a wiling undead it regains 6hp. If you are the undead target you gain a +2 status bonus to damage rolls for 1 round.</t>
  </si>
  <si>
    <t>You infuse the target with negative energy. If the target is living you deal 2d6 negative damage (basic Fort save); on a fail target has a -2 status penalty to AC for 1 round. If the target is a wiling undead it regains 12hp. If you are the undead target you gain a +2 status bonus to damage rolls for 1 round.</t>
  </si>
  <si>
    <t>You infuse the target with negative energy. If the target is living you deal 3d6 negative damage (basic Fort save); on a fail target has a -2 status penalty to AC for 1 round. If the target is a wiling undead it regains 18hp. If you are the undead target you gain a +2 status bonus to damage rolls for 1 round.</t>
  </si>
  <si>
    <t>You infuse the target with negative energy. If the target is living you deal 4d6 negative damage (basic Fort save); on a fail target has a -2 status penalty to AC for 1 round. If the target is a wiling undead it regains 24hp. If you are the undead target you gain a +2 status bonus to damage rolls for 1 round.</t>
  </si>
  <si>
    <t>You infuse the target with negative energy. If the target is living you deal 5d6 negative damage (basic Fort save); on a fail target has a -2 status penalty to AC for 1 round. If the target is a wiling undead it regains 30hp. If you are the undead target you gain a +2 status bonus to damage rolls for 1 round.</t>
  </si>
  <si>
    <t>You infuse the target with negative energy. If the target is living you deal 6d6 negative damage (basic Fort save); on a fail target has a -2 status penalty to AC for 1 round. If the target is a wiling undead it regains 36hp. If you are the undead target you gain a +2 status bonus to damage rolls for 1 round.</t>
  </si>
  <si>
    <t>You infuse the target with negative energy. If the target is living you deal 7d6 negative damage (basic Fort save); on a fail target has a -2 status penalty to AC for 1 round. If the target is a wiling undead it regains 42hp. If you are the undead target you gain a +2 status bonus to damage rolls for 1 round.</t>
  </si>
  <si>
    <t>You infuse the target with negative energy. If the target is living you deal 8d6 negative damage (basic Fort save); on a fail target has a -2 status penalty to AC for 1 round. If the target is a wiling undead it regains 48hp. If you are the undead target you gain a +2 status bonus to damage rolls for 1 round.</t>
  </si>
  <si>
    <t>You infuse the target with negative energy. If the target is living you deal 9d6 negative damage (basic Fort save); on a fail target has a -2 status penalty to AC for 1 round. If the target is a wiling undead it regains 54hp. If you are the undead target you gain a +2 status bonus to damage rolls for 1 round.</t>
  </si>
  <si>
    <t>You infuse the target with negative energy. If the target is living you deal 10d6 negative damage (basic Fort save); on a fail target has a -2 status penalty to AC for 1 round. If the target is a wiling undead it regains 60hp. If you are the undead target you gain a +2 status bonus to damage rolls for 1 round.</t>
  </si>
  <si>
    <t>Touch of Obedience</t>
  </si>
  <si>
    <t>Your touch erodes the target's willpower, making them easier to control. Success - stupefied 1 until end of current turn; Fail - stupefied 1 until end of your next turn; Crit fail - stupefied 1 for 1 min.</t>
  </si>
  <si>
    <t>Touch of Undeath</t>
  </si>
  <si>
    <t>You attack the target's live force directly, dealing 1d6 negative damage. Success - half damage; Fail - full damage, positive healing only restore half as much hp for 1 round; Crit Fail - double damage, half positive healing for 1 min.</t>
  </si>
  <si>
    <t>You attack the target's live force directly, dealing 2d6 negative damage. Success - half damage; Fail - full damage, positive healing only restore half as much hp for 1 round; Crit Fail - double damage, half positive healing for 1 min.</t>
  </si>
  <si>
    <t>You attack the target's live force directly, dealing 3d6 negative damage. Success - half damage; Fail - full damage, positive healing only restore half as much hp for 1 round; Crit Fail - double damage, half positive healing for 1 min.</t>
  </si>
  <si>
    <t>You attack the target's live force directly, dealing 4d6 negative damage. Success - half damage; Fail - full damage, positive healing only restore half as much hp for 1 round; Crit Fail - double damage, half positive healing for 1 min.</t>
  </si>
  <si>
    <t>You attack the target's live force directly, dealing 5d6 negative damage. Success - half damage; Fail - full damage, positive healing only restore half as much hp for 1 round; Crit Fail - double damage, half positive healing for 1 min.</t>
  </si>
  <si>
    <t>You attack the target's live force directly, dealing 6d6 negative damage. Success - half damage; Fail - full damage, positive healing only restore half as much hp for 1 round; Crit Fail - double damage, half positive healing for 1 min.</t>
  </si>
  <si>
    <t>You attack the target's live force directly, dealing 7d6 negative damage. Success - half damage; Fail - full damage, positive healing only restore half as much hp for 1 round; Crit Fail - double damage, half positive healing for 1 min.</t>
  </si>
  <si>
    <t>You attack the target's live force directly, dealing 8d6 negative damage. Success - half damage; Fail - full damage, positive healing only restore half as much hp for 1 round; Crit Fail - double damage, half positive healing for 1 min.</t>
  </si>
  <si>
    <t>You attack the target's live force directly, dealing 9d6 negative damage. Success - half damage; Fail - full damage, positive healing only restore half as much hp for 1 round; Crit Fail - double damage, half positive healing for 1 min.</t>
  </si>
  <si>
    <t>You attack the target's live force directly, dealing 10d6 negative damage. Success - half damage; Fail - full damage, positive healing only restore half as much hp for 1 round; Crit Fail - double damage, half positive healing for 1 min.</t>
  </si>
  <si>
    <t>Undeath's Blessing</t>
  </si>
  <si>
    <t>By intilling a touch of the grave, the Harm and Heal spells treat the creature as undead. In addition the Harm spell restores +2 hp. If the target is unwilling, it can make a save. Success - takes half as much healing and damage from the Heal and Harm spells for 1 round; Fail - as described above.</t>
  </si>
  <si>
    <t>By intilling a touch of the grave, the Harm and Heal spells treat the creature as undead. In addition the Harm spell restores +4 hp. If the target is unwilling, it can make a save. Success - takes half as much healing and damage from the Heal and Harm spells for 1 round; Fail - as described above.</t>
  </si>
  <si>
    <t>By intilling a touch of the grave, the Harm and Heal spells treat the creature as undead. In addition the Harm spell restores +6 hp. If the target is unwilling, it can make a save. Success - takes half as much healing and damage from the Heal and Harm spells for 1 round; Fail - as described above.</t>
  </si>
  <si>
    <t>By intilling a touch of the grave, the Harm and Heal spells treat the creature as undead. In addition the Harm spell restores +8 hp. If the target is unwilling, it can make a save. Success - takes half as much healing and damage from the Heal and Harm spells for 1 round; Fail - as described above.</t>
  </si>
  <si>
    <t>By intilling a touch of the grave, the Harm and Heal spells treat the creature as undead. In addition the Harm spell restores +10 hp. If the target is unwilling, it can make a save. Success - takes half as much healing and damage from the Heal and Harm spells for 1 round; Fail - as described above.</t>
  </si>
  <si>
    <t>By intilling a touch of the grave, the Harm and Heal spells treat the creature as undead. In addition the Harm spell restores +12 hp. If the target is unwilling, it can make a save. Success - takes half as much healing and damage from the Heal and Harm spells for 1 round; Fail - as described above.</t>
  </si>
  <si>
    <t>By intilling a touch of the grave, the Harm and Heal spells treat the creature as undead. In addition the Harm spell restores +14 hp. If the target is unwilling, it can make a save. Success - takes half as much healing and damage from the Heal and Harm spells for 1 round; Fail - as described above.</t>
  </si>
  <si>
    <t>By intilling a touch of the grave, the Harm and Heal spells treat the creature as undead. In addition the Harm spell restores +16 hp. If the target is unwilling, it can make a save. Success - takes half as much healing and damage from the Heal and Harm spells for 1 round; Fail - as described above.</t>
  </si>
  <si>
    <t>By intilling a touch of the grave, the Harm and Heal spells treat the creature as undead. In addition the Harm spell restores +18 hp. If the target is unwilling, it can make a save. Success - takes half as much healing and damage from the Heal and Harm spells for 1 round; Fail - as described above.</t>
  </si>
  <si>
    <t>By intilling a touch of the grave, the Harm and Heal spells treat the creature as undead. In addition the Harm spell restores +20 hp. If the target is unwilling, it can make a save. Success - takes half as much healing and damage from the Heal and Harm spells for 1 round; Fail - as described above.</t>
  </si>
  <si>
    <t>Unfetter Eidolon</t>
  </si>
  <si>
    <t xml:space="preserve">By loosening the link between yourself and your eidolon, allowing it to travel further. While the spell is active your eidolon can travel an unlimited distance away. When the spell ends your eidolon demanifests if it is beyond 100ft. </t>
  </si>
  <si>
    <t>Unimpeded Stride</t>
  </si>
  <si>
    <t>Nothing can hold you in place. You immeadately escape every magical effect that has you immobilized or grappled unless the effect is of a higher level. You then Stride, ignoring difficult terrain and any circumstance or status penalties to your speed.</t>
  </si>
  <si>
    <t>Updraft</t>
  </si>
  <si>
    <t>A powerful blast of wind erupts from the ground, launching the target into the air and sending it crashing back down. The collision deals 2d6 bludgeoning damage with a basic Reflex save. On a failure, the target is knocked prone.</t>
  </si>
  <si>
    <t>A powerful blast of wind erupts from the ground, launching the target into the air and sending it crashing back down. The collision deals 4d6 bludgeoning damage with a basic Reflex save. On a failure, the target is knocked prone.</t>
  </si>
  <si>
    <t>A powerful blast of wind erupts from the ground, launching the target into the air and sending it crashing back down. The collision deals 6d6 bludgeoning damage with a basic Reflex save. On a failure, the target is knocked prone.</t>
  </si>
  <si>
    <t>A powerful blast of wind erupts from the ground, launching the target into the air and sending it crashing back down. The collision deals 8d6 bludgeoning damage with a basic Reflex save. On a failure, the target is knocked prone.</t>
  </si>
  <si>
    <t>A powerful blast of wind erupts from the ground, launching the target into the air and sending it crashing back down. The collision deals 10d6 bludgeoning damage with a basic Reflex save. On a failure, the target is knocked prone.</t>
  </si>
  <si>
    <t>A powerful blast of wind erupts from the ground, launching the target into the air and sending it crashing back down. The collision deals 12d6 bludgeoning damage with a basic Reflex save. On a failure, the target is knocked prone.</t>
  </si>
  <si>
    <t>A powerful blast of wind erupts from the ground, launching the target into the air and sending it crashing back down. The collision deals 14d6 bludgeoning damage with a basic Reflex save. On a failure, the target is knocked prone.</t>
  </si>
  <si>
    <t>A powerful blast of wind erupts from the ground, launching the target into the air and sending it crashing back down. The collision deals 16d6 bludgeoning damage with a basic Reflex save. On a failure, the target is knocked prone.</t>
  </si>
  <si>
    <t>A powerful blast of wind erupts from the ground, launching the target into the air and sending it crashing back down. The collision deals 18d6 bludgeoning damage with a basic Reflex save. On a failure, the target is knocked prone.</t>
  </si>
  <si>
    <t>A powerful blast of wind erupts from the ground, launching the target into the air and sending it crashing back down. The collision deals 20d6 bludgeoning damage with a basic Reflex save. On a failure, the target is knocked prone.</t>
  </si>
  <si>
    <t>Veil of Confidence</t>
  </si>
  <si>
    <t>You surround yourself in a veil of confidence, reducing your current Frightened condition by 1. Any time you would become Frightened reduce the amount by 1. If you critially fail a save against fear, this spell ends and you increase the frightened condition you gain by 1 instead of decreasing it.</t>
  </si>
  <si>
    <t>Veil of Dreams</t>
  </si>
  <si>
    <t>You dray the target into a drowsy state, causing daydreams and sluggishness. Success - -1 status penaltu to Perception, attack rolls, and will saves, and a -2 Will save penalty against sleep effects; Fail - as success, any concentration actions must succeed a DC 5 flat check or the action is disrupted.</t>
  </si>
  <si>
    <t>Vibrant Thorns</t>
  </si>
  <si>
    <t>Your body sprouts a coat of brambly thorns. Adjacent melee attackers take 1 peircing damage each time they hit you. Any time you cast a positive spell, the thorns grow, and deal 1d6 damage instead until the start of your next turn.</t>
  </si>
  <si>
    <t>Your body sprouts a coat of brambly thorns. Adjacent melee attackers take 2 peircing damage each time they hit you. Any time you cast a positive spell, the thorns grow, and deal 2d6 damage instead until the start of your next turn.</t>
  </si>
  <si>
    <t>Your body sprouts a coat of brambly thorns. Adjacent melee attackers take 3 peircing damage each time they hit you. Any time you cast a positive spell, the thorns grow, and deal 3d6 damage instead until the start of your next turn.</t>
  </si>
  <si>
    <t>Your body sprouts a coat of brambly thorns. Adjacent melee attackers take 4 peircing damage each time they hit you. Any time you cast a positive spell, the thorns grow, and deal 4d6 damage instead until the start of your next turn.</t>
  </si>
  <si>
    <t>Your body sprouts a coat of brambly thorns. Adjacent melee attackers take 5 peircing damage each time they hit you. Any time you cast a positive spell, the thorns grow, and deal 5d6 damage instead until the start of your next turn.</t>
  </si>
  <si>
    <t>Your body sprouts a coat of brambly thorns. Adjacent melee attackers take 6 peircing damage each time they hit you. Any time you cast a positive spell, the thorns grow, and deal 6d6 damage instead until the start of your next turn.</t>
  </si>
  <si>
    <t>Your body sprouts a coat of brambly thorns. Adjacent melee attackers take 7 peircing damage each time they hit you. Any time you cast a positive spell, the thorns grow, and deal 7d6 damage instead until the start of your next turn.</t>
  </si>
  <si>
    <t>Your body sprouts a coat of brambly thorns. Adjacent melee attackers take 8 peircing damage each time they hit you. Any time you cast a positive spell, the thorns grow, and deal 8d6 damage instead until the start of your next turn.</t>
  </si>
  <si>
    <t>Your body sprouts a coat of brambly thorns. Adjacent melee attackers take 9 peircing damage each time they hit you. Any time you cast a positive spell, the thorns grow, and deal 9d6 damage instead until the start of your next turn.</t>
  </si>
  <si>
    <t>Your body sprouts a coat of brambly thorns. Adjacent melee attackers take 10 peircing damage each time they hit you. Any time you cast a positive spell, the thorns grow, and deal 10d6 damage instead until the start of your next turn.</t>
  </si>
  <si>
    <t>Victory Cry</t>
  </si>
  <si>
    <t>When an ally critically succeeds a melee strike, you add extra glory to the strike. The critical strike deals an additional 1d6 sonic, and the ally can immediately attempt a shove with the weapon using its item bonus. If the weapon used already has the Trip trait they gain a +1 status bonus to shove.</t>
  </si>
  <si>
    <t>When an ally critically succeeds a melee strike, you add extra glory to the strike. The critical strike deals an additional 2d6 sonic, and the ally can immediately attempt a shove with the weapon using its item bonus. If the weapon used already has the Trip trait they gain a +1 status bonus to shove.</t>
  </si>
  <si>
    <t>When an ally critically succeeds a melee strike, you add extra glory to the strike. The critical strike deals an additional 3d6 sonic, and the ally can immediately attempt a shove with the weapon using its item bonus. If the weapon used already has the Trip trait they gain a +1 status bonus to shove.</t>
  </si>
  <si>
    <t>When an ally critically succeeds a melee strike, you add extra glory to the strike. The critical strike deals an additional 4d6 sonic, and the ally can immediately attempt a shove with the weapon using its item bonus. If the weapon used already has the Trip trait they gain a +1 status bonus to shove.</t>
  </si>
  <si>
    <t>When an ally critically succeeds a melee strike, you add extra glory to the strike. The critical strike deals an additional 5d6 sonic, and the ally can immediately attempt a shove with the weapon using its item bonus. If the weapon used already has the Trip trait they gain a +1 status bonus to shove.</t>
  </si>
  <si>
    <t>When an ally critically succeeds a melee strike, you add extra glory to the strike. The critical strike deals an additional 6d6 sonic, and the ally can immediately attempt a shove with the weapon using its item bonus. If the weapon used already has the Trip trait they gain a +1 status bonus to shove.</t>
  </si>
  <si>
    <t>When an ally critically succeeds a melee strike, you add extra glory to the strike. The critical strike deals an additional 7d6 sonic, and the ally can immediately attempt a shove with the weapon using its item bonus. If the weapon used already has the Trip trait they gain a +1 status bonus to shove.</t>
  </si>
  <si>
    <t>When an ally critically succeeds a melee strike, you add extra glory to the strike. The critical strike deals an additional 8d6 sonic, and the ally can immediately attempt a shove with the weapon using its item bonus. If the weapon used already has the Trip trait they gain a +1 status bonus to shove.</t>
  </si>
  <si>
    <t>When an ally critically succeeds a melee strike, you add extra glory to the strike. The critical strike deals an additional 9d6 sonic, and the ally can immediately attempt a shove with the weapon using its item bonus. If the weapon used already has the Trip trait they gain a +1 status bonus to shove.</t>
  </si>
  <si>
    <t>When an ally critically succeeds a melee strike, you add extra glory to the strike. The critical strike deals an additional 10d6 sonic, and the ally can immediately attempt a shove with the weapon using its item bonus. If the weapon used already has the Trip trait they gain a +1 status bonus to shove.</t>
  </si>
  <si>
    <t>Waking Nightmare</t>
  </si>
  <si>
    <t>You fill the target's mind with nightmares. If the target is unconcious when you cast this spell it wakes up immeadately, and if it fails its save is fleeing for 1 round. Success - Frightened 1; Fail - Frightened 2; Crit Fail - Frightened 3.</t>
  </si>
  <si>
    <t>Warped Terrain</t>
  </si>
  <si>
    <t>You create illusory hazards that covers the surfaces within the 5ft burst. Every extra action you use to cast the spell increases the burst's radius by 5ft, to a max of 15ft burst. Any creature moving through treat the area as difficult terrain. A creature can spend an action interacting and can attempt to disbelieve the illusion, ignoring its effects.</t>
  </si>
  <si>
    <t>You create illusory hazards that fill the 5ft burst, including the air. Every extra action you use to cast the spell increases the burst's radius by 5ft, to a max of 15ft burst. Any creature moving through treat the area as difficult terrain, even if they are flying. A creature can spend an action interacting and can attempt to disbelieve the illusion, ignoring its effects.</t>
  </si>
  <si>
    <t>Weapon Surge</t>
  </si>
  <si>
    <t>Your Weapon</t>
  </si>
  <si>
    <t>You fill your weapon with divine energy. On your next Strike with that weapon before the start of your next turn, you gain a +1 status bonus to the attack roll and the weapon deals an additional die of damage. If the weapon has a striking rune, this instead increases the number of dice from the striking rune by 1 (to a maximum of 3 extra weapon dice).</t>
  </si>
  <si>
    <t>Wild Morph</t>
  </si>
  <si>
    <t>Choose one of the following if you have the feat: Wild Shape - unarmed claws (trained) deal 1d6 slashing (agile, finesse) (Insect shape makes it a bite, 1d8 pierc); Elemental Shape - resistance 5 to critical hits and precision damage; Plant Shape - 10ft reach (15ft with a reach weapon); Soaring Shape - 2 action cast, fly speed 30ft wings.</t>
  </si>
  <si>
    <t>Choose two of the following if you have the feat: Wild Shape - unarmed claws (trained) deal 1d6 slashing (agile, finesse, 2d6 pers. bleed) (Insect shape makes it a bite, 1d8 pierc, 2d6 pers. poison); Elemental Shape - resistance 5 to critical hits and precision damage; Plant Shape - 10ft reach (15ft with a reach weapon); Soaring Shape - 2 action cast, fly speed 30ft wings.</t>
  </si>
  <si>
    <t>Choose three of the following if you have the feat: Wild Shape - unarmed claws (trained) deal 1d6 slashing (agile, finesse, 4d6 pers. bleed) (Insect shape makes it a bite, 1d8 pierc, 4d6 pers. poison); Elemental Shape - resistance 5 to critical hits and precision damage; Plant Shape - 10ft reach (15ft with a reach weapon); Soaring Shape - 2 action cast, fly speed 30ft wings.</t>
  </si>
  <si>
    <t>Wild Shape</t>
  </si>
  <si>
    <t>You transform yourself. You transform into any form from Pest Form for 10 minutes. All other wildshape forms last 1 min. You can add more forms with feats, hightened to this spell lv. If you use your attack modifier instead of the form's, you gain a +2 status bonus to attack rolls.</t>
  </si>
  <si>
    <t>You transform yourself. You transform into any form from Pest Form for 10 minutes. You can also transform using Animal Form. All other wildshape forms last 1 min. You can add more forms with feats, hightened to this spell lv. If you use your attack modifier instead of the form's, you gain a +2 status bonus to attack rolls.</t>
  </si>
  <si>
    <t>Wildfire</t>
  </si>
  <si>
    <t>A thin layer of ash and flame covers the ground, creating hazardous terrain. A creature moving through the area takes 1 fire damage for each square it moves into. A creature that ends its turn in the area must make a save or take 1 persisant fire damage. Each time you sustain this spell, the radius of the burst increases by 5ft.</t>
  </si>
  <si>
    <t>A thin layer of ash and flame covers the ground, creating hazardous terrain. A creature moving through the area takes 2 fire damage for each square it moves into. A creature that ends its turn in the area must make a save or take 2 persisant fire damage. Each time you sustain this spell, the radius of the burst increases by 5ft.</t>
  </si>
  <si>
    <t>A thin layer of ash and flame covers the ground, creating hazardous terrain. A creature moving through the area takes 3 fire damage for each square it moves into. A creature that ends its turn in the area must make a save or take 3 persisant fire damage. Each time you sustain this spell, the radius of the burst increases by 5ft.</t>
  </si>
  <si>
    <t>A thin layer of ash and flame covers the ground, creating hazardous terrain. A creature moving through the area takes 4 fire damage for each square it moves into. A creature that ends its turn in the area must make a save or take 4 persisant fire damage. Each time you sustain this spell, the radius of the burst increases by 5ft.</t>
  </si>
  <si>
    <t>A thin layer of ash and flame covers the ground, creating hazardous terrain. A creature moving through the area takes 5 fire damage for each square it moves into. A creature that ends its turn in the area must make a save or take 5 persisant fire damage. Each time you sustain this spell, the radius of the burst increases by 5ft.</t>
  </si>
  <si>
    <t>A thin layer of ash and flame covers the ground, creating hazardous terrain. A creature moving through the area takes 6 fire damage for each square it moves into. A creature that ends its turn in the area must make a save or take 6 persisant fire damage. Each time you sustain this spell, the radius of the burst increases by 5ft.</t>
  </si>
  <si>
    <t>A thin layer of ash and flame covers the ground, creating hazardous terrain. A creature moving through the area takes 7 fire damage for each square it moves into. A creature that ends its turn in the area must make a save or take 7 persisant fire damage. Each time you sustain this spell, the radius of the burst increases by 5ft.</t>
  </si>
  <si>
    <t>A thin layer of ash and flame covers the ground, creating hazardous terrain. A creature moving through the area takes 8 fire damage for each square it moves into. A creature that ends its turn in the area must make a save or take 8 persisant fire damage. Each time you sustain this spell, the radius of the burst increases by 5ft.</t>
  </si>
  <si>
    <t>A thin layer of ash and flame covers the ground, creating hazardous terrain. A creature moving through the area takes 9 fire damage for each square it moves into. A creature that ends its turn in the area must make a save or take 9 persisant fire damage. Each time you sustain this spell, the radius of the burst increases by 5ft.</t>
  </si>
  <si>
    <t>A thin layer of ash and flame covers the ground, creating hazardous terrain. A creature moving through the area takes 10 fire damage for each square it moves into. A creature that ends its turn in the area must make a save or take 10 persisant fire damage. Each time you sustain this spell, the radius of the burst increases by 5ft.</t>
  </si>
  <si>
    <t>Winter Bolt</t>
  </si>
  <si>
    <t>Flinging a hollow icicle at the target, you deal 1d8 piercing damage on hit, and the icicle lodges in the target. At the end of the target's turn, the bolt shatters, dealing 1d12 cold damage to the target and all adjacent creatures. The bolt can be removed with an Interact action, where it melts harmlessly. On a critical hit, the bolt deals full damage, takes 2 actions to remove, and the explosion deals double damage.</t>
  </si>
  <si>
    <t>Flinging a hollow icicle at the target, you deal 2d8 piercing damage on hit, and the icicle lodges in the target. At the end of the target's turn, the bolt shatters, dealing 2d12 cold damage to the target and all adjacent creatures. The bolt can be removed with an Interact action, where it melts harmlessly. On a critical hit, the bolt deals full damage, takes 2 actions to remove, and the explosion deals double damage.</t>
  </si>
  <si>
    <t>Flinging a hollow icicle at the target, you deal 3d8 piercing damage on hit, and the icicle lodges in the target. At the end of the target's turn, the bolt shatters, dealing 3d12 cold damage to the target and all adjacent creatures. The bolt can be removed with an Interact action, where it melts harmlessly. On a critical hit, the bolt deals full damage, takes 2 actions to remove, and the explosion deals double damage.</t>
  </si>
  <si>
    <t>Flinging a hollow icicle at the target, you deal 4d8 piercing damage on hit, and the icicle lodges in the target. At the end of the target's turn, the bolt shatters, dealing 4d12 cold damage to the target and all adjacent creatures. The bolt can be removed with an Interact action, where it melts harmlessly. On a critical hit, the bolt deals full damage, takes 2 actions to remove, and the explosion deals double damage.</t>
  </si>
  <si>
    <t>Flinging a hollow icicle at the target, you deal 5d8 piercing damage on hit, and the icicle lodges in the target. At the end of the target's turn, the bolt shatters, dealing 5d12 cold damage to the target and all adjacent creatures. The bolt can be removed with an Interact action, where it melts harmlessly. On a critical hit, the bolt deals full damage, takes 2 actions to remove, and the explosion deals double damage.</t>
  </si>
  <si>
    <t>Flinging a hollow icicle at the target, you deal 6d8 piercing damage on hit, and the icicle lodges in the target. At the end of the target's turn, the bolt shatters, dealing 6d12 cold damage to the target and all adjacent creatures. The bolt can be removed with an Interact action, where it melts harmlessly. On a critical hit, the bolt deals full damage, takes 2 actions to remove, and the explosion deals double damage.</t>
  </si>
  <si>
    <t>Flinging a hollow icicle at the target, you deal 7d8 piercing damage on hit, and the icicle lodges in the target. At the end of the target's turn, the bolt shatters, dealing 7d12 cold damage to the target and all adjacent creatures. The bolt can be removed with an Interact action, where it melts harmlessly. On a critical hit, the bolt deals full damage, takes 2 actions to remove, and the explosion deals double damage.</t>
  </si>
  <si>
    <t>Flinging a hollow icicle at the target, you deal 8d8 piercing damage on hit, and the icicle lodges in the target. At the end of the target's turn, the bolt shatters, dealing 8d12 cold damage to the target and all adjacent creatures. The bolt can be removed with an Interact action, where it melts harmlessly. On a critical hit, the bolt deals full damage, takes 2 actions to remove, and the explosion deals double damage.</t>
  </si>
  <si>
    <t>Flinging a hollow icicle at the target, you deal 9d8 piercing damage on hit, and the icicle lodges in the target. At the end of the target's turn, the bolt shatters, dealing 9d12 cold damage to the target and all adjacent creatures. The bolt can be removed with an Interact action, where it melts harmlessly. On a critical hit, the bolt deals full damage, takes 2 actions to remove, and the explosion deals double damage.</t>
  </si>
  <si>
    <t>Flinging a hollow icicle at the target, you deal 10d8 piercing damage on hit, and the icicle lodges in the target. At the end of the target's turn, the bolt shatters, dealing 10d12 cold damage to the target and all adjacent creatures. The bolt can be removed with an Interact action, where it melts harmlessly. On a critical hit, the bolt deals full damage, takes 2 actions to remove, and the explosion deals double damage.</t>
  </si>
  <si>
    <t>Withering Grasp</t>
  </si>
  <si>
    <t>Your touch destroys. Melee spell attack, dealing 1d12 negative damage and 1d4 persistant negative on hit. If the target blocks the attack (Shield Block) the spell affects the object and deals no harm to the target. This damage affects objects and constructs, erroding them. On hit lower object's hardness by 2 for 1min; On crit deal double inital and persist damage, object's hardness is lowered by 4 for 1min.</t>
  </si>
  <si>
    <t>Your touch destroys. Melee spell attack, dealing 2d12 negative damage and 2d4 persistant negative on hit. If the target blocks the attack (Shield Block) the spell affects the object and deals no harm to the target. This damage affects objects and constructs, erroding them. On hit lower object's hardness by 3 for 1min; On crit deal double inital and persist damage, object's hardness is lowered by 5 for 1min.</t>
  </si>
  <si>
    <t>Your touch destroys. Melee spell attack, dealing 3d12 negative damage and 3d4 persistant negative on hit. If the target blocks the attack (Shield Block) the spell affects the object and deals no harm to the target. This damage affects objects and constructs, erroding them. On hit lower object's hardness by 4 for 1min; On crit deal double inital and persist damage, object's hardness is lowered by 6 for 1min.</t>
  </si>
  <si>
    <t>Your touch destroys. Melee spell attack, dealing 4d12 negative damage and 4d4 persistant negative on hit. If the target blocks the attack (Shield Block) the spell affects the object and deals no harm to the target. This damage affects objects and constructs, erroding them. On hit lower object's hardness by 5 for 1min; On crit deal double inital and persist damage, object's hardness is lowered by 7 for 1min.</t>
  </si>
  <si>
    <t>Your touch destroys. Melee spell attack, dealing 5d12 negative damage and 5d4 persistant negative on hit. If the target blocks the attack (Shield Block) the spell affects the object and deals no harm to the target. This damage affects objects and constructs, erroding them. On hit lower object's hardness by 6 for 1min; On crit deal double inital and persist damage, object's hardness is lowered by 8 for 1min.</t>
  </si>
  <si>
    <t>Your touch destroys. Melee spell attack, dealing 6d12 negative damage and 6d4 persistant negative on hit. If the target blocks the attack (Shield Block) the spell affects the object and deals no harm to the target. This damage affects objects and constructs, erroding them. On hit lower object's hardness by 7 for 1min; On crit deal double inital and persist damage, object's hardness is lowered by 9 for 1min.</t>
  </si>
  <si>
    <t>Your touch destroys. Melee spell attack, dealing 7d12 negative damage and 7d4 persistant negative on hit. If the target blocks the attack (Shield Block) the spell affects the object and deals no harm to the target. This damage affects objects and constructs, erroding them. On hit lower object's hardness by 8 for 1min; On crit deal double inital and persist damage, object's hardness is lowered by 10 for 1min.</t>
  </si>
  <si>
    <t>Your touch destroys. Melee spell attack, dealing 8d12 negative damage and 8d4 persistant negative on hit. If the target blocks the attack (Shield Block) the spell affects the object and deals no harm to the target. This damage affects objects and constructs, erroding them. On hit lower object's hardness by 9 for 1min; On crit deal double inital and persist damage, object's hardness is lowered by 11 for 1min.</t>
  </si>
  <si>
    <t>Your touch destroys. Melee spell attack, dealing 9d12 negative damage and 9d4 persistant negative on hit. If the target blocks the attack (Shield Block) the spell affects the object and deals no harm to the target. This damage affects objects and constructs, erroding them. On hit lower object's hardness by 10 for 1min; On crit deal double inital and persist damage, object's hardness is lowered by 12 for 1min.</t>
  </si>
  <si>
    <t>Your touch destroys. Melee spell attack, dealing 10d12 negative damage and 10d4 persistant negative on hit. If the target blocks the attack (Shield Block) the spell affects the object and deals no harm to the target. This damage affects objects and constructs, erroding them. On hit lower object's hardness by 11 for 1min; On crit deal double inital and persist damage, object's hardness is lowered by 13 for 1min.</t>
  </si>
  <si>
    <t>Word of Truth</t>
  </si>
  <si>
    <t>You speak a statement of upto 25 words, free of any attempt to deceive through twisting words, omission, and so on. A symbol of your diety glows above your head, and all who hear your statement know that you believe it to be true. Each time you sustain this spell you can repeat the effect.</t>
  </si>
  <si>
    <t>Zenith Star</t>
  </si>
  <si>
    <t>A tiny star orbits the target's head before shooting skyward, lasting for 1 day. Success - dazzled 1 round; Fail - dazzled 1 round. While the spell persistants you can use the night sky to track the target, getting an approximate direction and distance using a single action. Not detailed enough to pinpoint exact square. Max stars equal to Wis mod; Critical Fail - as fail, blinded for 1 round</t>
  </si>
  <si>
    <t>A tiny star orbits the target's head before shooting skyward, lasting for 2 days. Success - dazzled 1 round; Fail - dazzled 1 round. While the spell persistants you can use the night sky to track the target, getting an approximate direction and distance using a single action. Not detailed enough to pinpoint exact square. Max stars equal to Wis mod; Critical Fail - as fail, blinded for 1 round</t>
  </si>
  <si>
    <t>A tiny star orbits the target's head before shooting skyward, lasting for 3 days. Success - dazzled 1 round; Fail - dazzled 1 round. While the spell persistants you can use the night sky to track the target, getting an approximate direction and distance using a single action. Not detailed enough to pinpoint exact square. Max stars equal to Wis mod; Critical Fail - as fail, blinded for 1 round</t>
  </si>
  <si>
    <t>A tiny star orbits the target's head before shooting skyward, lasting for 4 days. Success - dazzled 1 round; Fail - dazzled 1 round. While the spell persistants you can use the night sky to track the target, getting an approximate direction and distance using a single action, ignoring concealed. Max stars equal to Wis mod; Critical Fail - as fail, blinded for 1 round</t>
  </si>
  <si>
    <t>A tiny star orbits the target's head before shooting skyward, lasting for 5 days. Success - dazzled 1 round; Fail - dazzled 1 round. While the spell persistants you can use the night sky to track the target, getting an approximate direction and distance using a single action, ignoring concealed. Max stars equal to Wis mod; Critical Fail - as fail, blinded for 1 round</t>
  </si>
  <si>
    <t>A tiny star orbits the target's head before shooting skyward, lasting for 6 days. Success - dazzled 1 round; Fail - dazzled 1 round. While the spell persistants you can use the night sky to track the target, getting an approximate direction and distance using a single action, ignoring concealed. Max stars equal to Wis mod; Critical Fail - as fail, blinded for 1 round</t>
  </si>
  <si>
    <t>A tiny star orbits the target's head before shooting skyward, lasting for 7 days. Success - dazzled 1 round; Fail - dazzled 1 round. While the spell persistants you can use the night sky to track the target, getting an approximate direction and distance using a single action, ignoring concealed. Max stars equal to Wis mod; Critical Fail - as fail, blinded for 1 round</t>
  </si>
  <si>
    <t>A tiny star orbits the target's head before shooting skyward, lasting for 8 days. Success - dazzled 1 round; Fail - dazzled 1 round. While the spell persistants you can use the night sky to track the target, getting an approximate direction and distance using a single action, ignoring concealed. Max stars equal to Wis mod; Critical Fail - as fail, blinded for 1 round</t>
  </si>
  <si>
    <t>A tiny star orbits the target's head before shooting skyward, lasting for 9 days. Success - dazzled 1 round; Fail - dazzled 1 round. While the spell persistants you can use the night sky to track the target, getting an approximate direction and distance using a single action, ignoring concealed. Max stars equal to Wis mod; Critical Fail - as fail, blinded for 1 round</t>
  </si>
  <si>
    <t>A tiny star orbits the target's head before shooting skyward, lasting for 10 days. Success - dazzled 1 round; Fail - dazzled 1 round. While the spell persistants you can use the night sky to track the target, getting an approximate direction and distance using a single action, ignoring concealed. Max stars equal to Wis mod; Critical Fail - as fail, blinded for 1 round</t>
  </si>
  <si>
    <t>Animal Feature</t>
  </si>
  <si>
    <t>You gain a single animalistic trait from the list below: Cat Eyes - low light vision; Claws - unarmed claw attack deals 1d6 slashing (agile, finesse); Jaws - unarmed bite attack deals 1d8 piercing.</t>
  </si>
  <si>
    <t>You gain a single animalistic trait from the list below: Cat Eyes - low light vision; Claws - unarmed claw attack deals 1d6 slashing (agile, finesse); Jaws - unarmed bite attack deals 1d8 piercing; Fish Tail - swin speed equal to land speed; Owl eyes - darkvision; Wings - Fly speed equal to your land speed.</t>
  </si>
  <si>
    <t>Hunter's Luck</t>
  </si>
  <si>
    <t>When you attempt to Recall Knowledge about a creature but havent rolled, you use a preternatural ability to remember details about your foe. Roll the triggering check with fortune (roll twice, take higher).</t>
  </si>
  <si>
    <t>Invoke the Crimson Oath</t>
  </si>
  <si>
    <t>20ft cone</t>
  </si>
  <si>
    <t>By speaking the crimsom oath you slash with a melee weapon you are holding, unleasing a wave of ruby destruction. You deal normal melee damage for your weapon, including all bonuses, penalties, modifiers, and properties to all creatures in the area. Critically failing the save causes any affects you normally inflict on a critical hit. Creatures immune to crititcal hits can not critically fail. Damage can be positive against undead.</t>
  </si>
  <si>
    <t>Lifelink Surge</t>
  </si>
  <si>
    <t>You make a quick gesture, tracing the link between yourself and your eidolon and drawing on your connection to slowly strengthen your shared life force. Your eidolon gains fast healing 4 for 4 rounds.</t>
  </si>
  <si>
    <t>You make a quick gesture, tracing the link between yourself and your eidolon and drawing on your connection to slowly strengthen your shared life force. Your eidolon gains fast healing 6 for 4 rounds.</t>
  </si>
  <si>
    <t>You make a quick gesture, tracing the link between yourself and your eidolon and drawing on your connection to slowly strengthen your shared life force. Your eidolon gains fast healing 8 for 4 rounds.</t>
  </si>
  <si>
    <t>You make a quick gesture, tracing the link between yourself and your eidolon and drawing on your connection to slowly strengthen your shared life force. Your eidolon gains fast healing 10 for 4 rounds.</t>
  </si>
  <si>
    <t>You make a quick gesture, tracing the link between yourself and your eidolon and drawing on your connection to slowly strengthen your shared life force. Your eidolon gains fast healing 12 for 4 rounds.</t>
  </si>
  <si>
    <t>You make a quick gesture, tracing the link between yourself and your eidolon and drawing on your connection to slowly strengthen your shared life force. Your eidolon gains fast healing 14 for 4 rounds.</t>
  </si>
  <si>
    <t>You make a quick gesture, tracing the link between yourself and your eidolon and drawing on your connection to slowly strengthen your shared life force. Your eidolon gains fast healing 16 for 4 rounds.</t>
  </si>
  <si>
    <t>You make a quick gesture, tracing the link between yourself and your eidolon and drawing on your connection to slowly strengthen your shared life force. Your eidolon gains fast healing 18 for 4 rounds.</t>
  </si>
  <si>
    <t>You make a quick gesture, tracing the link between yourself and your eidolon and drawing on your connection to slowly strengthen your shared life force. Your eidolon gains fast healing 20 for 4 rounds.</t>
  </si>
  <si>
    <t>Light of Revelation</t>
  </si>
  <si>
    <t>You shed a luminous aura, illuminating a 30-foot radius with bright light. You and all allies in this area gain a +1 status bonus to Perception checks to detect hidden or undetected creatures, as well as hidden objects, doors, and other features.</t>
  </si>
  <si>
    <t>Magic Warrior Aspect</t>
  </si>
  <si>
    <t>You call upon the aspect of the animal from your mask, gaining physical features reminiscent of that animal. You morph slightly into that creature, gaining the Speeds and senses you would gain from using animal form to turn into the type of animal your mask represents; these special Speeds can’t be increased by status bonuses or item bonuses.</t>
  </si>
  <si>
    <t>Magic Warrior Transformation</t>
  </si>
  <si>
    <t>You transform into the animal from your mask. You gain the effects of animal form, heightened to magic warrior transformation’s level, and you can transform into only the type of animal your mask represents.</t>
  </si>
  <si>
    <t>Perfect Strike</t>
  </si>
  <si>
    <t>When you miss a Strike with an unarmed strike, you call upon insight from your training to recover accuracy. Reroll the missed attack roll and keep the new result.</t>
  </si>
  <si>
    <t>Soothing Mist</t>
  </si>
  <si>
    <t>Calling forth mist of positive energy to surround the target. Willing living targets heal 2d8 hit points, and end one source of persistant damage (acid, bleed, fire, negative, or poison) you choose. If the target is undead it makes a save or takes 2d8 positive damage, and 2 persistant positive on a fail.</t>
  </si>
  <si>
    <t>Calling forth mist of positive energy to surround the target. Willing living targets heal 3d8 hit points, and end one source of persistant damage (acid, bleed, fire, negative, or poison) you choose. If the target is undead it makes a save or takes 3d8 positive damage, and 3 persistant positive on a fail.</t>
  </si>
  <si>
    <t>Calling forth mist of positive energy to surround the target. Willing living targets heal 4d8 hit points, and end one source of persistant damage (acid, bleed, fire, negative, or poison) you choose. If the target is undead it makes a save or takes 4d8 positive damage, and 4 persistant positive on a fail.</t>
  </si>
  <si>
    <t>Calling forth mist of positive energy to surround the target. Willing living targets heal 5d8 hit points, and end one source of persistant damage (acid, bleed, fire, negative, or poison) you choose. If the target is undead it makes a save or takes 5d8 positive damage, and 5 persistant positive on a fail.</t>
  </si>
  <si>
    <t>Calling forth mist of positive energy to surround the target. Willing living targets heal 6d8 hit points, and end one source of persistant damage (acid, bleed, fire, negative, or poison) you choose. If the target is undead it makes a save or takes 6d8 positive damage, and 6 persistant positive on a fail.</t>
  </si>
  <si>
    <t>Calling forth mist of positive energy to surround the target. Willing living targets heal 7d8 hit points, and end one source of persistant damage (acid, bleed, fire, negative, or poison) you choose. If the target is undead it makes a save or takes 7d8 positive damage, and 7 persistant positive on a fail.</t>
  </si>
  <si>
    <t>Calling forth mist of positive energy to surround the target. Willing living targets heal 8d8 hit points, and end one source of persistant damage (acid, bleed, fire, negative, or poison) you choose. If the target is undead it makes a save or takes 8d8 positive damage, and 8 persistant positive on a fail.</t>
  </si>
  <si>
    <t>Calling forth mist of positive energy to surround the target. Willing living targets heal 9d8 hit points, and end one source of persistant damage (acid, bleed, fire, negative, or poison) you choose. If the target is undead it makes a save or takes 9d8 positive damage, and 9 persistant positive on a fail.</t>
  </si>
  <si>
    <t>Calling forth mist of positive energy to surround the target. Willing living targets heal 10d8 hit points, and end one source of persistant damage (acid, bleed, fire, negative, or poison) you choose. If the target is undead it makes a save or takes 10d8 positive damage, and 10 persistant positive on a fail.</t>
  </si>
  <si>
    <t>Sun Blade</t>
  </si>
  <si>
    <t>Coating the sword or spear you have in burning sunlight, make a spell attack roll. This deals 1d4 fire damage on hit; and an extra 1d4 good damage if the target is evil; and an extra 1d4 positive damage if the target is undead. If you are in bright sunlight the damage die become d6s.</t>
  </si>
  <si>
    <t>Coating the sword or spear you have in burning sunlight, make a spell attack roll. This deals 2d4 fire damage on hit; and an extra 2d4 good damage if the target is evil; and an extra 2d4 positive damage if the target is undead. If you are in bright sunlight the damage die become d6s.</t>
  </si>
  <si>
    <t>Coating the sword or spear you have in burning sunlight, make a spell attack roll. This deals 3d4 fire damage on hit; and an extra 3d4 good damage if the target is evil; and an extra 3d4 positive damage if the target is undead. If you are in bright sunlight the damage die become d6s.</t>
  </si>
  <si>
    <t>Coating the sword or spear you have in burning sunlight, make a spell attack roll. This deals 4d4 fire damage on hit; and an extra 4d4 good damage if the target is evil; and an extra 4d4 positive damage if the target is undead. If you are in bright sunlight the damage die become d6s.</t>
  </si>
  <si>
    <t>Coating the sword or spear you have in burning sunlight, make a spell attack roll. This deals 5d4 fire damage on hit; and an extra 5d4 good damage if the target is evil; and an extra 5d4 positive damage if the target is undead. If you are in bright sunlight the damage die become d6s.</t>
  </si>
  <si>
    <t>Coating the sword or spear you have in burning sunlight, make a spell attack roll. This deals 6d4 fire damage on hit; and an extra 6d4 good damage if the target is evil; and an extra 6d4 positive damage if the target is undead. If you are in bright sunlight the damage die become d6s.</t>
  </si>
  <si>
    <t>Coating the sword or spear you have in burning sunlight, make a spell attack roll. This deals 7d4 fire damage on hit; and an extra 7d4 good damage if the target is evil; and an extra 7d4 positive damage if the target is undead. If you are in bright sunlight the damage die become d6s.</t>
  </si>
  <si>
    <t>Coating the sword or spear you have in burning sunlight, make a spell attack roll. This deals 8d4 fire damage on hit; and an extra 8d4 good damage if the target is evil; and an extra 8d4 positive damage if the target is undead. If you are in bright sunlight the damage die become d6s.</t>
  </si>
  <si>
    <t>Coating the sword or spear you have in burning sunlight, make a spell attack roll. This deals 9d4 fire damage on hit; and an extra 9d4 good damage if the target is evil; and an extra 9d4 positive damage if the target is undead. If you are in bright sunlight the damage die become d6s.</t>
  </si>
  <si>
    <t>Character Guide</t>
  </si>
  <si>
    <t>Vision of Weakness</t>
  </si>
  <si>
    <t>You focus your gaze on a creature and gain a flash of divine insight into its nature. You learn the target's weaknesses and its lowest saving throw. You also gain an understanding of its movements, gaining a +2 status bonus to your next attack roll or skill check against the target before the end of your turn. Target is immune for 1 day after this.</t>
  </si>
  <si>
    <t>Wholeness of Body</t>
  </si>
  <si>
    <t xml:space="preserve">You heal yourself in one of the following ways: regain 8hp, or attempt to counteract one poison or disease. </t>
  </si>
  <si>
    <t xml:space="preserve">You heal yourself in one of the following ways: regain 16hp, or attempt to counteract one poison or disease. </t>
  </si>
  <si>
    <t xml:space="preserve">You heal yourself in one of the following ways: regain 24hp, or attempt to counteract one poison or disease. </t>
  </si>
  <si>
    <t xml:space="preserve">You heal yourself in one of the following ways: regain 32hp, or attempt to counteract one poison or disease. </t>
  </si>
  <si>
    <t xml:space="preserve">You heal yourself in one of the following ways: regain 40hp, or attempt to counteract one poison or disease. </t>
  </si>
  <si>
    <t xml:space="preserve">You heal yourself in one of the following ways: regain 48hp, or attempt to counteract one poison or disease. </t>
  </si>
  <si>
    <t xml:space="preserve">You heal yourself in one of the following ways: regain 56hp, or attempt to counteract one poison or disease. </t>
  </si>
  <si>
    <t xml:space="preserve">You heal yourself in one of the following ways: regain 64hp, or attempt to counteract one poison or disease. </t>
  </si>
  <si>
    <t xml:space="preserve">You heal yourself in one of the following ways: regain 72hp, or attempt to counteract one poison or disease. </t>
  </si>
  <si>
    <t>Aberrant Whispers</t>
  </si>
  <si>
    <t>An ancient phrase attacks those who you wish to hear it. Each enemy in the area must make a save, and then becomes immune for 1 min. Each additional action you use to cast the spell increase radius by 5ft. Fail - target is stupefied 2; Crit Fail - target is confused.</t>
  </si>
  <si>
    <t>An ancient phrase attacks those who you wish to hear it. Each enemy in the 10ft emanation must make a save, and then becomes immune for 1 min. Each additional action you use to cast the spell increase radius by 5ft. Fail - target is stupefied 2; Crit Fail - target is confused.</t>
  </si>
  <si>
    <t>An ancient phrase attacks those who you wish to hear it. Each enemy in the 15ft emanation must make a save, and then becomes immune for 1 min. Each additional action you use to cast the spell increase radius by 5ft. Fail - target is stupefied 2; Crit Fail - target is confused.</t>
  </si>
  <si>
    <t>Access Lore</t>
  </si>
  <si>
    <t>6TH LEVEL SPELLS</t>
  </si>
  <si>
    <t>You sift through the multiverse's divine knowledge, seeking out tidbits related to a particular subject. Choose one Lore skill. You temporarily gain the same proficiency rank in that Lore skill as your proficiency rank for your oracle spellcasting.</t>
  </si>
  <si>
    <t>Ancestral Defense</t>
  </si>
  <si>
    <t>When you are about to attempt a Will save, your ancestor protects you against those who would bend your will. You roll the triggering save twice and use the better result. If you're in an encounter when you cast this spell, you immediately roll to change your predominant ancestor.</t>
  </si>
  <si>
    <t>Angelic Wings</t>
  </si>
  <si>
    <t>Wings of pure light spread out from your back, granting you a fly Speed equal to your Speed. Your wings cast bright light in a 30-foot radius. When this spell's duration would end, if you're still flying, you float to the ground, as feather fall.</t>
  </si>
  <si>
    <t>Wings of pure light spread out from your back, granting you a fly Speed equal to your Speed for 1 min. Your wings cast bright light in a 30-foot radius. When this spell's duration would end, if you're still flying, you float to the ground, as feather fall.</t>
  </si>
  <si>
    <t>Armor of Bones</t>
  </si>
  <si>
    <t>You ossify your physical form, mimicking the durability of bone. You gain resistance 3 to cold, electricity, fire, piercing, and slashing damage.</t>
  </si>
  <si>
    <t>You ossify your physical form, mimicking the durability of bone. You gain resistance 4 to cold, electricity, fire, piercing, and slashing damage.</t>
  </si>
  <si>
    <t>You ossify your physical form, mimicking the durability of bone. You gain resistance 5 to cold, electricity, fire, piercing, and slashing damage.</t>
  </si>
  <si>
    <t>You ossify your physical form, mimicking the durability of bone. You gain resistance 6 to cold, electricity, fire, piercing, and slashing damage.</t>
  </si>
  <si>
    <t>You ossify your physical form, mimicking the durability of bone. You gain resistance 7 to cold, electricity, fire, piercing, and slashing damage.</t>
  </si>
  <si>
    <t>You ossify your physical form, mimicking the durability of bone. You gain resistance 8 to cold, electricity, fire, piercing, and slashing damage.</t>
  </si>
  <si>
    <t>You ossify your physical form, mimicking the durability of bone. You gain resistance 9 to cold, electricity, fire, piercing, and slashing damage.</t>
  </si>
  <si>
    <t>You ossify your physical form, mimicking the durability of bone. You gain resistance 10 to cold, electricity, fire, piercing, and slashing damage.</t>
  </si>
  <si>
    <t>Battlefield Persistence</t>
  </si>
  <si>
    <t>When you are about to attempt a saving throw, but havent rolled you increase your pressence. You gain a +2 status bonus to the triggering save, and if the triggering save is against an incapacitation effect, it treats you as if you were 2 levels higher.</t>
  </si>
  <si>
    <t>Beastmaster Trance</t>
  </si>
  <si>
    <t>You enter a trance to perceive through the senses of an animal companian you can percieve. Use your perception, but the target's senses. This spell does not grant communication with the target. During the trance you are flat-footed from a lack of senses but can still communicate.</t>
  </si>
  <si>
    <t>You enter a trance to perceive through the senses of an animal companian you can percieve, for upto 100 miles and 10min. Use your perception, but the target's senses. Target can hear your words and commands. During the trance you are flat-footed from a lack of senses but can still communicate.</t>
  </si>
  <si>
    <t>You enter a trance to perceive through the senses of an animal companian you can percieve, for upto planatary and 1 hour. Use your perception, but the target's senses. Target can hear your thoughts. During the trance you are flat-footed from a lack of senses but can still communicate.</t>
  </si>
  <si>
    <t>Blinding Beauty</t>
  </si>
  <si>
    <t>You channel the allure of your nymph bloodline into a terribly beautiful glance. Each enemy in the area must attempt a Will saving throw. Success - target is dazzled until the start of its next turn; Fail - target is blind until the start of its next turn; Crit Fail - target is blinded for 1 min.</t>
  </si>
  <si>
    <t>Cascade Countermeasure</t>
  </si>
  <si>
    <t>As long as you benefit from Aracane Cascade you adjust it to offer protection for as long as it lasts. You gain resistance 5 against damage from spells. As normal, using Arcane Cascade again means you've ended the stance, and the spell ends.</t>
  </si>
  <si>
    <t>As long as you benefit from Aracane Cascade you adjust it to offer protection for as long as it lasts. You gain resistance 10 against damage from spells. As normal, using Arcane Cascade again means you've ended the stance, and the spell ends.</t>
  </si>
  <si>
    <t>As long as you benefit from Aracane Cascade you adjust it to offer protection for as long as it lasts. You gain resistance 15 against damage from spells. As normal, using Arcane Cascade again means you've ended the stance, and the spell ends.</t>
  </si>
  <si>
    <t>Combustion</t>
  </si>
  <si>
    <t>You ignite a creature in lasting flames, dealing 4d8 fire damage and 2d6 persistant fire damage. Success - half damage, no persistant damage; Fail - full damage, full persistant; Crit Fail - double damage, double persistant damage.</t>
  </si>
  <si>
    <t>You ignite a creature in lasting flames, dealing 5d8 fire damage and 3d6 persistant fire damage. Success - half damage, no persistant damage; Fail - full damage, full persistant; Crit Fail - double damage, double persistant damage.</t>
  </si>
  <si>
    <t>You ignite a creature in lasting flames, dealing 6d8 fire damage and 4d6 persistant fire damage. Success - half damage, no persistant damage; Fail - full damage, full persistant; Crit Fail - double damage, double persistant damage.</t>
  </si>
  <si>
    <t>You ignite a creature in lasting flames, dealing 7d8 fire damage and 5d6 persistant fire damage. Success - half damage, no persistant damage; Fail - full damage, full persistant; Crit Fail - double damage, double persistant damage.</t>
  </si>
  <si>
    <t>You ignite a creature in lasting flames, dealing 8d8 fire damage and 6d6 persistant fire damage. Success - half damage, no persistant damage; Fail - full damage, full persistant; Crit Fail - double damage, double persistant damage.</t>
  </si>
  <si>
    <t>You ignite a creature in lasting flames, dealing 9d8 fire damage and 7d6 persistant fire damage. Success - half damage, no persistant damage; Fail - full damage, full persistant; Crit Fail - double damage, double persistant damage.</t>
  </si>
  <si>
    <t>You ignite a creature in lasting flames, dealing 10d8 fire damage and 8d6 persistant fire damage. Success - half damage, no persistant damage; Fail - full damage, full persistant; Crit Fail - double damage, double persistant damage.</t>
  </si>
  <si>
    <t>You ignite a creature in lasting flames, dealing 11d8 fire damage and 9d6 persistant fire damage. Success - half damage, no persistant damage; Fail - full damage, full persistant; Crit Fail - double damage, double persistant damage.</t>
  </si>
  <si>
    <t>Deceiver's Cloak</t>
  </si>
  <si>
    <t>You wrap yourself in a cloak of illusion, appearing as another creature of the same body shape with roughly similar height and weight as yourself. This has the effects of a 3rd-level illusory disguise (non specific creature, within 6 inches and 50 pounds; doesnt change voice; +4 to deception checks to hide identity)</t>
  </si>
  <si>
    <t>You wrap yourself in a cloak of illusion, appearing as another creature of the same body shape with roughly similar height and weight as yourself. This has the effects of a 3rd-level illusory disguise (non specific creature, of the same size, but different body shape; doesnt change voice; +4 to deception checks to hide identity)</t>
  </si>
  <si>
    <t>Delay Affliction</t>
  </si>
  <si>
    <t>With a surge of healing energy you push off an affliction. The target recovers 3d8 HP, and you attempt to counteract one affliction you are aware of, suspending its effects for 1 hour on a success. Target is immune to Delay Afflictions for 1 day. You need to be aware of the affliction, but dont need its name.</t>
  </si>
  <si>
    <t>With a surge of healing energy you push off an affliction. The target recovers 4d8 HP, and you attempt to counteract 2 affliction you are aware of, suspending its effects for 1 hour on a success. Target is immune to Delay Afflictions for 1 day. You need to be aware of the affliction, but dont need its name.</t>
  </si>
  <si>
    <t>With a surge of healing energy you push off an affliction. The target recovers 5d8 HP, and you attempt to counteract 3 affliction you are aware of, suspending its effects for 1 hour on a success. Target is immune to Delay Afflictions for 1 day. You need to be aware of the affliction, but dont need its name.</t>
  </si>
  <si>
    <t>With a surge of healing energy you push off an affliction. The target recovers 6d8 HP, and you attempt to counteract 4 affliction you are aware of, suspending its effects for 1 hour on a success. Target is immune to Delay Afflictions for 1 day. You need to be aware of the affliction, but dont need its name.</t>
  </si>
  <si>
    <t>With a surge of healing energy you push off an affliction. The target recovers 7d8 HP, and you attempt to counteract 5 affliction you are aware of, suspending its effects for 1 hour on a success. Target is immune to Delay Afflictions for 1 day. You need to be aware of the affliction, but dont need its name.</t>
  </si>
  <si>
    <t>With a surge of healing energy you push off an affliction. The target recovers 8d8 HP, and you attempt to counteract 6 affliction you are aware of, suspending its effects for 1 hour on a success. Target is immune to Delay Afflictions for 1 day. You need to be aware of the affliction, but dont need its name.</t>
  </si>
  <si>
    <t>With a surge of healing energy you push off an affliction. The target recovers 9d8 HP, and you attempt to counteract 7 affliction you are aware of, suspending its effects for 1 hour on a success. Target is immune to Delay Afflictions for 1 day. You need to be aware of the affliction, but dont need its name.</t>
  </si>
  <si>
    <t>With a surge of healing energy you push off an affliction. The target recovers 10d8 HP, and you attempt to counteract 8 affliction you are aware of, suspending its effects for 1 hour on a success. Target is immune to Delay Afflictions for 1 day. You need to be aware of the affliction, but dont need its name.</t>
  </si>
  <si>
    <t>Dragon Breath</t>
  </si>
  <si>
    <t>You spew energy from your mouth, dealing 5d6 damage. The area can be a 60ft line, 30ft cone, or 10ft burst within 30ft. Black, Brine, Copper (acid line); Blue, Bronze (electric line); Cloud (electric cone); Crystal, Forest (peirc cone); Green (poison cone; Fort); Gold, Magma, Red (fire cone); Sea (bludg burst); Silver, White (cold cone); Sky (electric burst); Sovereign (mental cone; Will); Umbral (negative cone); Underworld (fire burst)</t>
  </si>
  <si>
    <t>You spew energy from your mouth, dealing 7d6 damage. The area can be a 60ft line, 30ft cone, or 10ft burst within 30ft. Black, Brine, Copper (acid line); Blue, Bronze (electric line); Cloud (electric cone); Crystal, Forest (peirc cone); Green (poison cone; Fort); Gold, Magma, Red (fire cone); Sea (bludg burst); Silver, White (cold cone); Sky (electric burst); Sovereign (mental cone; Will); Umbral (negative cone); Underworld (fire burst)</t>
  </si>
  <si>
    <t>You spew energy from your mouth, dealing 9d6 damage. The area can be a 60ft line, 30ft cone, or 10ft burst within 30ft. Black, Brine, Copper (acid line); Blue, Bronze (electric line); Cloud (electric cone); Crystal, Forest (peirc cone); Green (poison cone; Fort); Gold, Magma, Red (fire cone); Sea (bludg burst); Silver, White (cold cone); Sky (electric burst); Sovereign (mental cone; Will); Umbral (negative cone); Underworld (fire burst)</t>
  </si>
  <si>
    <t>You spew energy from your mouth, dealing 11d6 damage. The area can be a 60ft line, 30ft cone, or 10ft burst within 30ft. Black, Brine, Copper (acid line); Blue, Bronze (electric line); Cloud (electric cone); Crystal, Forest (peirc cone); Green (poison cone; Fort); Gold, Magma, Red (fire cone); Sea (bludg burst); Silver, White (cold cone); Sky (electric burst); Sovereign (mental cone; Will); Umbral (negative cone); Underworld (fire burst)</t>
  </si>
  <si>
    <t>You spew energy from your mouth, dealing 13d6 damage. The area can be a 60ft line, 30ft cone, or 10ft burst within 30ft. Black, Brine, Copper (acid line); Blue, Bronze (electric line); Cloud (electric cone); Crystal, Forest (peirc cone); Green (poison cone; Fort); Gold, Magma, Red (fire cone); Sea (bludg burst); Silver, White (cold cone); Sky (electric burst); Sovereign (mental cone; Will); Umbral (negative cone); Underworld (fire burst)</t>
  </si>
  <si>
    <t>You spew energy from your mouth, dealing 15d6 damage. The area can be a 60ft line, 30ft cone, or 10ft burst within 30ft. Black, Brine, Copper (acid line); Blue, Bronze (electric line); Cloud (electric cone); Crystal, Forest (peirc cone); Green (poison cone; Fort); Gold, Magma, Red (fire cone); Sea (bludg burst); Silver, White (cold cone); Sky (electric burst); Sovereign (mental cone; Will); Umbral (negative cone); Underworld (fire burst)</t>
  </si>
  <si>
    <t>You spew energy from your mouth, dealing 17d6 damage. The area can be a 60ft line, 30ft cone, or 10ft burst within 30ft. Black, Brine, Copper (acid line); Blue, Bronze (electric line); Cloud (electric cone); Crystal, Forest (peirc cone); Green (poison cone; Fort); Gold, Magma, Red (fire cone); Sea (bludg burst); Silver, White (cold cone); Sky (electric burst); Sovereign (mental cone; Will); Umbral (negative cone); Underworld (fire burst)</t>
  </si>
  <si>
    <t>You spew energy from your mouth, dealing 19d6 damage. The area can be a 60ft line, 30ft cone, or 10ft burst within 30ft. Black, Brine, Copper (acid line); Blue, Bronze (electric line); Cloud (electric cone); Crystal, Forest (peirc cone); Green (poison cone; Fort); Gold, Magma, Red (fire cone); Sea (bludg burst); Silver, White (cold cone); Sky (electric burst); Sovereign (mental cone; Will); Umbral (negative cone); Underworld (fire burst)</t>
  </si>
  <si>
    <t>Drain Life</t>
  </si>
  <si>
    <t>You pull the life of another into yourself, dealing 3d4 negative damage. You gain temp HP to the damage the target takes after resolving blood magic. If target's hp were lower than damage delt you gain that much instead. Temp HP lasts 1 min.</t>
  </si>
  <si>
    <t>You pull the life of another into yourself, dealing 4d4 negative damage. You gain temp HP to the damage the target takes after resolving blood magic. If target's hp were lower than damage delt you gain that much instead. Temp HP lasts 1 min.</t>
  </si>
  <si>
    <t>You pull the life of another into yourself, dealing 5d4 negative damage. You gain temp HP to the damage the target takes after resolving blood magic. If target's hp were lower than damage delt you gain that much instead. Temp HP lasts 1 min.</t>
  </si>
  <si>
    <t>You pull the life of another into yourself, dealing 6d4 negative damage. You gain temp HP to the damage the target takes after resolving blood magic. If target's hp were lower than damage delt you gain that much instead. Temp HP lasts 1 min.</t>
  </si>
  <si>
    <t>You pull the life of another into yourself, dealing 7d4 negative damage. You gain temp HP to the damage the target takes after resolving blood magic. If target's hp were lower than damage delt you gain that much instead. Temp HP lasts 1 min.</t>
  </si>
  <si>
    <t>You pull the life of another into yourself, dealing 8d4 negative damage. You gain temp HP to the damage the target takes after resolving blood magic. If target's hp were lower than damage delt you gain that much instead. Temp HP lasts 1 min.</t>
  </si>
  <si>
    <t>You pull the life of another into yourself, dealing 9d4 negative damage. You gain temp HP to the damage the target takes after resolving blood magic. If target's hp were lower than damage delt you gain that much instead. Temp HP lasts 1 min.</t>
  </si>
  <si>
    <t>You pull the life of another into yourself, dealing 10d4 negative damage. You gain temp HP to the damage the target takes after resolving blood magic. If target's hp were lower than damage delt you gain that much instead. Temp HP lasts 1 min.</t>
  </si>
  <si>
    <t>Eidolon's Wrath</t>
  </si>
  <si>
    <t>Your eidolon releases a powerful energy attack that deals 5d6 damage of the type you chose when you took the Eidolon's Wrath feat, with a basic Reflex save.</t>
  </si>
  <si>
    <t>Your eidolon releases a powerful energy attack that deals 7d6 damage of the type you chose when you took the Eidolon's Wrath feat, with a basic Reflex save.</t>
  </si>
  <si>
    <t>Your eidolon releases a powerful energy attack that deals 9d6 damage of the type you chose when you took the Eidolon's Wrath feat, with a basic Reflex save.</t>
  </si>
  <si>
    <t>Your eidolon releases a powerful energy attack that deals 11d6 damage of the type you chose when you took the Eidolon's Wrath feat, with a basic Reflex save.</t>
  </si>
  <si>
    <t>Your eidolon releases a powerful energy attack that deals 13d6 damage of the type you chose when you took the Eidolon's Wrath feat, with a basic Reflex save.</t>
  </si>
  <si>
    <t>Your eidolon releases a powerful energy attack that deals 15d6 damage of the type you chose when you took the Eidolon's Wrath feat, with a basic Reflex save.</t>
  </si>
  <si>
    <t>Your eidolon releases a powerful energy attack that deals 17d6 damage of the type you chose when you took the Eidolon's Wrath feat, with a basic Reflex save.</t>
  </si>
  <si>
    <t>Your eidolon releases a powerful energy attack that deals 19d6 damage of the type you chose when you took the Eidolon's Wrath feat, with a basic Reflex save.</t>
  </si>
  <si>
    <t>Electrified Crystal Ward</t>
  </si>
  <si>
    <t>1 hinge</t>
  </si>
  <si>
    <t>You create an Electric Latch Rune on the target, creating a crystalline lock. Use your Spell DC for any hazard DC. Only one hazard at a time. The rune is invisible and deals 3d12 electric to any creature that touches the hazard directly or with a tool.</t>
  </si>
  <si>
    <t>You create an Electric Latch Rune on the target, creating a crystalline lock. Use your Spell DC for any hazard DC. Only one hazard at a time. The rune is invisible and deals 4d12 electric to any creature that touches the hazard directly or with a tool.</t>
  </si>
  <si>
    <t>You create an Electric Latch Rune on the target, creating a crystalline lock. Use your Spell DC for any hazard DC. Only one hazard at a time. The rune is invisible and deals 5d12 electric to any creature that touches the hazard directly or with a tool.</t>
  </si>
  <si>
    <t>You create an Electric Latch Rune on the target, creating a crystalline lock. Use your Spell DC for any hazard DC. Only one hazard at a time. The rune is invisible and deals 6d12 electric to any creature that touches the hazard directly or with a tool.</t>
  </si>
  <si>
    <t>Elemental Motion</t>
  </si>
  <si>
    <t>You call upon your element to propel you based on your element's trait. Air - fly speed equal to speed; Earth - 10ft burrow speed; Fire - fly speed equal to speed; Water - breath under water, and swim speed equal to your Speed.</t>
  </si>
  <si>
    <t>You call upon your element to propel you based on your element's trait. Air - fly speed equal to speed; Earth - 10ft burrow speed; Fire - fly speed equal to speed; Water - breath under water, and swim speed equal to your Speed. You gain a +10ft status bonus to all speeds.</t>
  </si>
  <si>
    <t>You call upon your element to propel you based on your element's trait. Air - fly speed equal to speed; Earth - 10ft burrow speed; Fire - fly speed equal to speed; Water - breath under water, and swim speed equal to your Speed. You gain a +20ft status bonus to all speeds.</t>
  </si>
  <si>
    <t>Embrace the Pit</t>
  </si>
  <si>
    <t xml:space="preserve">Growing horns and skin changing to look more devilish, you gain resistance 5 to evil, fire, poison, and resistance 1 to phsyical damage (except silver). You can take good damage reguardless of allignment, and have weakness 5 to good damage. </t>
  </si>
  <si>
    <t xml:space="preserve">Growing horns and skin changing to look more devilish, you gain resistance 10 to evil, fire, poison, and resistance 3 to phsyical damage (except silver). You can take good damage reguardless of allignment, and have weakness 10 to good damage. </t>
  </si>
  <si>
    <t xml:space="preserve">Growing horns and skin changing to look more devilish, you gain resistance 15 to evil, fire, poison, and resistance 5 to phsyical damage (except silver). You can take good damage reguardless of allignment, and have weakness 15 to good damage. </t>
  </si>
  <si>
    <t xml:space="preserve">Growing horns and skin changing to look more devilish, you gain resistance 20 to evil, fire, poison, and resistance 7 to phsyical damage (except silver). You can take good damage reguardless of allignment, and have weakness 20 to good damage. </t>
  </si>
  <si>
    <t>Ephemeral Tracking</t>
  </si>
  <si>
    <t>You gain the ability to follow tracks not just on land, but through the air and water by looking at the currents. Use Survival to Track through both air and water, noticing the 'tracks' of all creatures to pass by. The DC for such a task is at least 30, but can be higher with strong wind and tides. It is possible to cover tracks against this spell, but most creatures dont realize they need to.</t>
  </si>
  <si>
    <t>Extend Spell</t>
  </si>
  <si>
    <t>You call upon your blood's knowledge of the ancients to extend your magic. If your next action is to Cast a Spell with a duration of 1 minute and a single target, the spell instead lasts 10 minutes. You can extend a spell only if you cast it from a spell slot lower than your highest spell slot, and you can have only one active spell at a time extended in this way.</t>
  </si>
  <si>
    <t>Eyes of the Dead</t>
  </si>
  <si>
    <t>You enter a magical trance and percieve through the senses of an undead you control. You use your perception, but the target's special senses. This doesnt grant the ability to communicate. You are flatfooted from a lack of senses, but can still communicate.</t>
  </si>
  <si>
    <t>You enter a magical trance and percieve through the senses of an undead you control within 100 miles, for upto 10 min. You use your perception, but the target's special senses. You can communicate via telepathy with the target, but can not command them. You are flatfooted from a lack of senses, but can still communicate.</t>
  </si>
  <si>
    <t>Fey Disappearance</t>
  </si>
  <si>
    <t>You become invisible and ignore natural difficult terrain (such as underbrush) until the end of your next turn. Any hostile action you use ends this invisibility, but you still ignore natural difficult terrain.</t>
  </si>
  <si>
    <t>You become invisible and ignore natural difficult terrain (such as underbrush) until the end of your next turn. You can use hostile actions without ending this invisibility, but you still ignore natural difficult terrain.</t>
  </si>
  <si>
    <t>Heart's Desire</t>
  </si>
  <si>
    <t>You surround your target with wondrous illusions, distracting them from reality. Success - Stupefied 2, and -2 status penalty to any checks made for reactions for 1 round; Fail - Stupefied 2, cant use reactions for 1 min; Crit fail - as fail, all spaces are difficult terrain.</t>
  </si>
  <si>
    <t>You surround 2 targets with wondrous illusions, distracting them from reality. Success - Stupefied 2, and -2 status penalty to any checks made for reactions for 1 round; Fail - Stupefied 2, cant use reactions for 1 min; Crit fail - as fail, all spaces are difficult terrain.</t>
  </si>
  <si>
    <t>You surround 3 targets with wondrous illusions, distracting them from reality. Success - Stupefied 2, and -2 status penalty to any checks made for reactions for 1 round; Fail - Stupefied 2, cant use reactions for 1 min; Crit fail - as fail, all spaces are difficult terrain.</t>
  </si>
  <si>
    <t>You surround 4 targets with wondrous illusions, distracting them from reality. Success - Stupefied 2, and -2 status penalty to any checks made for reactions for 1 round; Fail - Stupefied 2, cant use reactions for 1 min; Crit fail - as fail, all spaces are difficult terrain.</t>
  </si>
  <si>
    <t>Horrific Visage</t>
  </si>
  <si>
    <t>Taking the horrific visage of a hag, you strike fear into your enemies. Foes in the area make a will save. Success - unaffected; Fail - frightened 1; Crit Fail - frightened 2.</t>
  </si>
  <si>
    <t>Taking the horrific visage of a hag, you strike fear into your enemies. Foes in the area make a will save. Success - frightened 1; Fail - frightened 2; Crit Fail - frightened 3 and fleeing for 1 round.</t>
  </si>
  <si>
    <t>Incendiary Ashes</t>
  </si>
  <si>
    <t>A cloud of magical ashes fill the area, scouring flesh and ignighting at the slightest flame. You deal 4d6 slashing, and the targets make a save. Success - half damage, weakness 3 to fire until start of its next turn; Fail - full damage, weakness 3 fire for 1 min. If its killed by fire it's body (not gear) is reduced to ashes; Crit Fail - as failure, except double damage.</t>
  </si>
  <si>
    <t>A cloud of magical ashes fill the area, scouring flesh and ignighting at the slightest flame. You deal 6d6 slashing, and the targets make a save. Success - half damage, weakness 4 to fire until start of its next turn; Fail - full damage, weakness 4 fire for 1 min. If its killed by fire it's body (not gear) is reduced to ashes; Crit Fail - as failure, except double damage.</t>
  </si>
  <si>
    <t>A cloud of magical ashes fill the area, scouring flesh and ignighting at the slightest flame. You deal 8d6 slashing, and the targets make a save. Success - half damage, weakness 5 to fire until start of its next turn; Fail - full damage, weakness 5 fire for 1 min. If its killed by fire it's body (not gear) is reduced to ashes; Crit Fail - as failure, except double damage.</t>
  </si>
  <si>
    <t>A cloud of magical ashes fill the area, scouring flesh and ignighting at the slightest flame. You deal 10d6 slashing, and the targets make a save. Success - half damage, weakness 6 to fire until start of its next turn; Fail - full damage, weakness 6 fire for 1 min. If its killed by fire it's body (not gear) is reduced to ashes; Crit Fail - as failure, except double damage.</t>
  </si>
  <si>
    <t>A cloud of magical ashes fill the area, scouring flesh and ignighting at the slightest flame. You deal 12d6 slashing, and the targets make a save. Success - half damage, weakness 7 to fire until start of its next turn; Fail - full damage, weakness 7 fire for 1 min. If its killed by fire it's body (not gear) is reduced to ashes; Crit Fail - as failure, except double damage.</t>
  </si>
  <si>
    <t>A cloud of magical ashes fill the area, scouring flesh and ignighting at the slightest flame. You deal 14d6 slashing, and the targets make a save. Success - half damage, weakness 8 to fire until start of its next turn; Fail - full damage, weakness 8 fire for 1 min. If its killed by fire it's body (not gear) is reduced to ashes; Crit Fail - as failure, except double damage.</t>
  </si>
  <si>
    <t>A cloud of magical ashes fill the area, scouring flesh and ignighting at the slightest flame. You deal 16d6 slashing, and the targets make a save. Success - half damage, weakness 9 to fire until start of its next turn; Fail - full damage, weakness 9 fire for 1 min. If its killed by fire it's body (not gear) is reduced to ashes; Crit Fail - as failure, except double damage.</t>
  </si>
  <si>
    <t>A cloud of magical ashes fill the area, scouring flesh and ignighting at the slightest flame. You deal 18d6 slashing, and the targets make a save. Success - half damage, weakness 10 to fire until start of its next turn; Fail - full damage, weakness 10 fire for 1 min. If its killed by fire it's body (not gear) is reduced to ashes; Crit Fail - as failure, except double damage.</t>
  </si>
  <si>
    <t>Inscutable Mask</t>
  </si>
  <si>
    <t>You shroud your form and features in an impenetrable mask of shadow. The mask grants you a +1 status bonus to Deception checks to Lie or Feint, Intimidation checks to Demoralize, and Stealth checks to Hide in areas of dim light or darkness.</t>
  </si>
  <si>
    <t>You shroud your form and features in an impenetrable mask of shadow. The mask grants you a +2 status bonus to Deception checks to Lie or Feint, Intimidation checks to Demoralize, and Stealth checks to Hide in areas of dim light or darkness.</t>
  </si>
  <si>
    <t>You shroud your form and features in an impenetrable mask of shadow. The mask grants you a +3 status bonus to Deception checks to Lie or Feint, Intimidation checks to Demoralize, and Stealth checks to Hide in areas of dim light or darkness.</t>
  </si>
  <si>
    <t>Interstellar Void</t>
  </si>
  <si>
    <t>You call upon the frigid depths of outer space to bring a terrible chill to your enemy. The target is cloaked in the freezing void, which deals 3d6 cold damage immediately and the first time each round you Sustain the Spell on future turns, with a basic Fortitude save. The target is fatigued for as long as the effect persists.</t>
  </si>
  <si>
    <t>You call upon the frigid depths of outer space to bring a terrible chill to your enemy. The target is cloaked in the freezing void, which deals 4d6 cold damage immediately and the first time each round you Sustain the Spell on future turns, with a basic Fortitude save. The target is fatigued for as long as the effect persists.</t>
  </si>
  <si>
    <t>You call upon the frigid depths of outer space to bring a terrible chill to your enemy. The target is cloaked in the freezing void, which deals 5d6 cold damage immediately and the first time each round you Sustain the Spell on future turns, with a basic Fortitude save. The target is fatigued for as long as the effect persists.</t>
  </si>
  <si>
    <t>You call upon the frigid depths of outer space to bring a terrible chill to your enemy. The target is cloaked in the freezing void, which deals 6d6 cold damage immediately and the first time each round you Sustain the Spell on future turns, with a basic Fortitude save. The target is fatigued for as long as the effect persists.</t>
  </si>
  <si>
    <t>You call upon the frigid depths of outer space to bring a terrible chill to your enemy. The target is cloaked in the freezing void, which deals 7d6 cold damage immediately and the first time each round you Sustain the Spell on future turns, with a basic Fortitude save. The target is fatigued for as long as the effect persists.</t>
  </si>
  <si>
    <t>You call upon the frigid depths of outer space to bring a terrible chill to your enemy. The target is cloaked in the freezing void, which deals 8d6 cold damage immediately and the first time each round you Sustain the Spell on future turns, with a basic Fortitude save. The target is fatigued for as long as the effect persists.</t>
  </si>
  <si>
    <t>You call upon the frigid depths of outer space to bring a terrible chill to your enemy. The target is cloaked in the freezing void, which deals 9d6 cold damage immediately and the first time each round you Sustain the Spell on future turns, with a basic Fortitude save. The target is fatigued for as long as the effect persists.</t>
  </si>
  <si>
    <t>You call upon the frigid depths of outer space to bring a terrible chill to your enemy. The target is cloaked in the freezing void, which deals 10d6 cold damage immediately and the first time each round you Sustain the Spell on future turns, with a basic Fortitude save. The target is fatigued for as long as the effect persists.</t>
  </si>
  <si>
    <t>Ki Blast</t>
  </si>
  <si>
    <t>A powerful blast of force that deals 2d6 force damage. If you use 2 actions its 3d6 damage in a 30ft cone. For 3 actions, 4d6 damage in a 60ft cone. Success - half damage; Fail - full damage, pushed 5ft; Crit Fail - double damage, pushed 10ft.</t>
  </si>
  <si>
    <t>A powerful blast of force that deals 3d6 force damage. If you use 2 actions its 5d6 damage in a 30ft cone. For 3 actions, 6d6 damage in a 60ft cone. Success - half damage; Fail - full damage, pushed 5ft; Crit Fail - double damage, pushed 10ft.</t>
  </si>
  <si>
    <t>A powerful blast of force that deals 4d6 force damage. If you use 2 actions its 7d6 damage in a 30ft cone. For 3 actions, 8d6 damage in a 60ft cone. Success - half damage; Fail - full damage, pushed 5ft; Crit Fail - double damage, pushed 10ft.</t>
  </si>
  <si>
    <t>A powerful blast of force that deals 5d6 force damage. If you use 2 actions its 9d6 damage in a 30ft cone. For 3 actions, 10d6 damage in a 60ft cone. Success - half damage; Fail - full damage, pushed 5ft; Crit Fail - double damage, pushed 10ft.</t>
  </si>
  <si>
    <t>A powerful blast of force that deals 6d6 force damage. If you use 2 actions its 11d6 damage in a 30ft cone. For 3 actions, 12d6 damage in a 60ft cone. Success - half damage; Fail - full damage, pushed 5ft; Crit Fail - double damage, pushed 10ft.</t>
  </si>
  <si>
    <t>A powerful blast of force that deals 7d6 force damage. If you use 2 actions its 13d6 damage in a 30ft cone. For 3 actions, 14d6 damage in a 60ft cone. Success - half damage; Fail - full damage, pushed 5ft; Crit Fail - double damage, pushed 10ft.</t>
  </si>
  <si>
    <t>A powerful blast of force that deals 8d6 force damage. If you use 2 actions its 15d6 damage in a 30ft cone. For 3 actions, 16d6 damage in a 60ft cone. Success - half damage; Fail - full damage, pushed 5ft; Crit Fail - double damage, pushed 10ft.</t>
  </si>
  <si>
    <t>A powerful blast of force that deals 9d6 force damage. If you use 2 actions its 17d6 damage in a 30ft cone. For 3 actions, 18d6 damage in a 60ft cone. Success - half damage; Fail - full damage, pushed 5ft; Crit Fail - double damage, pushed 10ft.</t>
  </si>
  <si>
    <t>Litany against Wrath</t>
  </si>
  <si>
    <t>1 evil creature</t>
  </si>
  <si>
    <t>You pushish wrath by dealing 3d6 good damage when the target harms a good creature. Extra wrathful creatures (such as wrath demon) get one degree worse on their save. Target becomes immune for 1 min. Success - takes full damage the first time it damages a good creature; Fail - takes full damage each time you damages a good creature; Crit Fail - as failure, enfeebeled 2.</t>
  </si>
  <si>
    <t>You pushish wrath by dealing 4d6 good damage when the target harms a good creature. Extra wrathful creatures (such as wrath demon) get one degree worse on their save. Target becomes immune for 1 min. Success - takes full damage the first time it damages a good creature; Fail - takes full damage each time you damages a good creature; Crit Fail - as failure, enfeebeled 2.</t>
  </si>
  <si>
    <t>You pushish wrath by dealing 5d6 good damage when the target harms a good creature. Extra wrathful creatures (such as wrath demon) get one degree worse on their save. Target becomes immune for 1 min. Success - takes full damage the first time it damages a good creature; Fail - takes full damage each time you damages a good creature; Crit Fail - as failure, enfeebeled 2.</t>
  </si>
  <si>
    <t>You pushish wrath by dealing 6d6 good damage when the target harms a good creature. Extra wrathful creatures (such as wrath demon) get one degree worse on their save. Target becomes immune for 1 min. Success - takes full damage the first time it damages a good creature; Fail - takes full damage each time you damages a good creature; Crit Fail - as failure, enfeebeled 2.</t>
  </si>
  <si>
    <t>You pushish wrath by dealing 7d6 good damage when the target harms a good creature. Extra wrathful creatures (such as wrath demon) get one degree worse on their save. Target becomes immune for 1 min. Success - takes full damage the first time it damages a good creature; Fail - takes full damage each time you damages a good creature; Crit Fail - as failure, enfeebeled 2.</t>
  </si>
  <si>
    <t>You pushish wrath by dealing 8d6 good damage when the target harms a good creature. Extra wrathful creatures (such as wrath demon) get one degree worse on their save. Target becomes immune for 1 min. Success - takes full damage the first time it damages a good creature; Fail - takes full damage each time you damages a good creature; Crit Fail - as failure, enfeebeled 2.</t>
  </si>
  <si>
    <t>You pushish wrath by dealing 9d6 good damage when the target harms a good creature. Extra wrathful creatures (such as wrath demon) get one degree worse on their save. Target becomes immune for 1 min. Success - takes full damage the first time it damages a good creature; Fail - takes full damage each time you damages a good creature; Crit Fail - as failure, enfeebeled 2.</t>
  </si>
  <si>
    <t>You pushish wrath by dealing 10d6 good damage when the target harms a good creature. Extra wrathful creatures (such as wrath demon) get one degree worse on their save. Target becomes immune for 1 min. Success - takes full damage the first time it damages a good creature; Fail - takes full damage each time you damages a good creature; Crit Fail - as failure, enfeebeled 2.</t>
  </si>
  <si>
    <t>Malicious Shadow</t>
  </si>
  <si>
    <t>You reshape the target's shadow into deadly form. When you cast this spell and each time you sustain you make a melee spell attack for the shadow, dealing 1d10+ [spell ability mod] damage of your choice: bludgeoning, slashing, or peircing. The shadow is always in reach, doesnt take space or flank. Shadow lasts until target is in complete darkness or light. If target's shadow is controled by anothre attept to counteract.</t>
  </si>
  <si>
    <t>You reshape the target's shadow into deadly form. When you cast this spell and each time you sustain you make a melee spell attack for the shadow, dealing 2d10+ [spell ability mod] damage of your choice: bludgeoning, slashing, or peircing. The shadow is always in reach, doesnt take space or flank. Shadow lasts until target is in complete darkness or light. If target's shadow is controled by anothre attept to counteract.</t>
  </si>
  <si>
    <t>You reshape the target's shadow into deadly form. When you cast this spell and each time you sustain you make a melee spell attack for the shadow, dealing 3d10+ [spell ability mod] damage of your choice: bludgeoning, slashing, or peircing. The shadow is always in reach, doesnt take space or flank. Shadow lasts until target is in complete darkness or light. If target's shadow is controled by anothre attept to counteract.</t>
  </si>
  <si>
    <t>You reshape the target's shadow into deadly form. When you cast this spell and each time you sustain you make a melee spell attack for the shadow, dealing 4d10+ [spell ability mod] damage of your choice: bludgeoning, slashing, or peircing. The shadow is always in reach, doesnt take space or flank. Shadow lasts until target is in complete darkness or light. If target's shadow is controled by anothre attept to counteract.</t>
  </si>
  <si>
    <t>Personal Blizzard</t>
  </si>
  <si>
    <t>You summon an isolated blizzard to follow your target, dealing 1d6 cold damage. Success - full damage, spell ends; Fail - full damage, 1d6 persistant damage (automatically ends when the spell ends), concealed sight line in and out; Crit Fail - as failure, double initial and persistant damage.</t>
  </si>
  <si>
    <t>You summon an isolated blizzard to follow your target, dealing 1d6+1 cold damage. Success - full damage, spell ends; Fail - full damage, 1d6+1 persistant damage (automatically ends when the spell ends), concealed sight line in and out; Crit Fail - as failure, double initial and persistant damage.</t>
  </si>
  <si>
    <t>You summon an isolated blizzard to follow your target, dealing 1d6+2 cold damage. Success - full damage, spell ends; Fail - full damage, 1d6+2 persistant damage (automatically ends when the spell ends), concealed sight line in and out; Crit Fail - as failure, double initial and persistant damage.</t>
  </si>
  <si>
    <t>You summon an isolated blizzard to follow your target, dealing 1d6+3 cold damage. Success - full damage, spell ends; Fail - full damage, 1d6+3 persistant damage (automatically ends when the spell ends), concealed sight line in and out; Crit Fail - as failure, double initial and persistant damage.</t>
  </si>
  <si>
    <t>You summon an isolated blizzard to follow your target, dealing 1d6+4 cold damage. Success - full damage, spell ends; Fail - full damage, 1d6+4 persistant damage (automatically ends when the spell ends), concealed sight line in and out; Crit Fail - as failure, double initial and persistant damage.</t>
  </si>
  <si>
    <t>You summon an isolated blizzard to follow your target, dealing 1d6+5 cold damage. Success - full damage, spell ends; Fail - full damage, 1d6+5 persistant damage (automatically ends when the spell ends), concealed sight line in and out; Crit Fail - as failure, double initial and persistant damage.</t>
  </si>
  <si>
    <t>You summon an isolated blizzard to follow your target, dealing 1d6+6 cold damage. Success - full damage, spell ends; Fail - full damage, 1d6+6 persistant damage (automatically ends when the spell ends), concealed sight line in and out; Crit Fail - as failure, double initial and persistant damage.</t>
  </si>
  <si>
    <t>You summon an isolated blizzard to follow your target, dealing 1d6+7 cold damage. Success - full damage, spell ends; Fail - full damage, 1d6+7 persistant damage (automatically ends when the spell ends), concealed sight line in and out; Crit Fail - as failure, double initial and persistant damage.</t>
  </si>
  <si>
    <t>Powerful Inhalation</t>
  </si>
  <si>
    <t>Drawing in the surrounding air to horde for yourself, those in the area take 5d6 bludgeoning damage with a save. Creatures that fail the save cant speak above a whisper for 1 round. Critically fail means creature cant breath for 1 round (cant talk or cast spells). Creatures made of air (such as Air elementals) get one degree worse on save.</t>
  </si>
  <si>
    <t>Drawing in the surrounding air to horde for yourself, those in the area take 7d6 bludgeoning damage with a save. Creatures that fail the save cant speak above a whisper for 1 round. Critically fail means creature cant breath for 1 round (cant talk or cast spells). Creatures made of air (such as Air elementals) get one degree worse on save.</t>
  </si>
  <si>
    <t>Drawing in the surrounding air to horde for yourself, those in the area take 9d6 bludgeoning damage with a save. Creatures that fail the save cant speak above a whisper for 1 round. Critically fail means creature cant breath for 1 round (cant talk or cast spells). Creatures made of air (such as Air elementals) get one degree worse on save.</t>
  </si>
  <si>
    <t>Drawing in the surrounding air to horde for yourself, those in the area take 11d6 bludgeoning damage with a save. Creatures that fail the save cant speak above a whisper for 1 round. Critically fail means creature cant breath for 1 round (cant talk or cast spells). Creatures made of air (such as Air elementals) get one degree worse on save.</t>
  </si>
  <si>
    <t>Drawing in the surrounding air to horde for yourself, those in the area take 13d6 bludgeoning damage with a save. Creatures that fail the save cant speak above a whisper for 1 round. Critically fail means creature cant breath for 1 round (cant talk or cast spells). Creatures made of air (such as Air elementals) get one degree worse on save.</t>
  </si>
  <si>
    <t>Drawing in the surrounding air to horde for yourself, those in the area take 15d6 bludgeoning damage with a save. Creatures that fail the save cant speak above a whisper for 1 round. Critically fail means creature cant breath for 1 round (cant talk or cast spells). Creatures made of air (such as Air elementals) get one degree worse on save.</t>
  </si>
  <si>
    <t>Drawing in the surrounding air to horde for yourself, those in the area take 17d6 bludgeoning damage with a save. Creatures that fail the save cant speak above a whisper for 1 round. Critically fail means creature cant breath for 1 round (cant talk or cast spells). Creatures made of air (such as Air elementals) get one degree worse on save.</t>
  </si>
  <si>
    <t>Drawing in the surrounding air to horde for yourself, those in the area take 19d6 bludgeoning damage with a save. Creatures that fail the save cant speak above a whisper for 1 round. Critically fail means creature cant breath for 1 round (cant talk or cast spells). Creatures made of air (such as Air elementals) get one degree worse on save.</t>
  </si>
  <si>
    <t>Pulverizing Cascade</t>
  </si>
  <si>
    <t>You raise a pair of towering waves 20ft tall and slam them into each other, crushing creatures caught between them. Creatures in the area take 5d6 bludgeoning damage with a basic Reflex save.</t>
  </si>
  <si>
    <t>You raise a pair of towering waves 20ft tall and slam them into each other, crushing creatures caught between them. Creatures in the area take 7d6 bludgeoning damage with a basic Reflex save.</t>
  </si>
  <si>
    <t>You raise a pair of towering waves 20ft tall and slam them into each other, crushing creatures caught between them. Creatures in the area take 9d6 bludgeoning damage with a basic Reflex save.</t>
  </si>
  <si>
    <t>You raise a pair of towering waves 20ft tall and slam them into each other, crushing creatures caught between them. Creatures in the area take 11d6 bludgeoning damage with a basic Reflex save.</t>
  </si>
  <si>
    <t>You raise a pair of towering waves 20ft tall and slam them into each other, crushing creatures caught between them. Creatures in the area take 13d6 bludgeoning damage with a basic Reflex save.</t>
  </si>
  <si>
    <t>You raise a pair of towering waves 20ft tall and slam them into each other, crushing creatures caught between them. Creatures in the area take 15d6 bludgeoning damage with a basic Reflex save.</t>
  </si>
  <si>
    <t>You raise a pair of towering waves 20ft tall and slam them into each other, crushing creatures caught between them. Creatures in the area take 17d6 bludgeoning damage with a basic Reflex save.</t>
  </si>
  <si>
    <t>You raise a pair of towering waves 20ft tall and slam them into each other, crushing creatures caught between them. Creatures in the area take 19d6 bludgeoning damage with a basic Reflex save.</t>
  </si>
  <si>
    <t>Ranger's Bramble</t>
  </si>
  <si>
    <t>Plants in the area entagle your foes as if the spell Entangle (difficult terrain, on fail -10ft while in the area; on crit fail immobilized for 1 round). Creatures that critically fail the save takes 2d4 persistant bleed damage and are immobilized. Escaping the bramble doesnt end the bleed.</t>
  </si>
  <si>
    <t>Plants in the area entagle your foes as if the spell Entangle (difficult terrain, on fail -10ft while in the area; on crit fail immobilized for 1 round). Creatures that critically fail the save takes 3d4 persistant bleed damage and are immobilized. Escaping the bramble doesnt end the bleed.</t>
  </si>
  <si>
    <t>Plants in the area entagle your foes as if the spell Entangle (difficult terrain, on fail -10ft while in the area; on crit fail immobilized for 1 round). Creatures that critically fail the save takes 4d4 persistant bleed damage and are immobilized. Escaping the bramble doesnt end the bleed.</t>
  </si>
  <si>
    <t>Plants in the area entagle your foes as if the spell Entangle (difficult terrain, on fail -10ft while in the area; on crit fail immobilized for 1 round). Creatures that critically fail the save takes 5d4 persistant bleed damage and are immobilized. Escaping the bramble doesnt end the bleed.</t>
  </si>
  <si>
    <t>Plants in the area entagle your foes as if the spell Entangle (difficult terrain, on fail -10ft while in the area; on crit fail immobilized for 1 round). Creatures that critically fail the save takes 6d4 persistant bleed damage and are immobilized. Escaping the bramble doesnt end the bleed.</t>
  </si>
  <si>
    <t>Plants in the area entagle your foes as if the spell Entangle (difficult terrain, on fail -10ft while in the area; on crit fail immobilized for 1 round). Creatures that critically fail the save takes 7d4 persistant bleed damage and are immobilized. Escaping the bramble doesnt end the bleed.</t>
  </si>
  <si>
    <t>Plants in the area entagle your foes as if the spell Entangle (difficult terrain, on fail -10ft while in the area; on crit fail immobilized for 1 round). Creatures that critically fail the save takes 8d4 persistant bleed damage and are immobilized. Escaping the bramble doesnt end the bleed.</t>
  </si>
  <si>
    <t>Plants in the area entagle your foes as if the spell Entangle (difficult terrain, on fail -10ft while in the area; on crit fail immobilized for 1 round). Creatures that critically fail the save takes 9d4 persistant bleed damage and are immobilized. Escaping the bramble doesnt end the bleed.</t>
  </si>
  <si>
    <t>Return the Favor</t>
  </si>
  <si>
    <t>You're unable to leave any debts unpaid. When an ally supports you in a fight by using their reaction to grant you a beneficial effect you return the favor by giving the target 12 temp HP for 1 min.</t>
  </si>
  <si>
    <t>You're unable to leave any debts unpaid. When an ally supports you in a fight by using their reaction to grant you a beneficial effect you return the favor by giving the target 16 temp HP for 1 min.</t>
  </si>
  <si>
    <t>You're unable to leave any debts unpaid. When an ally supports you in a fight by using their reaction to grant you a beneficial effect you return the favor by giving the target 20 temp HP for 1 min.</t>
  </si>
  <si>
    <t>You're unable to leave any debts unpaid. When an ally supports you in a fight by using their reaction to grant you a beneficial effect you return the favor by giving the target 24 temp HP for 1 min.</t>
  </si>
  <si>
    <t>You're unable to leave any debts unpaid. When an ally supports you in a fight by using their reaction to grant you a beneficial effect you return the favor by giving the target 28 temp HP for 1 min.</t>
  </si>
  <si>
    <t>You're unable to leave any debts unpaid. When an ally supports you in a fight by using their reaction to grant you a beneficial effect you return the favor by giving the target 32 temp HP for 1 min.</t>
  </si>
  <si>
    <t>You're unable to leave any debts unpaid. When an ally supports you in a fight by using their reaction to grant you a beneficial effect you return the favor by giving the target 36 temp HP for 1 min.</t>
  </si>
  <si>
    <t>You're unable to leave any debts unpaid. When an ally supports you in a fight by using their reaction to grant you a beneficial effect you return the favor by giving the target 40 temp HP for 1 min.</t>
  </si>
  <si>
    <t>Shroud of Flame</t>
  </si>
  <si>
    <t>Surrounding yourself in an aura of protective flames, any creature that hits you with an unarmed attack, grapples you, or otherwise touches you take 3 fire damage (no save). When you cast the spell and the first time you sustain each round creatures in the area take 3d6 fire damage with a save.</t>
  </si>
  <si>
    <t>Surrounding yourself in an aura of protective flames, any creature that hits you with an unarmed attack, grapples you, or otherwise touches you take 4 fire damage (no save). When you cast the spell and the first time you sustain each round creatures in the area take 4d6 fire damage with a save.</t>
  </si>
  <si>
    <t>Surrounding yourself in an aura of protective flames, any creature that hits you with an unarmed attack, grapples you, or otherwise touches you take 5 fire damage (no save). When you cast the spell and the first time you sustain each round creatures in the area take 5d6 fire damage with a save.</t>
  </si>
  <si>
    <t>Surrounding yourself in an aura of protective flames, any creature that hits you with an unarmed attack, grapples you, or otherwise touches you take 6 fire damage (no save). When you cast the spell and the first time you sustain each round creatures in the area take 6d6 fire damage with a save.</t>
  </si>
  <si>
    <t>Surrounding yourself in an aura of protective flames, any creature that hits you with an unarmed attack, grapples you, or otherwise touches you take 7 fire damage (no save). When you cast the spell and the first time you sustain each round creatures in the area take 7d6 fire damage with a save.</t>
  </si>
  <si>
    <t>Surrounding yourself in an aura of protective flames, any creature that hits you with an unarmed attack, grapples you, or otherwise touches you take 8 fire damage (no save). When you cast the spell and the first time you sustain each round creatures in the area take 8d6 fire damage with a save.</t>
  </si>
  <si>
    <t>Surrounding yourself in an aura of protective flames, any creature that hits you with an unarmed attack, grapples you, or otherwise touches you take 9 fire damage (no save). When you cast the spell and the first time you sustain each round creatures in the area take 9d6 fire damage with a save.</t>
  </si>
  <si>
    <t>Surrounding yourself in an aura of protective flames, any creature that hits you with an unarmed attack, grapples you, or otherwise touches you take 10 fire damage (no save). When you cast the spell and the first time you sustain each round creatures in the area take 10d6 fire damage with a save.</t>
  </si>
  <si>
    <t>Spirit Veil</t>
  </si>
  <si>
    <t>With a veil of spirits you hide yourself from undead. You become concealed to all creatures, and hidden from undead creatures (reguardless of their precise senses), making you invisible to undead's senses. If you physically interact with an undead creature or use a hostile action, the spell ends.</t>
  </si>
  <si>
    <t>With a veil of spirits you hide yourself and 1 other willing creature from undead. You become concealed to all creatures, and hidden from undead creatures (reguardless of their precise senses), making you invisible to undead's senses. If any target of this sell physically interact with an undead creature or use a hostile action, the spell ends.</t>
  </si>
  <si>
    <t>With a veil of spirits you hide yourself and 2 other willing creatures from undead. You become concealed to all creatures, and hidden from undead creatures (reguardless of their precise senses), making you invisible to undead's senses. If any target of this sell physically interact with an undead creature or use a hostile action, the spell ends.</t>
  </si>
  <si>
    <t>With a veil of spirits you hide yourself and 3 other willing creatures from undead. You become concealed to all creatures, and hidden from undead creatures (reguardless of their precise senses), making you invisible to undead's senses. If any target of this sell physically interact with an undead creature or use a hostile action, the spell ends.</t>
  </si>
  <si>
    <t>With a veil of spirits you hide yourself and 4 other willing creatures from undead. You become concealed to all creatures, and hidden from undead creatures (reguardless of their precise senses), making you invisible to undead's senses. If any target of this sell physically interact with an undead creature or use a hostile action, the spell ends.</t>
  </si>
  <si>
    <t>With a veil of spirits you hide yourself and 5 other willing creatures from undead. You become concealed to all creatures, and hidden from undead creatures (reguardless of their precise senses), making you invisible to undead's senses. If any target of this sell physically interact with an undead creature or use a hostile action, the spell ends.</t>
  </si>
  <si>
    <t>With a veil of spirits you hide yourself and 6 other willing creatures from undead. You become concealed to all creatures, and hidden from undead creatures (reguardless of their precise senses), making you invisible to undead's senses. If any target of this sell physically interact with an undead creature or use a hostile action, the spell ends.</t>
  </si>
  <si>
    <t>With a veil of spirits you hide yourself and 7 other willing creatures from undead. You become concealed to all creatures, and hidden from undead creatures (reguardless of their precise senses), making you invisible to undead's senses. If any target of this sell physically interact with an undead creature or use a hostile action, the spell ends.</t>
  </si>
  <si>
    <t>You steal a creature's shadow, leaving it weakened and vulnerable. Success - target is enfeebled for 1 round; Fail - deal 3d4 negative damage, and target is enfeebled 1 for the duration as you tear away the target's shadow into your hand. The first time you sustain a round you deal 3d4 negative damage with a basic fort save; Crit Fail - as fail, enfeebled 2.</t>
  </si>
  <si>
    <t>You steal a creature's shadow, leaving it weakened and vulnerable. Success - target is enfeebled for 1 round; Fail - deal 4d4 negative damage, and target is enfeebled 1 for the duration as you tear away the target's shadow into your hand. The first time you sustain a round you deal 4d4 negative damage with a basic fort save; Crit Fail - as fail, enfeebled 2.</t>
  </si>
  <si>
    <t>You steal a creature's shadow, leaving it weakened and vulnerable. Success - target is enfeebled for 1 round; Fail - deal 5d4 negative damage, and target is enfeebled 1 for the duration as you tear away the target's shadow into your hand. The first time you sustain a round you deal 5d4 negative damage with a basic fort save; Crit Fail - as fail, enfeebled 2.</t>
  </si>
  <si>
    <t>You steal a creature's shadow, leaving it weakened and vulnerable. Success - target is enfeebled for 1 round; Fail - deal 6d4 negative damage, and target is enfeebled 1 for the duration as you tear away the target's shadow into your hand. The first time you sustain a round you deal 6d4 negative damage with a basic fort save; Crit Fail - as fail, enfeebled 2.</t>
  </si>
  <si>
    <t>You steal a creature's shadow, leaving it weakened and vulnerable. Success - target is enfeebled for 1 round; Fail - deal 7d4 negative damage, and target is enfeebled 1 for the duration as you tear away the target's shadow into your hand. The first time you sustain a round you deal 7d4 negative damage with a basic fort save; Crit Fail - as fail, enfeebled 2.</t>
  </si>
  <si>
    <t>You steal a creature's shadow, leaving it weakened and vulnerable. Success - target is enfeebled for 1 round; Fail - deal 8d4 negative damage, and target is enfeebled 1 for the duration as you tear away the target's shadow into your hand. The first time you sustain a round you deal 8d4 negative damage with a basic fort save; Crit Fail - as fail, enfeebled 2.</t>
  </si>
  <si>
    <t>You steal a creature's shadow, leaving it weakened and vulnerable. Success - target is enfeebled for 1 round; Fail - deal 9d4 negative damage, and target is enfeebled 1 for the duration as you tear away the target's shadow into your hand. The first time you sustain a round you deal 9d4 negative damage with a basic fort save; Crit Fail - as fail, enfeebled 2.</t>
  </si>
  <si>
    <t>You steal a creature's shadow, leaving it weakened and vulnerable. Success - target is enfeebled for 1 round; Fail - deal 10d4 negative damage, and target is enfeebled 1 for the duration as you tear away the target's shadow into your hand. The first time you sustain a round you deal 10d4 negative damage with a basic fort save; Crit Fail - as fail, enfeebled 2.</t>
  </si>
  <si>
    <t>Stone Lance</t>
  </si>
  <si>
    <t>You shoot a jagged lance of stone at the target, dealing 6d6 peircing damage and impailing the creature on a hit. Impailed creatures have a -10ft speed penalty until it escapes. On a critical hit, the lance embeds the target to the ground, immobilizing it until it escapes. If the target escapes it takes 3 persistant bleed damage.</t>
  </si>
  <si>
    <t>You shoot a jagged lance of stone at the target, dealing 8d6 peircing damage and impailing the creature on a hit. Impailed creatures have a -10ft speed penalty until it escapes. On a critical hit, the lance embeds the target to the ground, immobilizing it until it escapes. If the target escapes it takes 4 persistant bleed damage.</t>
  </si>
  <si>
    <t>You shoot a jagged lance of stone at the target, dealing 10d6 peircing damage and impailing the creature on a hit. Impailed creatures have a -10ft speed penalty until it escapes. On a critical hit, the lance embeds the target to the ground, immobilizing it until it escapes. If the target escapes it takes 5 persistant bleed damage.</t>
  </si>
  <si>
    <t>You shoot a jagged lance of stone at the target, dealing 12d6 peircing damage and impailing the creature on a hit. Impailed creatures have a -10ft speed penalty until it escapes. On a critical hit, the lance embeds the target to the ground, immobilizing it until it escapes. If the target escapes it takes 6 persistant bleed damage.</t>
  </si>
  <si>
    <t>You shoot a jagged lance of stone at the target, dealing 14d6 peircing damage and impailing the creature on a hit. Impailed creatures have a -10ft speed penalty until it escapes. On a critical hit, the lance embeds the target to the ground, immobilizing it until it escapes. If the target escapes it takes 7 persistant bleed damage.</t>
  </si>
  <si>
    <t>You shoot a jagged lance of stone at the target, dealing 16d6 peircing damage and impailing the creature on a hit. Impailed creatures have a -10ft speed penalty until it escapes. On a critical hit, the lance embeds the target to the ground, immobilizing it until it escapes. If the target escapes it takes 8 persistant bleed damage.</t>
  </si>
  <si>
    <t>You shoot a jagged lance of stone at the target, dealing 18d6 peircing damage and impailing the creature on a hit. Impailed creatures have a -10ft speed penalty until it escapes. On a critical hit, the lance embeds the target to the ground, immobilizing it until it escapes. If the target escapes it takes 9 persistant bleed damage.</t>
  </si>
  <si>
    <t>You shoot a jagged lance of stone at the target, dealing 20d6 peircing damage and impailing the creature on a hit. Impailed creatures have a -10ft speed penalty until it escapes. On a critical hit, the lance embeds the target to the ground, immobilizing it until it escapes. If the target escapes it takes 10 persistant bleed damage.</t>
  </si>
  <si>
    <t>Subjugate Undead</t>
  </si>
  <si>
    <t>1 undead creature</t>
  </si>
  <si>
    <t>You attempt to seize control of an undead no more than your level -4. The target may make a save, and if the target is being controlled by another, the controlling creature can also roll a saving throw, using the better result. Can only have 1 casting of this spell applied at a time. Crit Success - immune 24 hours; Success - unaffected; Fail - becomes your minion for 1 min, or until an ally takes a hostile action against it; Crit Fail - as fail, duration 10 min.</t>
  </si>
  <si>
    <t>Sun's Fury</t>
  </si>
  <si>
    <t xml:space="preserve">You wreath an non-unholy weapon weidled by you, an ally, or unattended in glowing flame. The weapon deals an additional 1d4 fire damage and 1 good damage on a successful strike. The flame causes the weapon to grow as bright as a touch (20ft of bright light). </t>
  </si>
  <si>
    <t>Swamp of Sloth</t>
  </si>
  <si>
    <t>The ground turns into a swamp full of tiny beasts. The area is difficult terrain. The beasts swarm, their smell deals 1d6 poison damage to each creature to end its turn in the area. You can increase the radius of the spell by 5ft for each additional action to spend to cast it.</t>
  </si>
  <si>
    <t>The ground turns into a 10ft burst swamp full of tiny beasts. The area is difficult terrain. The beasts swarm, their smell deals 2d6 poison damage to each creature to end its turn in the area. You can increase the radius of the spell by 5ft for each additional action to spend to cast it.</t>
  </si>
  <si>
    <t>The ground turns into a 15ft burst swamp full of tiny beasts. The area is difficult terrain. The beasts swarm, their smell deals 3d6 poison damage to each creature to end its turn in the area. You can increase the radius of the spell by 5ft for each additional action to spend to cast it.</t>
  </si>
  <si>
    <t>The ground turns into a 20ft burst swamp full of tiny beasts. The area is difficult terrain. The beasts swarm, their smell deals 4d6 poison damage to each creature to end its turn in the area. You can increase the radius of the spell by 5ft for each additional action to spend to cast it.</t>
  </si>
  <si>
    <t>Thunderburst</t>
  </si>
  <si>
    <t>You create a powerful blast of air and thunder, dealing 2d6 bludgeoning and 2d6 sonic damage. Success - half damage; Fail - full damaged, deafened for 1 min; Crit Fail - double damage, deafened for 1 hour.</t>
  </si>
  <si>
    <t>You create a powerful 25ft burst blast of air and thunder, dealing 4d6 bludgeoning and 4d6 sonic damage. Success - half damage; Fail - full damaged, deafened for 1 min; Crit Fail - double damage, deafened for 1 hour.</t>
  </si>
  <si>
    <t>You create a powerful 30ft burst blast of air and thunder, dealing 6d6 bludgeoning and 6d6 sonic damage. Success - half damage; Fail - full damaged, deafened for 1 min; Crit Fail - double damage, deafened for 1 hour.</t>
  </si>
  <si>
    <t>You create a powerful 35ft burst blast of air and thunder, dealing 8d6 bludgeoning and 8d6 sonic damage. Success - half damage; Fail - full damaged, deafened for 1 min; Crit Fail - double damage, deafened for 1 hour.</t>
  </si>
  <si>
    <t>Timeskip</t>
  </si>
  <si>
    <t>You manipulate time around an ally that isnt yourself, pushing them forward a few moments in time. The target is quickened on its next turn and can use the action only to Step, Stride, or Strike.</t>
  </si>
  <si>
    <t>You manipulate time around 2 allies that isnt yourself, pushing them forward a few moments in time. The targets are quickened on their next turn and can use the action only to Step, Stride, or Strike.</t>
  </si>
  <si>
    <t>You manipulate time around 3 allies that isnt yourself, pushing them forward a few moments in time. The targets are quickened on their next turn and can use the action only to Step, Stride, or Strike.</t>
  </si>
  <si>
    <t>You manipulate time around 4 allies that isnt yourself, pushing them forward a few moments in time. The targets are quickened on their next turn and can use the action only to Step, Stride, or Strike.</t>
  </si>
  <si>
    <t>You manipulate time around 5 allies that isnt yourself, pushing them forward a few moments in time. The targets are quickened on their next turn and can use the action only to Step, Stride, or Strike.</t>
  </si>
  <si>
    <t>You manipulate time around 6 allies that isnt yourself, pushing them forward a few moments in time. The targets are quickened on their next turn and can use the action only to Step, Stride, or Strike.</t>
  </si>
  <si>
    <t>You manipulate time around 7 allies that isnt yourself, pushing them forward a few moments in time. The targets are quickened on their next turn and can use the action only to Step, Stride, or Strike.</t>
  </si>
  <si>
    <t>You manipulate time around 8 allies that isnt yourself, pushing them forward a few moments in time. The targets are quickened on their next turn and can use the action only to Step, Stride, or Strike.</t>
  </si>
  <si>
    <t>Unblinking Flame Revelation</t>
  </si>
  <si>
    <t>If your previous action was a successful unarmed strike, you can light your foe with recealing flames. The GM attempts a secret counteract check against each illusion affecting the creature; on a success, you suppress the illusion for the duration, rather than end the effect.</t>
  </si>
  <si>
    <t>World Guide</t>
  </si>
  <si>
    <t>Unbreaking Wave Advance</t>
  </si>
  <si>
    <t>You unlease a mighty wave that buffets back your foes. Each creature in the area makes a save. If a creature pushed by this wave would be pushed into a solid barrier or another creature, it stops and takes 3d6 damage. Success - unaffected; Fail - pushed 10ft; Crit Fail - pushed 20ft.</t>
  </si>
  <si>
    <t>You unlease a mighty wave that buffets back your foes. Each creature in the area makes a save. If a creature pushed by this wave would be pushed into a solid barrier or another creature, it stops and takes 4d6 damage. Success - unaffected; Fail - pushed 10ft; Crit Fail - pushed 20ft.</t>
  </si>
  <si>
    <t>You unlease a mighty wave that buffets back your foes. Each creature in the area makes a save. If a creature pushed by this wave would be pushed into a solid barrier or another creature, it stops and takes 5d6 damage. Success - unaffected; Fail - pushed 10ft; Crit Fail - pushed 20ft.</t>
  </si>
  <si>
    <t>You unlease a mighty wave that buffets back your foes. Each creature in the area makes a save. If a creature pushed by this wave would be pushed into a solid barrier or another creature, it stops and takes 6d6 damage. Success - unaffected; Fail - pushed 10ft; Crit Fail - pushed 20ft.</t>
  </si>
  <si>
    <t>You unlease a mighty wave that buffets back your foes. Each creature in the area makes a save. If a creature pushed by this wave would be pushed into a solid barrier or another creature, it stops and takes 7d6 damage. Success - unaffected; Fail - pushed 10ft; Crit Fail - pushed 20ft.</t>
  </si>
  <si>
    <t>You unlease a mighty wave that buffets back your foes. Each creature in the area makes a save. If a creature pushed by this wave would be pushed into a solid barrier or another creature, it stops and takes 8d6 damage. Success - unaffected; Fail - pushed 10ft; Crit Fail - pushed 20ft.</t>
  </si>
  <si>
    <t>You unlease a mighty wave that buffets back your foes. Each creature in the area makes a save. If a creature pushed by this wave would be pushed into a solid barrier or another creature, it stops and takes 9d6 damage. Success - unaffected; Fail - pushed 10ft; Crit Fail - pushed 20ft.</t>
  </si>
  <si>
    <t>You unlease a mighty wave that buffets back your foes. Each creature in the area makes a save. If a creature pushed by this wave would be pushed into a solid barrier or another creature, it stops and takes 10d6 damage. Success - unaffected; Fail - pushed 10ft; Crit Fail - pushed 20ft.</t>
  </si>
  <si>
    <t>Unfolding Wind Rush</t>
  </si>
  <si>
    <t>You travel on the wind. Move two times, of your choice of strides or steps. You can move into the air during this movement, moving upwards upto a 45-degree angle. If your movement ends in the air you fall after taking one action or ending your turn. A Wall of Wind appears in all spaces you left during this movement, and last for 1 round.</t>
  </si>
  <si>
    <t>You travel on the wind. Move two times, of your choice of strides or steps. You can move into the air during this movement, moving upwards upto a 45-degree angle. If your movement ends in the air you fall after taking one action or ending your turn. A Wall of Wind appears in all spaces you left during this movement, and last for 3 rounds.</t>
  </si>
  <si>
    <t>Untwisting Iron Buffer</t>
  </si>
  <si>
    <t>You send currents of protective ki to the surface of your body that protect you from harm, at least until your enemies dissipate them. You gain 15 temporary Hit Points, which last for up to 3 rounds.</t>
  </si>
  <si>
    <t>You send currents of protective ki to the surface of your body that protect you from harm, at least until your enemies dissipate them. You gain 20 temporary Hit Points, which last for up to 3 rounds.</t>
  </si>
  <si>
    <t>You send currents of protective ki to the surface of your body that protect you from harm, at least until your enemies dissipate them. You gain 25 temporary Hit Points, which last for up to 3 rounds.</t>
  </si>
  <si>
    <t>You send currents of protective ki to the surface of your body that protect you from harm, at least until your enemies dissipate them. You gain 30 temporary Hit Points, which last for up to 3 rounds.</t>
  </si>
  <si>
    <t>You send currents of protective ki to the surface of your body that protect you from harm, at least until your enemies dissipate them. You gain 35 temporary Hit Points, which last for up to 3 rounds.</t>
  </si>
  <si>
    <t>You send currents of protective ki to the surface of your body that protect you from harm, at least until your enemies dissipate them. You gain 40 temporary Hit Points, which last for up to 3 rounds.</t>
  </si>
  <si>
    <t>You send currents of protective ki to the surface of your body that protect you from harm, at least until your enemies dissipate them. You gain 45 temporary Hit Points, which last for up to 3 rounds.</t>
  </si>
  <si>
    <t>You send currents of protective ki to the surface of your body that protect you from harm, at least until your enemies dissipate them. You gain 50 temporary Hit Points, which last for up to 3 rounds.</t>
  </si>
  <si>
    <t>Whirling Flames</t>
  </si>
  <si>
    <t>You call forth 2 storms of whirling flames, engulfing all creatures in that area and dealing 5d6 fire damage with a basic Reflex save.</t>
  </si>
  <si>
    <t>You call forth 3 storms of whirling flames, engulfing all creatures in that area and dealing 8d6 fire damage with a basic Reflex save.</t>
  </si>
  <si>
    <t>You call forth 4 storms of whirling flames, engulfing all creatures in that area and dealing 11d6 fire damage with a basic Reflex save.</t>
  </si>
  <si>
    <t>You call forth 5 storms of whirling flames, engulfing all creatures in that area and dealing 14d6 fire damage with a basic Reflex save.</t>
  </si>
  <si>
    <t>Abundant Step</t>
  </si>
  <si>
    <t>You move so fast you blur across planar boundaries. You teleport up to a distance equal to your Speed within your line of sight, minimum of 15ft.</t>
  </si>
  <si>
    <t>Achaekek's Clutch</t>
  </si>
  <si>
    <t>You mark the holy symbol of Achaekek in a visible location on the target's body. Success - For the next minute, the first time each round the target gains persistant bleed damage, they immeadately take that amount of slashing damage; Fail - as success, but unlimited duration; Crit Fail - As failure, but the flat check DC to remove persistant bleed increases to 20 (15 with assistance).</t>
  </si>
  <si>
    <t>Adaptive Ablation</t>
  </si>
  <si>
    <t>After taking acid, cold, electric, fire, or sonic damage you shift yourself to adapt the wavelength of energy. You gain resistance 5 to the triggering energy type after the triggering damage. Appling to only future damage you take.</t>
  </si>
  <si>
    <t>After taking acid, cold, electric, fire, or sonic damage you shift yourself to adapt the wavelength of energy. You gain resistance 10 to the triggering energy type after the triggering damage. Appling to only future damage you take.</t>
  </si>
  <si>
    <t>After taking acid, cold, electric, fire, or sonic damage you shift yourself to adapt the wavelength of energy. You gain resistance 15 to the triggering energy type after the triggering damage. Appling to only future damage you take.</t>
  </si>
  <si>
    <t>After taking acid, cold, electric, fire, or sonic damage you shift yourself to adapt the wavelength of energy. You gain resistance 20 to the triggering energy type after the triggering damage. Appling to only future damage you take.</t>
  </si>
  <si>
    <t>Artistic Flourish</t>
  </si>
  <si>
    <t>You transform one object or work of art that fits entirely within range to match your artistical vison. If you are an expert in crafting, the item grants a +1 bonus to attacks if its a weapon, or to skill checks if its a tool. The target is impressive but obviously temporary so doesnt change value.</t>
  </si>
  <si>
    <t>You transform one object or work of art that fits entirely within range to match your artistical vison. If you are an master in crafting, the item grants a +2 bonus to attacks if its a weapon, or to skill checks if its a tool. The target is impressive but obviously temporary so doesnt change value.</t>
  </si>
  <si>
    <t>You transform one object or work of art that fits entirely within range to match your artistical vison. If you are an legendary in crafting, the item grants a +3 bonus to attacks if its a weapon, or to skill checks if its a tool. The target is impressive but obviously temporary so doesnt change value.</t>
  </si>
  <si>
    <t>Asterism</t>
  </si>
  <si>
    <t>150ft</t>
  </si>
  <si>
    <t>Lines of burning starlight form a constellation from you. Draw 5 lines upto 30ft long, starting at you and connecting to another object or creature, and extending out as you please, connecting more targets. Once per turn when a creature starts its turn on a line, or passes over one it takes 4d6 fire damage (basic Reflex). Those in the constellation are immune. Any line over 30ft snaps and destroys any other line not connected to you.</t>
  </si>
  <si>
    <t>Lines of burning starlight form a constellation from you. Draw 5 lines upto 30ft long, starting at you and connecting to another object or creature, and extending out as you please, connecting more targets. Once per turn when a creature starts its turn on a line, or passes over one it takes 5d6 fire damage (basic Reflex). Those in the constellation are immune. Any line over 30ft snaps and destroys any other line not connected to you.</t>
  </si>
  <si>
    <t>Lines of burning starlight form a constellation from you. Draw 5 lines upto 30ft long, starting at you and connecting to another object or creature, and extending out as you please, connecting more targets. Once per turn when a creature starts its turn on a line, or passes over one it takes 6d6 fire damage (basic Reflex). Those in the constellation are immune. Any line over 30ft snaps and destroys any other line not connected to you.</t>
  </si>
  <si>
    <t>Lines of burning starlight form a constellation from you. Draw 5 lines upto 30ft long, starting at you and connecting to another object or creature, and extending out as you please, connecting more targets. Once per turn when a creature starts its turn on a line, or passes over one it takes 7d6 fire damage (basic Reflex). Those in the constellation are immune. Any line over 30ft snaps and destroys any other line not connected to you.</t>
  </si>
  <si>
    <t>Lines of burning starlight form a constellation from you. Draw 5 lines upto 30ft long, starting at you and connecting to another object or creature, and extending out as you please, connecting more targets. Once per turn when a creature starts its turn on a line, or passes over one it takes 8d6 fire damage (basic Reflex). Those in the constellation are immune. Any line over 30ft snaps and destroys any other line not connected to you.</t>
  </si>
  <si>
    <t>Lines of burning starlight form a constellation from you. Draw 5 lines upto 30ft long, starting at you and connecting to another object or creature, and extending out as you please, connecting more targets. Once per turn when a creature starts its turn on a line, or passes over one it takes 9d6 fire damage (basic Reflex). Those in the constellation are immune. Any line over 30ft snaps and destroys any other line not connected to you.</t>
  </si>
  <si>
    <t>Lines of burning starlight form a constellation from you. Draw 5 lines upto 30ft long, starting at you and connecting to another object or creature, and extending out as you please, connecting more targets. Once per turn when a creature starts its turn on a line, or passes over one it takes 10d6 fire damage (basic Reflex). Those in the constellation are immune. Any line over 30ft snaps and destroys any other line not connected to you.</t>
  </si>
  <si>
    <t>Bottle the Storm</t>
  </si>
  <si>
    <t>When you take electricity damage you store it safely inside yourself for later use. You gain resistance 10 to electric damage against the triggering effect. You can make a spell attack as an action during the duration against a creature within 60ft (including melee), dealing damage equal to the damage you prevented with this spell previously. Casting this spell again causes the charge to dissipate.</t>
  </si>
  <si>
    <t>When you take electricity damage you store it safely inside yourself for later use. You gain resistance 15 to electric damage against the triggering effect. You can make a spell attack as an action (or apart of casting) during the duration against a creature within 60ft (including melee), dealing damage equal to the damage you prevented with this spell previously. Casting this spell again causes the charge to dissipate.</t>
  </si>
  <si>
    <t>When you take electricity damage you store it safely inside yourself for later use. You gain resistance 20 to electric damage against the triggering effect. You can make a spell attack as an action (or apart of casting) during the duration against a creature within 60ft (including melee), dealing damage equal to the damage you prevented with this spell previously. Casting this spell again causes the charge to dissipate.</t>
  </si>
  <si>
    <t>Captivating Adoration</t>
  </si>
  <si>
    <t>You become entrancing, catching the eye of those within 15ft. You can choose creatures to exclude. When a creature enters the area for the first time it makes a save, using the same save when reentering. Crit Success - immune 1 hour; Success - fasinated with you for its next action, then immune 1 hour; Fail - fascinated with you; Crit Fail - fascinated with you, improving its attitude towards you by 1 step.</t>
  </si>
  <si>
    <t>You become entrancing, catching the eye of those within 30ft. You can choose creatures to exclude. When a creature enters the area for the first time it makes a save, using the same save when reentering. Crit Success - immune 1 hour; Success - fasinated with you for its next action, then immune 1 hour; Fail - fascinated with you; Crit Fail - fascinated with you, improving its attitude towards you by 1 step.</t>
  </si>
  <si>
    <t>You become entrancing, catching the eye of those within 45ft. You can choose creatures to exclude. When a creature enters the area for the first time it makes a save, using the same save when reentering. Crit Success - immune 1 hour; Success - fasinated with you for its next action, then immune 1 hour; Fail - fascinated with you; Crit Fail - fascinated with you, improving its attitude towards you by 1 step.</t>
  </si>
  <si>
    <t>You become entrancing, catching the eye of those within 60ft. You can choose creatures to exclude. When a creature enters the area for the first time it makes a save, using the same save when reentering. Crit Success - immune 1 hour; Success - fasinated with you for its next action, then immune 1 hour; Fail - fascinated with you; Crit Fail - fascinated with you, improving its attitude towards you by 1 step.</t>
  </si>
  <si>
    <t>You become entrancing, catching the eye of those within 75ft. You can choose creatures to exclude. When a creature enters the area for the first time it makes a save, using the same save when reentering. Crit Success - immune 1 hour; Success - fasinated with you for its next action, then immune 1 hour; Fail - fascinated with you; Crit Fail - fascinated with you, improving its attitude towards you by 1 step.</t>
  </si>
  <si>
    <t>You become entrancing, catching the eye of those within 90ft. You can choose creatures to exclude. When a creature enters the area for the first time it makes a save, using the same save when reentering. Crit Success - immune 1 hour; Success - fasinated with you for its next action, then immune 1 hour; Fail - fascinated with you; Crit Fail - fascinated with you, improving its attitude towards you by 1 step.</t>
  </si>
  <si>
    <t>You become entrancing, catching the eye of those within 105ft. You can choose creatures to exclude. When a creature enters the area for the first time it makes a save, using the same save when reentering. Crit Success - immune 1 hour; Success - fasinated with you for its next action, then immune 1 hour; Fail - fascinated with you; Crit Fail - fascinated with you, improving its attitude towards you by 1 step.</t>
  </si>
  <si>
    <t>Clinging Shadows Stance</t>
  </si>
  <si>
    <t>You adopt the stance of clinging shadows until you leave the stance. You can make shadow grasp Strikes. These deal 1d4 negative damage; are in the brawling group; and have the agile, grapple, reach, and unarmed traits. While in clinging shadows stance, you gain a +2 circumstance bonus to Athletics checks to Grapple, and to the DC for creatures to Escape from you.</t>
  </si>
  <si>
    <t>Commanding Lash</t>
  </si>
  <si>
    <t>If your last action was used to deal damage you can threaten that creature with more pain, compelling them. You issue a command to the target, with the effects of the spell command: simple command it must follow (cant delay or use reactions until then), on fail uses its first action; on crit fail uses all its actions of its next turn.</t>
  </si>
  <si>
    <t>Competitive Edge</t>
  </si>
  <si>
    <t>Your competitiveness drives you to prove yourself. You gain a +1 status bonus to attack rolls and skill checks. If an enemy within 20ft critically succeeds an attack or skill check, your status bonus becomes +3 for the same check for the next round.</t>
  </si>
  <si>
    <t>Your competitiveness drives you to prove yourself. You gain a +2 status bonus to attack rolls and skill checks. If an enemy within 20ft critically succeeds an attack or skill check, your status bonus becomes +4 for the same check for the next round.</t>
  </si>
  <si>
    <t>Confront Selves</t>
  </si>
  <si>
    <t>You show the target the spiraling web of actions and consequences in their life, swirling around them like broken pottery. Each time you sustain this spell the target faces an alternate permutation of themselves, witnessing different paths in life, dealing 2d6 mental damage. The target is encumbered. On a critical success the spell ends.</t>
  </si>
  <si>
    <t>You show the target the spiraling web of actions and consequences in their life, swirling around them like broken pottery. Each time you sustain this spell the target faces an alternate permutation of themselves, witnessing different paths in life, dealing 3d6 mental damage. The target is encumbered. On a critical success the spell ends.</t>
  </si>
  <si>
    <t>You show the target the spiraling web of actions and consequences in their life, swirling around them like broken pottery. Each time you sustain this spell the target faces an alternate permutation of themselves, witnessing different paths in life, dealing 4d6 mental damage. The target is encumbered. On a critical success the spell ends.</t>
  </si>
  <si>
    <t>You show the target the spiraling web of actions and consequences in their life, swirling around them like broken pottery. Each time you sustain this spell the target faces an alternate permutation of themselves, witnessing different paths in life, dealing 5d6 mental damage. The target is encumbered. On a critical success the spell ends.</t>
  </si>
  <si>
    <t>You show the target the spiraling web of actions and consequences in their life, swirling around them like broken pottery. Each time you sustain this spell the target faces an alternate permutation of themselves, witnessing different paths in life, dealing 6d6 mental damage. The target is encumbered. On a critical success the spell ends.</t>
  </si>
  <si>
    <t>You show the target the spiraling web of actions and consequences in their life, swirling around them like broken pottery. Each time you sustain this spell the target faces an alternate permutation of themselves, witnessing different paths in life, dealing 7d6 mental damage. The target is encumbered. On a critical success the spell ends.</t>
  </si>
  <si>
    <t>You show the target the spiraling web of actions and consequences in their life, swirling around them like broken pottery. Each time you sustain this spell the target faces an alternate permutation of themselves, witnessing different paths in life, dealing 8d6 mental damage. The target is encumbered. On a critical success the spell ends.</t>
  </si>
  <si>
    <t>Darkened Eyes</t>
  </si>
  <si>
    <t>You infuse the target's eyes with darkness. Afterwhich target becomes immune for 24 hours. Success - target's darkvision or low-light vision is suppressed for 1 round; Fail - As success, but the duration is 1 min; Crit Fail - As failure, but the target is also blinded for the duration. It can attempt a new save at the end of each of its turns to end the blindness, but not the vision suppression.</t>
  </si>
  <si>
    <t>Debilitating Dichotomy</t>
  </si>
  <si>
    <t>You reveal a glimpse of the impossible conflicts between the divine anathema behind your curse, forcing you to reckon with another's conflicts as well. You and the target each take 9d6 mental damage with a basic Will save, and the target is stunned 1 if it critically fails its save. You get a degree of success one better than you rolled for your saving throw.</t>
  </si>
  <si>
    <t>You reveal a glimpse of the impossible conflicts between the divine anathema behind your curse, forcing you to reckon with another's conflicts as well. You and the target each take 12d6 mental damage with a basic Will save, and the target is stunned 1 if it critically fails its save. You get a degree of success one better than you rolled for your saving throw.</t>
  </si>
  <si>
    <t>You reveal a glimpse of the impossible conflicts between the divine anathema behind your curse, forcing you to reckon with another's conflicts as well. You and the target each take 15d6 mental damage with a basic Will save, and the target is stunned 1 if it critically fails its save. You get a degree of success one better than you rolled for your saving throw.</t>
  </si>
  <si>
    <t>You reveal a glimpse of the impossible conflicts between the divine anathema behind your curse, forcing you to reckon with another's conflicts as well. You and the target each take 18d6 mental damage with a basic Will save, and the target is stunned 1 if it critically fails its save. You get a degree of success one better than you rolled for your saving throw.</t>
  </si>
  <si>
    <t>You reveal a glimpse of the impossible conflicts between the divine anathema behind your curse, forcing you to reckon with another's conflicts as well. You and the target each take 21d6 mental damage with a basic Will save, and the target is stunned 1 if it critically fails its save. You get a degree of success one better than you rolled for your saving throw.</t>
  </si>
  <si>
    <t>You reveal a glimpse of the impossible conflicts between the divine anathema behind your curse, forcing you to reckon with another's conflicts as well. You and the target each take 24d6 mental damage with a basic Will save, and the target is stunned 1 if it critically fails its save. You get a degree of success one better than you rolled for your saving throw.</t>
  </si>
  <si>
    <t>You reveal a glimpse of the impossible conflicts between the divine anathema behind your curse, forcing you to reckon with another's conflicts as well. You and the target each take 27d6 mental damage with a basic Will save, and the target is stunned 1 if it critically fails its save. You get a degree of success one better than you rolled for your saving throw.</t>
  </si>
  <si>
    <t>Delusional Pride</t>
  </si>
  <si>
    <t>Target becomes so overconfident it ascribes any failure to external factors. For each failed attack roll or skill check, the target takes a accumalative -1 status penalty to further attack rolls and skill checks during its turn. Immune to this spell for 24 hours. Success - duration 1 round; Fail - duration 10 min; Crit Fail - duration 24 hours.</t>
  </si>
  <si>
    <t>Destructive Aura</t>
  </si>
  <si>
    <t>Swirling sands of divine devastation surround you, weakening the defenses of all they touch. Reduce the resistances of yourself and creatures in the area by 2.</t>
  </si>
  <si>
    <t>Swirling sands of divine devastation surround you, weakening the defenses of all they touch. Reduce the resistances of yourself and creatures in the area by 4.</t>
  </si>
  <si>
    <t>Swirling sands of divine devastation surround you, weakening the defenses of all they touch. Reduce the resistances of yourself and creatures in the area by 6.</t>
  </si>
  <si>
    <t>Swirling sands of divine devastation surround you, weakening the defenses of all they touch. Reduce the resistances of yourself and creatures in the area by 8.</t>
  </si>
  <si>
    <t>Diamond Dust</t>
  </si>
  <si>
    <t>By supercooling the nearby air, a cloud of dancing ice crystals form. Creatures other than you that enter the area or ends its turn there take 2d6 cold damage once per turn. The crystals scatter light, giving creatures in the area a +2 status bonus to AC against light effects. You can activate and deactivate the aura as an action.</t>
  </si>
  <si>
    <t>By supercooling the nearby air, a cloud of dancing ice crystals form. Creatures other than you that enter the area or ends its turn there take 3d6 cold damage once per turn. The crystals scatter light, giving creatures in the area a +2 status bonus to AC against light effects. You can activate and deactivate the aura as an action.</t>
  </si>
  <si>
    <t>By supercooling the nearby air, a cloud of dancing ice crystals form. Creatures other than you that enter the area or ends its turn there take 4d6 cold damage once per turn. The crystals scatter light, giving creatures in the area a +2 status bonus to AC against light effects. You can activate and deactivate the aura as an action.</t>
  </si>
  <si>
    <t>By supercooling the nearby air, a cloud of dancing ice crystals form. Creatures other than you that enter the area or ends its turn there take 5d6 cold damage once per turn. The crystals scatter light, giving creatures in the area a +2 status bonus to AC against light effects. You can activate and deactivate the aura as an action.</t>
  </si>
  <si>
    <t>Dimensional Steps</t>
  </si>
  <si>
    <t>You teleport to a location up to 20 feet away within your line of sight.</t>
  </si>
  <si>
    <t>You teleport to a location up to 25 feet away within your line of sight.</t>
  </si>
  <si>
    <t>You teleport to a location up to 30 feet away within your line of sight.</t>
  </si>
  <si>
    <t>You teleport to a location up to 35 feet away within your line of sight.</t>
  </si>
  <si>
    <t>You teleport to a location up to 40 feet away within your line of sight.</t>
  </si>
  <si>
    <t>You teleport to a location up to 45 feet away within your line of sight.</t>
  </si>
  <si>
    <t>You teleport to a location up to 50 feet away within your line of sight.</t>
  </si>
  <si>
    <t>Disperse into Air</t>
  </si>
  <si>
    <t>After taking damage from an enemy or hazard you transform into air. Until the end of the current turn you cant be attacked, targeted, take up space, cant act, and any auras or emantions are supprssed. At the end of the turn you can reform within 15ft of where you were dispersed. Auras and emeantion are restored as long as they still have duration remaining.</t>
  </si>
  <si>
    <t>Door to Beyond</t>
  </si>
  <si>
    <t>Striking the air you create hairline cracks in an unoccupied space that lead outside of reality. Sucking air in, pulling in light objects and upto Large creatures that must make a save at the start of their turn. Cracks are too thin for anything to pass through, but creatures ending their turn in the space take 4d6 slashing damage from decompression. You are immune. Fail - pulled 10ft; Crit Fail - pulled 20ft.</t>
  </si>
  <si>
    <t>Striking the air you create hairline cracks in an unoccupied space that lead outside of reality. Sucking air in, pulling in light objects and upto Large creatures that must make a save at the start of their turn. Cracks are too thin for anything to pass through, but creatures ending their turn in the space take 5d6 slashing damage from decompression. You are immune. Fail - pulled 10ft; Crit Fail - pulled 20ft.</t>
  </si>
  <si>
    <t>Striking the air you create hairline cracks in an unoccupied space that lead outside of reality. Sucking air in, pulling in light objects and upto Large creatures that must make a save at the start of their turn. Cracks are too thin for anything to pass through, but creatures ending their turn in the space take 6d6 slashing damage from decompression. You are immune. Fail - pulled 10ft; Crit Fail - pulled 20ft.</t>
  </si>
  <si>
    <t>Striking the air you create hairline cracks in an unoccupied space that lead outside of reality. Sucking air in, pulling in light objects and upto Large creatures that must make a save at the start of their turn. Cracks are too thin for anything to pass through, but creatures ending their turn in the space take 7d6 slashing damage from decompression. You are immune. Fail - pulled 10ft; Crit Fail - pulled 20ft.</t>
  </si>
  <si>
    <t>Striking the air you create hairline cracks in an unoccupied space that lead outside of reality. Sucking air in, pulling in light objects and upto Large creatures that must make a save at the start of their turn. Cracks are too thin for anything to pass through, but creatures ending their turn in the space take 8d6 slashing damage from decompression. You are immune. Fail - pulled 10ft; Crit Fail - pulled 20ft.</t>
  </si>
  <si>
    <t>Striking the air you create hairline cracks in an unoccupied space that lead outside of reality. Sucking air in, pulling in light objects and upto Large creatures that must make a save at the start of their turn. Cracks are too thin for anything to pass through, but creatures ending their turn in the space take 9d6 slashing damage from decompression. You are immune. Fail - pulled 10ft; Crit Fail - pulled 20ft.</t>
  </si>
  <si>
    <t>Striking the air you create hairline cracks in an unoccupied space that lead outside of reality. Sucking air in, pulling in light objects and upto Large creatures that must make a save at the start of their turn. Cracks are too thin for anything to pass through, but creatures ending their turn in the space take 10d6 slashing damage from decompression. You are immune. Fail - pulled 10ft; Crit Fail - pulled 20ft.</t>
  </si>
  <si>
    <t>Downpour</t>
  </si>
  <si>
    <t>Calling forth a torrential downpour, extinguishing nonmagical flames. Creatures in the area re concealed and gain resistance 10. Creatures outside the area are concealed from those inside the area. Creatures with weakness to water that end their turn in the area take damage equal to their weakness.</t>
  </si>
  <si>
    <t>Calling forth a torrential downpour, extinguishing nonmagical flames. Creatures in the area re concealed and gain resistance 12. Creatures outside the area are concealed from those inside the area. Creatures with weakness to water that end their turn in the area take damage equal to their weakness.</t>
  </si>
  <si>
    <t>Calling forth a torrential downpour, extinguishing nonmagical flames. Creatures in the area re concealed and gain resistance 14. Creatures outside the area are concealed from those inside the area. Creatures with weakness to water that end their turn in the area take damage equal to their weakness.</t>
  </si>
  <si>
    <t>Calling forth a torrential downpour, extinguishing nonmagical flames. Creatures in the area re concealed and gain resistance 16. Creatures outside the area are concealed from those inside the area. Creatures with weakness to water that end their turn in the area take damage equal to their weakness.</t>
  </si>
  <si>
    <t>Calling forth a torrential downpour, extinguishing nonmagical flames. Creatures in the area re concealed and gain resistance 18. Creatures outside the area are concealed from those inside the area. Creatures with weakness to water that end their turn in the area take damage equal to their weakness.</t>
  </si>
  <si>
    <t>Calling forth a torrential downpour, extinguishing nonmagical flames. Creatures in the area re concealed and gain resistance 20. Creatures outside the area are concealed from those inside the area. Creatures with weakness to water that end their turn in the area take damage equal to their weakness.</t>
  </si>
  <si>
    <t>Calling forth a torrential downpour, extinguishing nonmagical flames. Creatures in the area re concealed and gain resistance 22. Creatures outside the area are concealed from those inside the area. Creatures with weakness to water that end their turn in the area take damage equal to their weakness.</t>
  </si>
  <si>
    <t>Dread Aura</t>
  </si>
  <si>
    <t>You emit an aura of terror. Foes in the area are frightened 1 and unable to reduce the condition.</t>
  </si>
  <si>
    <t>Dreamer's Call</t>
  </si>
  <si>
    <t>The target becomes distracted, inundated with vivid daydreams. Success - Target is flat-footed and fascinated; Fail - as success, but you appear in the target's dream to give them a suggestion to follow using their next action (approach, flee, release held object, drop prone, or stand); Crit Fail - as fail, but target follows suggestion using its entire turn.</t>
  </si>
  <si>
    <t>Dust Storm</t>
  </si>
  <si>
    <t>You call forth a storm of dust, obscuring vision in the area. The dust is unbreathable, so creatures must hold their breath (5+[con mod] rounds, lose 2 when attacking or casting spell). Wearing a scarf increases breath by 5 rounds. Entering or starting turn in the area deals 1d6 slasing damage. Creatures made of water take double damage.</t>
  </si>
  <si>
    <t>You call forth a storm of dust, obscuring vision in the area. The dust is unbreathable, so creatures must hold their breath (5+[con mod] rounds, lose 2 when attacking or casting spell). Wearing a scarf increases breath by 5 rounds. Entering or starting turn in the area deals 2d6 slasing damage. Creatures made of water take double damage.</t>
  </si>
  <si>
    <t>You call forth a storm of dust, obscuring vision in the area. The dust is unbreathable, so creatures must hold their breath (5+[con mod] rounds, lose 2 when attacking or casting spell). Wearing a scarf increases breath by 5 rounds. Entering or starting turn in the area deals 3d6 slasing damage. Creatures made of water take double damage.</t>
  </si>
  <si>
    <t>You call forth a storm of dust, obscuring vision in the area. The dust is unbreathable, so creatures must hold their breath (5+[con mod] rounds, lose 2 when attacking or casting spell). Wearing a scarf increases breath by 5 rounds. Entering or starting turn in the area deals 4d6 slasing damage. Creatures made of water take double damage.</t>
  </si>
  <si>
    <t>Dutiful Challenge</t>
  </si>
  <si>
    <t>You challenge an enemy, forcing its attention on you. The target takes a -1 status penalty to attack rolls, damage, and skill checks against creatures other than you. You take the same penalty when not facing your target. Each time a creature uses a hostile action against the target, they can make a new Will save, ending the effect on a success.</t>
  </si>
  <si>
    <t>You challenge an enemy, forcing its attention on you. The target takes a -2 status penalty to attack rolls, damage, and skill checks against creatures other than you. You take the same penalty when not facing your target. Each time a creature uses a hostile action against the target, they can make a new Will save, ending the effect on a success.</t>
  </si>
  <si>
    <t>You challenge an enemy, forcing its attention on you. The target takes a -3 status penalty to attack rolls, damage, and skill checks against creatures other than you. You take the same penalty when not facing your target. Each time a creature uses a hostile action against the target, they can make a new Will save, ending the effect on a success.</t>
  </si>
  <si>
    <t>Ectoplasmic Interstice</t>
  </si>
  <si>
    <t>You force the Material and Ethereal Planes to overlap, causing incorporeal creatures and spirits to take semi corporeal form. Inside the area incorporeal creatures can not pass through solid objects or creatures, and they can attempt strength based checks. If the spirit has a strength scores it uses that, if its score is -5 it has +4 (for a +9). All weapons act like ghost touch in range.</t>
  </si>
  <si>
    <t>Elemental Tempest</t>
  </si>
  <si>
    <t>Your magic surrounds you in a storm of elemental energy. If your next action is to cast an evocation spell using a wizard spell slot that deals acid, cold, electric, or fire damage you create a 10ft emanation around you. Creatures in the area take 1d6 damage per lv of the spell you cast, and the same damage type. Combine both damages before apply resisatances and weaknesses for creatures affected by both.</t>
  </si>
  <si>
    <t>Enduring Might</t>
  </si>
  <si>
    <t>When an attack or effect would deal damage to you, you combine your own physical might with the divine power that protects you. You gain resistance equal to 8 + your Strength modifier against all damage from the triggering attack or effect.</t>
  </si>
  <si>
    <t>When an attack or effect would deal damage to you, you combine your own physical might with the divine power that protects you. You gain resistance equal to 10 + your Strength modifier against all damage from the triggering attack or effect.</t>
  </si>
  <si>
    <t>When an attack or effect would deal damage to you, you combine your own physical might with the divine power that protects you. You gain resistance equal to 12 + your Strength modifier against all damage from the triggering attack or effect.</t>
  </si>
  <si>
    <t>When an attack or effect would deal damage to you, you combine your own physical might with the divine power that protects you. You gain resistance equal to 14 + your Strength modifier against all damage from the triggering attack or effect.</t>
  </si>
  <si>
    <t>When an attack or effect would deal damage to you, you combine your own physical might with the divine power that protects you. You gain resistance equal to 16 + your Strength modifier against all damage from the triggering attack or effect.</t>
  </si>
  <si>
    <t>When an attack or effect would deal damage to you, you combine your own physical might with the divine power that protects you. You gain resistance equal to 18 + your Strength modifier against all damage from the triggering attack or effect.</t>
  </si>
  <si>
    <t>When an attack or effect would deal damage to you, you combine your own physical might with the divine power that protects you. You gain resistance equal to 20 + your Strength modifier against all damage from the triggering attack or effect.</t>
  </si>
  <si>
    <t>Energy Absorption</t>
  </si>
  <si>
    <t>When you would take elemental damage you gain resistance 15 to one of the following: acid, cold, electric, or fire. The resistance only applies to the triggering effect's inital damage.</t>
  </si>
  <si>
    <t>When you would take elemental damage you gain resistance 20 to one of the following: acid, cold, electric, or fire. The resistance only applies to the triggering effect's inital damage.</t>
  </si>
  <si>
    <t>When you would take elemental damage you gain resistance 25 to one of the following: acid, cold, electric, or fire. The resistance only applies to the triggering effect's inital damage.</t>
  </si>
  <si>
    <t>When you would take elemental damage you gain resistance 30 to one of the following: acid, cold, electric, or fire. The resistance only applies to the triggering effect's inital damage.</t>
  </si>
  <si>
    <t>When you would take elemental damage you gain resistance 35 to one of the following: acid, cold, electric, or fire. The resistance only applies to the triggering effect's inital damage.</t>
  </si>
  <si>
    <t>When you would take elemental damage you gain resistance 40 to one of the following: acid, cold, electric, or fire. The resistance only applies to the triggering effect's inital damage.</t>
  </si>
  <si>
    <t>When you would take elemental damage you gain resistance 45 to one of the following: acid, cold, electric, or fire. The resistance only applies to the triggering effect's inital damage.</t>
  </si>
  <si>
    <t>Enlarge Companion</t>
  </si>
  <si>
    <t>Your animal companion grows much larger, towering over its foes in battle. Your animal companion becomes Huge, gaining the effects of a 4th-level enlarge spell (+4 to melee damage, 10ft reach)</t>
  </si>
  <si>
    <t>Ephemeral Hazard</t>
  </si>
  <si>
    <t>You create 4 illusory hazards, each a 10ft square. The traps deal 4d6 mental damage (will save) once per turn when entering the area or starts a turn in one. Choose a physical or elemental damage to be the percieved damage type, which triggers res. and weak.. Crit Success - immune to the spell; Success - half damage, knows illusion, getting success on future saves; Fail - full damage, difficult terrain; Crit fail - double damage, can not pass.</t>
  </si>
  <si>
    <t>You create 4 illusory hazards, each a 10ft square. The traps deal 5d6 mental damage (will save) once per turn when entering the area or starts a turn in one. Choose a physical or elemental damage to be the percieved damage type, which triggers res. and weak.. Crit Success - immune to the spell; Success - half damage, knows illusion, getting success on future saves; Fail - full damage, difficult terrain; Crit fail - double damage, can not pass.</t>
  </si>
  <si>
    <t>You create 4 illusory hazards, each a 10ft square. The traps deal 6d6 mental damage (will save) once per turn when entering the area or starts a turn in one. Choose a physical or elemental damage to be the percieved damage type, which triggers res. and weak.. Crit Success - immune to the spell; Success - half damage, knows illusion, getting success on future saves; Fail - full damage, difficult terrain; Crit fail - double damage, can not pass.</t>
  </si>
  <si>
    <t>You create 4 illusory hazards, each a 10ft square. The traps deal 7d6 mental damage (will save) once per turn when entering the area or starts a turn in one. Choose a physical or elemental damage to be the percieved damage type, which triggers res. and weak.. Crit Success - immune to the spell; Success - half damage, knows illusion, getting success on future saves; Fail - full damage, difficult terrain; Crit fail - double damage, can not pass.</t>
  </si>
  <si>
    <t>You create 4 illusory hazards, each a 10ft square. The traps deal 8d6 mental damage (will save) once per turn when entering the area or starts a turn in one. Choose a physical or elemental damage to be the percieved damage type, which triggers res. and weak.. Crit Success - immune to the spell; Success - half damage, knows illusion, getting success on future saves; Fail - full damage, difficult terrain; Crit fail - double damage, can not pass.</t>
  </si>
  <si>
    <t>You create 4 illusory hazards, each a 10ft square. The traps deal 9d6 mental damage (will save) once per turn when entering the area or starts a turn in one. Choose a physical or elemental damage to be the percieved damage type, which triggers res. and weak.. Crit Success - immune to the spell; Success - half damage, knows illusion, getting success on future saves; Fail - full damage, difficult terrain; Crit fail - double damage, can not pass.</t>
  </si>
  <si>
    <t>You create 4 illusory hazards, each a 10ft square. The traps deal 10d6 mental damage (will save) once per turn when entering the area or starts a turn in one. Choose a physical or elemental damage to be the percieved damage type, which triggers res. and weak.. Crit Success - immune to the spell; Success - half damage, knows illusion, getting success on future saves; Fail - full damage, difficult terrain; Crit fail - double damage, can not pass.</t>
  </si>
  <si>
    <t>Eradicate Undeath</t>
  </si>
  <si>
    <t>A massive deluge of life energy causes the undead to fall apart. Each undead creature in the area takes 4d12 positive damage.</t>
  </si>
  <si>
    <t>A massive deluge of life energy causes the undead to fall apart. Each undead creature in the area takes 5d12 positive damage.</t>
  </si>
  <si>
    <t>A massive deluge of life energy causes the undead to fall apart. Each undead creature in the area takes 6d12 positive damage.</t>
  </si>
  <si>
    <t>A massive deluge of life energy causes the undead to fall apart. Each undead creature in the area takes 7d12 positive damage.</t>
  </si>
  <si>
    <t>A massive deluge of life energy causes the undead to fall apart. Each undead creature in the area takes 8d12 positive damage.</t>
  </si>
  <si>
    <t>A massive deluge of life energy causes the undead to fall apart. Each undead creature in the area takes 9d12 positive damage.</t>
  </si>
  <si>
    <t>A massive deluge of life energy causes the undead to fall apart. Each undead creature in the area takes 10d12 positive damage.</t>
  </si>
  <si>
    <t>Euphoric Renewal</t>
  </si>
  <si>
    <t>You dance on the knife's edge between death. Each time you gain the dying condition, then regain conciousness you gain the following 3 benefits: you are quickened on your next turn. You can only use this action to stand; +1 circumstance bonus to saves for 1 min; 8 temp hp for 1 min.</t>
  </si>
  <si>
    <t>You dance on the knife's edge between death. Each time you gain the dying condition, then regain conciousness you gain the following 3 benefits: you are quickened on your next turn. You can only use this action to stand; +1 circumstance bonus to saves for 1 min; 10 temp hp for 1 min.</t>
  </si>
  <si>
    <t>You dance on the knife's edge between death. Each time you gain the dying condition, then regain conciousness you gain the following 3 benefits: you are quickened on your next turn. You can only use this action to stand; +1 circumstance bonus to saves for 1 min; 12 temp hp for 1 min.</t>
  </si>
  <si>
    <t>You dance on the knife's edge between death. Each time you gain the dying condition, then regain conciousness you gain the following 3 benefits: you are quickened on your next turn. You can only use this action to stand; +1 circumstance bonus to saves for 1 min; 14 temp hp for 1 min.</t>
  </si>
  <si>
    <t>You dance on the knife's edge between death. Each time you gain the dying condition, then regain conciousness you gain the following 3 benefits: you are quickened on your next turn. You can only use this action to stand; +1 circumstance bonus to saves for 1 min; 16 temp hp for 1 min.</t>
  </si>
  <si>
    <t>You dance on the knife's edge between death. Each time you gain the dying condition, then regain conciousness you gain the following 3 benefits: you are quickened on your next turn. You can only use this action to stand; +1 circumstance bonus to saves for 1 min; 18 temp hp for 1 min.</t>
  </si>
  <si>
    <t>You dance on the knife's edge between death. Each time you gain the dying condition, then regain conciousness you gain the following 3 benefits: you are quickened on your next turn. You can only use this action to stand; +1 circumstance bonus to saves for 1 min; 20 temp hp for 1 min.</t>
  </si>
  <si>
    <t>Fallow Field</t>
  </si>
  <si>
    <t>A sickly yellow light fills the area, preventing healing. When a creature within the area would regain Hit Points, it must attempt a save. Crit Success - regains full HP, immune for 1 min; Success - regains full HP; Fail - regains half hp; Crit Fail - does not regain any HP.</t>
  </si>
  <si>
    <t>Familiar Form</t>
  </si>
  <si>
    <t>You transform into a tiny animal common for familiars, gaining the effects of Pest Form, but only turning into bat, cat, raven, snake, or simular spellcaster's familiar. You retain a mild ability of spellcasting in this form, and can cast upto 1st lv spells as long as they dont have material components.</t>
  </si>
  <si>
    <t>For 10 mins you transform into a tiny animal common for familiars, gaining the effects of Pest Form, but only turning into bat, cat, raven, snake, or simular spellcaster's familiar. You retain a mild ability of spellcasting in this form, and can cast upto 2nd lv spells as long as they dont have material components.</t>
  </si>
  <si>
    <t>For 10 mins you transform into a tiny animal common for familiars, gaining the effects of Pest Form, but only turning into bat, cat, raven, snake, or simular spellcaster's familiar. You retain a mild ability of spellcasting in this form, and can cast upto 3rd lv spells as long as they dont have material components.</t>
  </si>
  <si>
    <t>Fearful Feast</t>
  </si>
  <si>
    <t>When a creature becomes frightened, you feast on its bravery and hope, stripping it down to its fragile emotions. You deal 6d4 mental damage. Success - half damage; Fail - full damage, you regain HP equal to damage taken; Crit Fail - double damage, frightened increases by 1 (to max of 4), regain HP equal to half damage taken.</t>
  </si>
  <si>
    <t>Flame Barrier</t>
  </si>
  <si>
    <t>When you or an ally would take fire damage, you deflect the flames. Target gains fire resistance 15 against the triggering effect.</t>
  </si>
  <si>
    <t>When you or an ally would take fire damage, you deflect the flames. Target gains fire resistance 20 against the triggering effect.</t>
  </si>
  <si>
    <t>When you or an ally would take fire damage, you deflect the flames. Target gains fire resistance 25 against the triggering effect.</t>
  </si>
  <si>
    <t>When you or an ally would take fire damage, you deflect the flames. Target gains fire resistance 30 against the triggering effect.</t>
  </si>
  <si>
    <t>Font of Serenity</t>
  </si>
  <si>
    <t>A divine beacon radiates serenity, soothing allies. Allies in the area gain a +1 status bonus to saving throws against emotion effects. An ally can touch the font as an interact action, and the spell attempts to counteract one emotion effect of the ally's choice. On success the spell is removed from the ally, if not the spell is immune for 1 day.</t>
  </si>
  <si>
    <t>A divine beacon radiates serenity, soothing allies. Allies in the area gain a +2 status bonus to saving throws against emotion effects. An ally can touch the font as an interact action, and the spell attempts to counteract one emotion effect of the ally's choice. On success the spell is removed from the ally, if not the spell is immune for 1 day.</t>
  </si>
  <si>
    <t>Foul Miasma</t>
  </si>
  <si>
    <t>You multiply the disease within a creature, drawing it out into an infectious mist. If the target is willing, it gets critical failure. Crit Success - successful save against lowest lv disease; Success - unaffected; Fail - 15ft emenation centered on target, random disease now affecting those who start or end their turn in the area; Crit Fail - as fail, except the miasma contains all diseases affecting the target.</t>
  </si>
  <si>
    <t>Ghostly Transcription</t>
  </si>
  <si>
    <t>Glowing letters assembling in the air, translating the target's speech into all languages you speak. You can choose if the words are visable to all or a select few. The subtitles even affect mouthed words, allowing for communication in silence. Verbal components to spells and audatory effects can apply to the words only if they can be seen by all.</t>
  </si>
  <si>
    <t>Glimpse the Truth</t>
  </si>
  <si>
    <t>Divine insight lets you see things as they truly are. The GM attempts a secret counteract check against each illusion at least partially in the area. On success instead of counteracting it, you see through it.</t>
  </si>
  <si>
    <t>Divine insight lets you see things as they truly are. The GM attempts a secret counteract check against each illusion at least partially in the area. On success  you see through the illusion and allow others to do so as well.</t>
  </si>
  <si>
    <t>Inevitable Destination</t>
  </si>
  <si>
    <t>You twist the paths pf the target, ensuring it leads to you. Success - your pull hampers the target's footsteps, resulting in -10ft circumstance penalty until end of next turn; Fail - Target can not move further away. If it leaves the area the spell ends. Can attempt escape DC to end effect; Crit Fail - as fail, target is pulled 10ft closer and falls prone.</t>
  </si>
  <si>
    <t>Inspire Heroics</t>
  </si>
  <si>
    <t>Calling upon your muse you greatly increase the benifits of your Inspire Courage or Inspire Defense composition. If the next action is to cast one of these spells, attempt a performance check at a very hard DC for the lv. Crit Success - status bonus increases to +3; Success - status bonus increases to +2; Fail - no change, doesnt use focus point.</t>
  </si>
  <si>
    <t>Invisibility Cloak</t>
  </si>
  <si>
    <t>You become invisible, with the same restrictions as the 2nd-level invisibility spell (undetected, ends if you use hostile action).</t>
  </si>
  <si>
    <t>You become invisible, with the same restrictions as the 2nd-level invisibility spell (undetected, ends if you use hostile action) for 10 minutes.</t>
  </si>
  <si>
    <t>You become invisible, with the same restrictions as the 2nd-level invisibility spell (undetected, ends if you use hostile action) for 1 hour.</t>
  </si>
  <si>
    <t>Isolation</t>
  </si>
  <si>
    <t>You summon a tangible manifestation of loneliness to cloak the target as if was wreathed in darkness. Success - invisible to allies only, can be seen by see invisibility, allies know the target is present; Fail - as success, except target becomes inaudible to allies and inperceptible to all senses.</t>
  </si>
  <si>
    <t>Know the Enemy</t>
  </si>
  <si>
    <t>Cast upon rolling iniative against a creature you can see, succeeding an attack, or creature fails a save. Use a Recall Knowledge action, rolling the appropriate skill check to identify the triggering creature's abilities. You can roll your check twice and use the better result.</t>
  </si>
  <si>
    <t>Life Siphon</t>
  </si>
  <si>
    <t xml:space="preserve">Upon expending a wizard spellslot to cast a necromancy spell you use some of the spell's magic to heal yourself, regaining 1d8 Hit Points per level of the spell. </t>
  </si>
  <si>
    <t>Localized Quake</t>
  </si>
  <si>
    <t>You shake the earth in a pattern you choose (15ft emantation, or 15ft cone), dealing 4d6 bludgeoning damage to each creature on the ground. Success - half damage; Fail - full damage, falls prone; Crit Fail - double damage, falls prone.</t>
  </si>
  <si>
    <t>You shake the earth in a pattern you choose (15ft emantation, or 15ft cone), dealing 6d6 bludgeoning damage to each creature on the ground. Success - half damage; Fail - full damage, falls prone; Crit Fail - double damage, falls prone.</t>
  </si>
  <si>
    <t>You shake the earth in a pattern you choose (15ft emantation, or 15ft cone), dealing 8d6 bludgeoning damage to each creature on the ground. Success - half damage; Fail - full damage, falls prone; Crit Fail - double damage, falls prone.</t>
  </si>
  <si>
    <t>You shake the earth in a pattern you choose (15ft emantation, or 15ft cone), dealing 10d6 bludgeoning damage to each creature on the ground. Success - half damage; Fail - full damage, falls prone; Crit Fail - double damage, falls prone.</t>
  </si>
  <si>
    <t>You shake the earth in a pattern you choose (15ft emantation, or 15ft cone), dealing 12d6 bludgeoning damage to each creature on the ground. Success - half damage; Fail - full damage, falls prone; Crit Fail - double damage, falls prone.</t>
  </si>
  <si>
    <t>You shake the earth in a pattern you choose (15ft emantation, or 15ft cone), dealing 14d6 bludgeoning damage to each creature on the ground. Success - half damage; Fail - full damage, falls prone; Crit Fail - double damage, falls prone.</t>
  </si>
  <si>
    <t>You shake the earth in a pattern you choose (15ft emantation, or 15ft cone), dealing 16d6 bludgeoning damage to each creature on the ground. Success - half damage; Fail - full damage, falls prone; Crit Fail - double damage, falls prone.</t>
  </si>
  <si>
    <t>Lucky Break</t>
  </si>
  <si>
    <t>Upon failing (but not critically failing) a saving throw, you reroll the saving throw and use the better result. You then become temporarily immune for 10 minutes.</t>
  </si>
  <si>
    <t>Malignant Sustenance</t>
  </si>
  <si>
    <t>1 willing undead</t>
  </si>
  <si>
    <t>You embed a seed of negative energy in an undead creature, restoring its unnatural vigor. The target gains fast healing 7. This healing comes from negative energy, so it heals the undead rather than damaging it.</t>
  </si>
  <si>
    <t>You embed a seed of negative energy in an undead creature, restoring its unnatural vigor. The target gains fast healing 9. This healing comes from negative energy, so it heals the undead rather than damaging it.</t>
  </si>
  <si>
    <t>You embed a seed of negative energy in an undead creature, restoring its unnatural vigor. The target gains fast healing 11. This healing comes from negative energy, so it heals the undead rather than damaging it.</t>
  </si>
  <si>
    <t>You embed a seed of negative energy in an undead creature, restoring its unnatural vigor. The target gains fast healing 13. This healing comes from negative energy, so it heals the undead rather than damaging it.</t>
  </si>
  <si>
    <t>You embed a seed of negative energy in an undead creature, restoring its unnatural vigor. The target gains fast healing 15. This healing comes from negative energy, so it heals the undead rather than damaging it.</t>
  </si>
  <si>
    <t>You embed a seed of negative energy in an undead creature, restoring its unnatural vigor. The target gains fast healing 17. This healing comes from negative energy, so it heals the undead rather than damaging it.</t>
  </si>
  <si>
    <t>You embed a seed of negative energy in an undead creature, restoring its unnatural vigor. The target gains fast healing 19. This healing comes from negative energy, so it heals the undead rather than damaging it.</t>
  </si>
  <si>
    <t>Mantis Form</t>
  </si>
  <si>
    <t>You become a mantis. You gain the effects of insect form, heightened to mantis form’s level, and you can only transform into a mantis. Large Mantis AC 18+[Lv], 15 temp hp, +16 attack (+6 damage), +16 athletics. Speed 40, imprecise scent 30ft, foreleg (2d8 bludgeoning, 10ft reach).</t>
  </si>
  <si>
    <t>You become a mantis. You gain the effects of insect form, heightened to mantis form’s level, and you can only transform into a mantis. Huge Mantis AC 18+[Lv], 20 temp hp, +18 attack (+2 damage), +20 athletics. Speed 40, imprecise scent 30ft, foreleg (4d8 bludgeoning, 15ft reach).</t>
  </si>
  <si>
    <t>Mystic Beacon</t>
  </si>
  <si>
    <t>The next damaging or healing spell the target casts before the start of your next turn deals damage or restores Hit Points as if the spell were heightened 1 level higher than its actual level. The spell otherwise functions at its actual level. Once the target casts the spell, mystic beacon ends.</t>
  </si>
  <si>
    <t>Nature's Bounty</t>
  </si>
  <si>
    <t>A palm-sized piece of raw fruit or vegetable of your choice appears in your hand. A creature can use an interact action to eat the fruit, regraining 3d10+12 HP, and be nourished as if it had eaten a full meal. If uneaten the food crumbles to dust after 1 min.</t>
  </si>
  <si>
    <t>A palm-sized piece of raw fruit or vegetable of your choice appears in your hand. A creature can use an interact action to eat the fruit, regraining 3d10+18 HP, and be nourished as if it had eaten a full meal. If uneaten the food crumbles to dust after 1 min.</t>
  </si>
  <si>
    <t>A palm-sized piece of raw fruit or vegetable of your choice appears in your hand. A creature can use an interact action to eat the fruit, regraining 3d10+24 HP, and be nourished as if it had eaten a full meal. If uneaten the food crumbles to dust after 1 min.</t>
  </si>
  <si>
    <t>A palm-sized piece of raw fruit or vegetable of your choice appears in your hand. A creature can use an interact action to eat the fruit, regraining 3d10+30 HP, and be nourished as if it had eaten a full meal. If uneaten the food crumbles to dust after 1 min.</t>
  </si>
  <si>
    <t>A palm-sized piece of raw fruit or vegetable of your choice appears in your hand. A creature can use an interact action to eat the fruit, regraining 3d10+36 HP, and be nourished as if it had eaten a full meal. If uneaten the food crumbles to dust after 1 min.</t>
  </si>
  <si>
    <t>A palm-sized piece of raw fruit or vegetable of your choice appears in your hand. A creature can use an interact action to eat the fruit, regraining 3d10+42 HP, and be nourished as if it had eaten a full meal. If uneaten the food crumbles to dust after 1 min.</t>
  </si>
  <si>
    <t>A palm-sized piece of raw fruit or vegetable of your choice appears in your hand. A creature can use an interact action to eat the fruit, regraining 3d10+48 HP, and be nourished as if it had eaten a full meal. If uneaten the food crumbles to dust after 1 min.</t>
  </si>
  <si>
    <t>Ordained Purpose</t>
  </si>
  <si>
    <t>Your authority over cosmic forces overwhelm nearby creatures. Enemies in the area take 4d6 mental damage. Creatures that have violated tenets and lost abilities by performing anathema get one degree worse on their save, just as creatures behaving as they should get one degree better. Success - half damage; Fail - full damage, next action is to drop prone; Crit fail - double damage, next action to drop prone and cant stand on its turn.</t>
  </si>
  <si>
    <t>Your authority over cosmic forces overwhelm nearby creatures. Enemies in the area take 6d6 mental damage. Creatures that have violated tenets and lost abilities by performing anathema get one degree worse on their save, just as creatures behaving as they should get one degree better. Success - half damage; Fail - full damage, next action is to drop prone; Crit fail - double damage, next action to drop prone and cant stand on its turn.</t>
  </si>
  <si>
    <t>Your authority over cosmic forces overwhelm nearby creatures. Enemies in the area take 8d6 mental damage. Creatures that have violated tenets and lost abilities by performing anathema get one degree worse on their save, just as creatures behaving as they should get one degree better. Success - half damage; Fail - full damage, next action is to drop prone; Crit fail - double damage, next action to drop prone and cant stand on its turn.</t>
  </si>
  <si>
    <t>Your authority over cosmic forces overwhelm nearby creatures. Enemies in the area take 10d6 mental damage. Creatures that have violated tenets and lost abilities by performing anathema get one degree worse on their save, just as creatures behaving as they should get one degree better. Success - half damage; Fail - full damage, next action is to drop prone; Crit fail - double damage, next action to drop prone and cant stand on its turn.</t>
  </si>
  <si>
    <t>Your authority over cosmic forces overwhelm nearby creatures. Enemies in the area take 12d6 mental damage. Creatures that have violated tenets and lost abilities by performing anathema get one degree worse on their save, just as creatures behaving as they should get one degree better. Success - half damage; Fail - full damage, next action is to drop prone; Crit fail - double damage, next action to drop prone and cant stand on its turn.</t>
  </si>
  <si>
    <t>Your authority over cosmic forces overwhelm nearby creatures. Enemies in the area take 14d6 mental damage. Creatures that have violated tenets and lost abilities by performing anathema get one degree worse on their save, just as creatures behaving as they should get one degree better. Success - half damage; Fail - full damage, next action is to drop prone; Crit fail - double damage, next action to drop prone and cant stand on its turn.</t>
  </si>
  <si>
    <t>Your authority over cosmic forces overwhelm nearby creatures. Enemies in the area take 16d6 mental damage. Creatures that have violated tenets and lost abilities by performing anathema get one degree worse on their save, just as creatures behaving as they should get one degree better. Success - half damage; Fail - full damage, next action is to drop prone; Crit fail - double damage, next action to drop prone and cant stand on its turn.</t>
  </si>
  <si>
    <t>Overflowing Sorrow</t>
  </si>
  <si>
    <t>Sadness flows out of you, filling the minds of nearby creatures. The first time a creature begins its turn in the area it attempts a save. Uses same save on reentering. Success - -1 status penalty to skill and perception checks while in the area; Fail - emotion effects of a lower level are suppressed. DC 11 flat check when attempting an emotion action; Crit Fail - as fail, but can not use emtoion actions or spells.</t>
  </si>
  <si>
    <t>Sadness flows out of you, filling the minds of nearby creatures within upto 20ft. The first time a creature begins its turn in the area it attempts a save. Uses same save on reentering. Success - -1 status penalty to skill and perception checks while in the area; Fail - emotion effects of a lower level are suppressed. DC 11 flat check when attempting an emotion action; Crit Fail - as fail, but can not use emtoion actions or spells.</t>
  </si>
  <si>
    <t>Sadness flows out of you, filling the minds of nearby creatures within upto 25ft. The first time a creature begins its turn in the area it attempts a save. Uses same save on reentering. Success - -1 status penalty to skill and perception checks while in the area; Fail - emotion effects of a lower level are suppressed. DC 11 flat check when attempting an emotion action; Crit Fail - as fail, but can not use emtoion actions or spells.</t>
  </si>
  <si>
    <t>Sadness flows out of you, filling the minds of nearby creatures within upto 30ft. The first time a creature begins its turn in the area it attempts a save. Uses same save on reentering. Success - -1 status penalty to skill and perception checks while in the area; Fail - emotion effects of a lower level are suppressed. DC 11 flat check when attempting an emotion action; Crit Fail - as fail, but can not use emtoion actions or spells.</t>
  </si>
  <si>
    <t>Path of Least Resistance</t>
  </si>
  <si>
    <t>You trace several routes, resetting the timeline until you find a safe one. Choose 3 spaces you can reach with two stride actions. Each space must be at least 20ft away from the other two. You stride to one of these spaces randomly determined by DM. If one of the routes has a trap that space is not considered. If all routes contain a trap you move randomly. This does not trigger reactions.</t>
  </si>
  <si>
    <t>Perfected Form</t>
  </si>
  <si>
    <t>When you fail a saving throw against a morph, petrification, or polymorph effect, you can reroll the saving throw and use the better result.</t>
  </si>
  <si>
    <t>Positive Luminance</t>
  </si>
  <si>
    <t>Drawing positive energy into yourself. You glow with 10ft of bright light, and have an internal pool of 4 luminance. Each round you can use a free action to increase it by 4, increasing light radius by 10ft. Each time an undead attacks you while in the light it takes half your luminance value. When you dismiss the spell you can send your luminance into a creature in the area, healing living and harming undead equal to its value.</t>
  </si>
  <si>
    <t>Drawing positive energy into yourself. You glow with 10ft of bright light, and have an internal pool of 5 luminance. Each round you can use a free action to increase it by 5, increasing light radius by 10ft. Each time an undead attacks you while in the light it takes half your luminance value. When you dismiss the spell you can send your luminance into a creature in the area, healing living and harming undead equal to its value.</t>
  </si>
  <si>
    <t>Drawing positive energy into yourself. You glow with 10ft of bright light, and have an internal pool of 6 luminance. Each round you can use a free action to increase it by 6, increasing light radius by 10ft. Each time an undead attacks you while in the light it takes half your luminance value. When you dismiss the spell you can send your luminance into a creature in the area, healing living and harming undead equal to its value.</t>
  </si>
  <si>
    <t>Drawing positive energy into yourself. You glow with 10ft of bright light, and have an internal pool of 7 luminance. Each round you can use a free action to increase it by 7, increasing light radius by 10ft. Each time an undead attacks you while in the light it takes half your luminance value. When you dismiss the spell you can send your luminance into a creature in the area, healing living and harming undead equal to its value.</t>
  </si>
  <si>
    <t>Drawing positive energy into yourself. You glow with 10ft of bright light, and have an internal pool of 8 luminance. Each round you can use a free action to increase it by 8, increasing light radius by 10ft. Each time an undead attacks you while in the light it takes half your luminance value. When you dismiss the spell you can send your luminance into a creature in the area, healing living and harming undead equal to its value.</t>
  </si>
  <si>
    <t>Drawing positive energy into yourself. You glow with 10ft of bright light, and have an internal pool of 9 luminance. Each round you can use a free action to increase it by 9, increasing light radius by 10ft. Each time an undead attacks you while in the light it takes half your luminance value. When you dismiss the spell you can send your luminance into a creature in the area, healing living and harming undead equal to its value.</t>
  </si>
  <si>
    <t>Drawing positive energy into yourself. You glow with 10ft of bright light, and have an internal pool of 10 luminance. Each round you can use a free action to increase it by 10, increasing light radius by 10ft. Each time an undead attacks you while in the light it takes half your luminance value. When you dismiss the spell you can send your luminance into a creature in the area, healing living and harming undead equal to its value.</t>
  </si>
  <si>
    <t>Precious Metals</t>
  </si>
  <si>
    <t>Your diety blesses base metals to transform into precious materials. 1 weapon, 10 ammunition, 1 metal armor, or upto 1 bulk of metal material transforms into cold iron, copper, gold, iron, silver, or steel. The item now deals damage according to its new material. The effect is clearly magical and temporary, so value does not increase.</t>
  </si>
  <si>
    <t>Your diety blesses base metals to transform into precious materials. 1 weapon, 10 ammunition, 1 metal armor, or upto 1 bulk of metal material transforms into cold iron, copper, gold, iron, silver, steel, adamantine, or mithral. The item now deals damage according to its new material. The effect is clearly magical and temporary, so value does not increase.</t>
  </si>
  <si>
    <t>Protector's Sphere</t>
  </si>
  <si>
    <t>A protective aura emanates out from you, safeguarding you and your allies. You gain resistance 3 to all damage. Your allies also gain this resistance while they are within the area.</t>
  </si>
  <si>
    <t>A protective aura emanates out from you, safeguarding you and your allies. You gain resistance 4 to all damage. Your allies also gain this resistance while they are within the area.</t>
  </si>
  <si>
    <t>A protective aura emanates out from you, safeguarding you and your allies. You gain resistance 5 to all damage. Your allies also gain this resistance while they are within the area.</t>
  </si>
  <si>
    <t>A protective aura emanates out from you, safeguarding you and your allies. You gain resistance 6 to all damage. Your allies also gain this resistance while they are within the area.</t>
  </si>
  <si>
    <t>A protective aura emanates out from you, safeguarding you and your allies. You gain resistance 7 to all damage. Your allies also gain this resistance while they are within the area.</t>
  </si>
  <si>
    <t>A protective aura emanates out from you, safeguarding you and your allies. You gain resistance 8 to all damage. Your allies also gain this resistance while they are within the area.</t>
  </si>
  <si>
    <t>A protective aura emanates out from you, safeguarding you and your allies. You gain resistance 9 to all damage. Your allies also gain this resistance while they are within the area.</t>
  </si>
  <si>
    <t>Pulse of the City</t>
  </si>
  <si>
    <t>25 miles</t>
  </si>
  <si>
    <t>You learn about the nearest settlement and its history. Choose one of the followings to learn of an signifficant event in its past: Wardens (guards), Titles (nobles), Masses (commoners). The city becomes immune for 24 hours, and you can exclude information you already know. If cast again you can say Echo to recieve update on event. This spell does not relay unknown events, or people who attempt to remain hidden.</t>
  </si>
  <si>
    <t>You learn about the nearest settlement and its history within 100 miles. Choose one of the followings to learn of an signifficant event in its past: Wardens (guards), Titles (nobles), Masses (commoners). The city becomes immune for 24 hours, and you can exclude information you already know. If cast again you can say Echo to recieve update on event. This spell does not relay unknown events, or people who attempt to remain hidden.</t>
  </si>
  <si>
    <t>Purifying Veil</t>
  </si>
  <si>
    <t>Calling upon the purifying power of water, you create a veil of water droplets suffused with holy energy. The veil surrounds the target if they are Large or smaller, and conceals anything on the opposite side. Does not impede attacks or movement. Target that moves through the veil takes 4d6 good damage, and the spell ends.</t>
  </si>
  <si>
    <t>Calling upon the purifying power of water, you create a veil of water droplets suffused with holy energy. The veil surrounds the target if they are Large or smaller, and conceals anything on the opposite side. Does not impede attacks or movement. Target that moves through the veil takes 5d6 good damage, and the spell ends.</t>
  </si>
  <si>
    <t>Calling upon the purifying power of water, you create a veil of water droplets suffused with holy energy. The veil surrounds the target if they are Large or smaller, and conceals anything on the opposite side. Does not impede attacks or movement. Target that moves through the veil takes 6d6 good damage, and the spell ends.</t>
  </si>
  <si>
    <t>Calling upon the purifying power of water, you create a veil of water droplets suffused with holy energy. The veil surrounds the target if they are Large or smaller, and conceals anything on the opposite side. Does not impede attacks or movement. Target that moves through the veil takes 7d6 good damage, and the spell ends.</t>
  </si>
  <si>
    <t>Calling upon the purifying power of water, you create a veil of water droplets suffused with holy energy. The veil surrounds the target if they are Large or smaller, and conceals anything on the opposite side. Does not impede attacks or movement. Target that moves through the veil takes 8d6 good damage, and the spell ends.</t>
  </si>
  <si>
    <t>Calling upon the purifying power of water, you create a veil of water droplets suffused with holy energy. The veil surrounds the target if they are Large or smaller, and conceals anything on the opposite side. Does not impede attacks or movement. Target that moves through the veil takes 9d6 good damage, and the spell ends.</t>
  </si>
  <si>
    <t>Calling upon the purifying power of water, you create a veil of water droplets suffused with holy energy. The veil surrounds the target if they are Large or smaller, and conceals anything on the opposite side. Does not impede attacks or movement. Target that moves through the veil takes 10d6 good damage, and the spell ends.</t>
  </si>
  <si>
    <t>Rebuke Death</t>
  </si>
  <si>
    <t>You snatch creatures from the jaws of death. You can target a number of living creatures equal to the number of actions you spent during the cast. Each target regains 3d6 HP. If the target was dying, it does not increase its wounded condition.</t>
  </si>
  <si>
    <t>You snatch creatures from the jaws of death. You can target a number of living creatures equal to the number of actions you spent during the cast. Each target regains 4d6 HP. If the target was dying, it does not increase its wounded condition.</t>
  </si>
  <si>
    <t>You snatch creatures from the jaws of death. You can target a number of living creatures equal to the number of actions you spent during the cast. Each target regains 5d6 HP. If the target was dying, it does not increase its wounded condition.</t>
  </si>
  <si>
    <t>You snatch creatures from the jaws of death. You can target a number of living creatures equal to the number of actions you spent during the cast. Each target regains 6d6 HP. If the target was dying, it does not increase its wounded condition.</t>
  </si>
  <si>
    <t>You snatch creatures from the jaws of death. You can target a number of living creatures equal to the number of actions you spent during the cast. Each target regains 7d6 HP. If the target was dying, it does not increase its wounded condition.</t>
  </si>
  <si>
    <t>You snatch creatures from the jaws of death. You can target a number of living creatures equal to the number of actions you spent during the cast. Each target regains 8d6 HP. If the target was dying, it does not increase its wounded condition.</t>
  </si>
  <si>
    <t>You snatch creatures from the jaws of death. You can target a number of living creatures equal to the number of actions you spent during the cast. Each target regains 9d6 HP. If the target was dying, it does not increase its wounded condition.</t>
  </si>
  <si>
    <t>Remember the Lost</t>
  </si>
  <si>
    <t>You call upon the lost to assail your foes' minds. Enemies in the area take 6d6 mental damage and are frightened 1 on a critical fail. If you know the names of people murdered or greviously wronged by one of the enemies in the area you can chant them during casting to increase damage dice to d10s. You can't guess names. Truly innocent creatures are immune.</t>
  </si>
  <si>
    <t>You call upon the lost to assail your foes' minds. Enemies in the area take 8d6 mental damage and are frightened 1 on a critical fail. If you know the names of people murdered or greviously wronged by one of the enemies in the area you can chant them during casting to increase damage dice to d10s. You can't guess names. Truly innocent creatures are immune.</t>
  </si>
  <si>
    <t>You call upon the lost to assail your foes' minds. Enemies in the area take 10d6 mental damage and are frightened 1 on a critical fail. If you know the names of people murdered or greviously wronged by one of the enemies in the area you can chant them during casting to increase damage dice to d10s. You can't guess names. Truly innocent creatures are immune.</t>
  </si>
  <si>
    <t>You call upon the lost to assail your foes' minds. Enemies in the area take 12d6 mental damage and are frightened 1 on a critical fail. If you know the names of people murdered or greviously wronged by one of the enemies in the area you can chant them during casting to increase damage dice to d10s. You can't guess names. Truly innocent creatures are immune.</t>
  </si>
  <si>
    <t>You call upon the lost to assail your foes' minds. Enemies in the area take 14d6 mental damage and are frightened 1 on a critical fail. If you know the names of people murdered or greviously wronged by one of the enemies in the area you can chant them during casting to increase damage dice to d10s. You can't guess names. Truly innocent creatures are immune.</t>
  </si>
  <si>
    <t>You call upon the lost to assail your foes' minds. Enemies in the area take 16d6 mental damage and are frightened 1 on a critical fail. If you know the names of people murdered or greviously wronged by one of the enemies in the area you can chant them during casting to increase damage dice to d10s. You can't guess names. Truly innocent creatures are immune.</t>
  </si>
  <si>
    <t>You call upon the lost to assail your foes' minds. Enemies in the area take 18d6 mental damage and are frightened 1 on a critical fail. If you know the names of people murdered or greviously wronged by one of the enemies in the area you can chant them during casting to increase damage dice to d10s. You can't guess names. Truly innocent creatures are immune.</t>
  </si>
  <si>
    <t>Retributive Pain</t>
  </si>
  <si>
    <t>When a creature within range damages you, you vengefully reflect your pain upon the tormentor. The target takes mental damage equal to half the amount it dealt to you when it trigger this spell.</t>
  </si>
  <si>
    <t>Roar of the Wyrm</t>
  </si>
  <si>
    <t>You roar with the might of all dragonkind. This grants a +2 circumstance bonus to Diplomacy check against dragons for 10 minutes. All non dragons make a save. Success - frightened 1; Fail - frightened 2; Crit Fail - frightened 3, fleeing 1 round. Non dragons with the dragon trait may be considered dragons by this spell if DM allows.</t>
  </si>
  <si>
    <t>Runic Impression</t>
  </si>
  <si>
    <t>Your unarmed or weapon you are weilding gain the benifits of one of the following runes: corrosive, flaming, frost, ghost touch, returning, shock, or thundering. Spell ends if you drop the weapon. If this adds more runes then the weapon can hold choose one to be suppressed for the duration.</t>
  </si>
  <si>
    <t>Your unarmed or weapon you are weilding gain the benifits of one of the following runes: greater corrosive, greater flaming, greater frost, ghost touch, returning, greater shock, greater thundering, or keen. Spell ends if you drop the weapon. If this adds more runes then the weapon can hold choose one to be suppressed for the duration.</t>
  </si>
  <si>
    <t>Safeguard Secret</t>
  </si>
  <si>
    <t>You ensure secrets remain safe. Choose one piece of information someone knows that is in the area during the casting. All creatures in the area that know that information gain a +4 status bonus to skill checks and saving throws to conceal this knowledge.</t>
  </si>
  <si>
    <t>Shaken Confidence</t>
  </si>
  <si>
    <t>1 enemy</t>
  </si>
  <si>
    <t>You mock the target for critically failing an attack, perception, or skill check. Success - unaffected; Fail - unsure of its own abilities, the target has misfortune (roll twice, take lower) on the next roll of the type that triggered this spell (attack to attack, acrobatics to acrobatics).</t>
  </si>
  <si>
    <t>Shared Nightmare</t>
  </si>
  <si>
    <t>You swap minds with the target, sharing nightmares. One of you become confused based on the target's Will save. Crit Success - you are confused for 1 round;Success - at the start of your next turn, your first action is confused, then act normally; Fail - as success, but target is confused for their first action each turn for 1 min; Crit fail - target is confused for 1 min.</t>
  </si>
  <si>
    <t>Shifting Form</t>
  </si>
  <si>
    <t>You gain one of the following abilities that you can dismiss whenever: 20ft status bonus; climb / swim equal to half your speed; darkvision; claws - unarmed strike, with agile, finesse that deals 1d8 slashing; imprecise scent 60ft</t>
  </si>
  <si>
    <t>Stasis</t>
  </si>
  <si>
    <t>Time flows around a creature or 1 bulk of objects, holding it in place. Creatures make a save, unattended objects get crit fail. Success - stunned 1 as time thickens; Fail - time stops for the target for 1 round. It is invulberable to all damage, can not be targeted or affected, and durations its affected by do not decrease. Can't be moved, defying gravity if needed; Fail - as fail, duration 3 rounds, at the end of each round will save to lower duration by 1.</t>
  </si>
  <si>
    <t>Stormwind Flight</t>
  </si>
  <si>
    <t>Powerful winds carry you smoothly through the air, giving you a fly Speed equal to your Speed. When this spell's duration would end, if you're still flying, you float to the ground, as feather fall (doesnt take fall damage).</t>
  </si>
  <si>
    <t>Powerful winds carry you smoothly through the air, giving you a fly Speed equal to your Speed. When this spell's duration would end, if you're still flying, you float to the ground, as feather fall (doesnt take fall damage). Flying against the wind doesnt count as difficult terrain for the duration.</t>
  </si>
  <si>
    <t>Swarm Form</t>
  </si>
  <si>
    <t>You turn into a swarm of tiny creatures. Swarm traight, resistance 5 to slashing and piercing, weakness 5 to area and splash. You can fit in spaces a few inches wide. You dont gain swarm mind ability, so can still be affected by mental effects. You cant speak, cast spells, manipulate with hands, activate magic items, or make any strikes. You can dismiss the spell.</t>
  </si>
  <si>
    <t>You turn into a swarm of tiny creatures. Swarm traight, resistance 10 to slashing and piercing, weakness 10 to area and splash. You can fit in spaces a few inches wide. You dont gain swarm mind ability, so can still be affected by mental effects. You cant speak, cast spells, manipulate with hands, activate magic items, or make any strikes. You can dismiss the spell.</t>
  </si>
  <si>
    <t>You turn into a swarm of tiny creatures. Swarm traight, resistance 15 to slashing and piercing, weakness 15 to area and splash. You can fit in spaces a few inches wide. You dont gain swarm mind ability, so can still be affected by mental effects. You cant speak, cast spells, manipulate with hands, activate magic items, or make any strikes. You can dismiss the spell.</t>
  </si>
  <si>
    <t>You turn into a swarm of tiny creatures. Swarm traight, resistance 20 to slashing and piercing, weakness 20 to area and splash. You can fit in spaces a few inches wide. You dont gain swarm mind ability, so can still be affected by mental effects. You cant speak, cast spells, manipulate with hands, activate magic items, or make any strikes. You can dismiss the spell.</t>
  </si>
  <si>
    <t>Take its Course</t>
  </si>
  <si>
    <t>You attempt to hasten the target past the worst of their affliction, or intensity it. This spell targets a disease, poison, or persistant poison damage of your choice. Unwilling creatures get a save. Affliction - target has a +2 or -2 status and makes a new save; Persistant poison - target immeadately takes persistant damage (in addition to end of turn), and makes a save, the Flat DC is 5 or 20.</t>
  </si>
  <si>
    <t>You attempt to hasten the target past the worst of their affliction, or intensity it. This spell targets upto all diseases, poisons, or persistant poison damage of your choice. Unwilling creatures get a save. Affliction - target has a +2 or -2 status and makes a new save; Persistant poison - target immeadately takes persistant damage (in addition to end of turn), and makes a save, the Flat DC is 5 or 20.</t>
  </si>
  <si>
    <t>Tempt Fate</t>
  </si>
  <si>
    <t>When you or an ally attempt a saving throw, you can twist fate to be dire or uneventful with no in-between. Target gains a +1 status bonus to the triggering saving throw. If the result is a success, it becomes a critical success. If the result in a failure, the result becomes a critical failure and cant be reduced in any way.</t>
  </si>
  <si>
    <t>When you or an ally attempt a saving throw, you can twist fate to be dire or uneventful with no in-between. Target gains a +2 status bonus to the triggering saving throw. If the result is a success, it becomes a critical success. If the result in a failure, the result becomes a critical failure and cant be reduced in any way.</t>
  </si>
  <si>
    <t>Tireless Worker</t>
  </si>
  <si>
    <t>You suppress your choice of one of the following conditions that’s affecting the target: clumsy, encumbered, enfeebled, or fatigued. If you don’t remove the effect that caused the condition, the condition returns after the spell’s duration expires.</t>
  </si>
  <si>
    <t>Touch of the Moon</t>
  </si>
  <si>
    <t>A symbol of the moon appears on the target's forehead, glowing dim light for 20ft. The symbol changes with the moon's cycle, changing at the end of each of the target's turn to provide status bonuses. New Moon: no benefit; Waxing Moon - +1 to attack rolls, +4 to damage; Full Moon - +1 to attacks, AC, saving throws, and +4 to damage; Waning Moon - +1 to AC and saving throws. Return to New Moon.</t>
  </si>
  <si>
    <t>Transcribe Moment</t>
  </si>
  <si>
    <t>Permanent</t>
  </si>
  <si>
    <t>You create a small scroll that contains a magically precise written description of your current surroundings in a language you know. Any creature that spends 1 minute reading the scroll experiences the location and events during the casting. The scroll only knows what you know, but you can recall knowledge if needed. Max scrolls upto INT mod.</t>
  </si>
  <si>
    <t>Traveler's Transit</t>
  </si>
  <si>
    <t>You add power to your muscles, allowing you to swim or climb walls with ease. When you cast this spell, you gain either a climb Speed or a swim Speed. The Speed is equal to your land Speed.</t>
  </si>
  <si>
    <t>You add power to your muscles, allowing you to swim or climb walls with ease. When you cast this spell, you gain either a climb Speed, swim Speed, or a fly speed. The Speed is equal to your land Speed.</t>
  </si>
  <si>
    <t>Trickster's Twin</t>
  </si>
  <si>
    <t>You create a twin that copies you at a location within 100ft of the target that they can see. Spell ends if you use a hostile action against the target. Success - sees twin, cant see you. Disbelieves the illusion if you use an action that doesnt make sense for the twin, or if it engages with the illusion. Fail - as success, but makes will save when any of the above occures. Crit Fail - as success, but needs crit success will save to disbelieve.</t>
  </si>
  <si>
    <t>Unity</t>
  </si>
  <si>
    <t>The moment you or your allies are targeted by a spell that requires a saving throw you put up a united front. Each ally within range can use your saving throw modifier instead of its own against the triggering spell. Each ally decides individually which modifier to use.</t>
  </si>
  <si>
    <t>Vigilant Eye</t>
  </si>
  <si>
    <t>You create an invisible eye sensor, as clairvoyance (cant move, sees in all direction). The eye must be in your line of sight when created. When the spell ends you can spend 1 focus point to extend the duration by 1 hour. The spell ends reguardless during daily prep.</t>
  </si>
  <si>
    <t>Waking Dream</t>
  </si>
  <si>
    <t>You fill the target's mind with vivid, dreamlike imagery, making reality hard to distinguish. Success - all creatures become concealed from the target for 1 round; Fail - Confused, may attack thin air. New save at end of each turn to end confusion, but treats all other creatures as concealed for 1 round; Crit Fail - as fail, no save at end of turn.</t>
  </si>
  <si>
    <t>Weaponize Secret</t>
  </si>
  <si>
    <t>You understand that holding a secret is power. Each target makes a save; Fail - a rune symbolizing the secret of the target floats in front of you. If the target attempt an attack against you while holding their secret you can discharge the rune, dealing 7d6 mental damage; Crit Fail - as fail, target takes 1d6 persistant mental damage from worry over its secret. When the rune is discharged the mental damage ends.</t>
  </si>
  <si>
    <t>You understand that holding a secret is power. Each target makes a save; Fail - a rune symbolizing the secret of the target floats in front of you. If the target attempt an attack against you while holding their secret you can discharge the rune, dealing 9d6 mental damage; Crit Fail - as fail, target takes 1d6+1 persistant mental damage from worry over its secret. When the rune is discharged the mental damage ends.</t>
  </si>
  <si>
    <t>You understand that holding a secret is power. Each target makes a save; Fail - a rune symbolizing the secret of the target floats in front of you. If the target attempt an attack against you while holding their secret you can discharge the rune, dealing 11d6 mental damage; Crit Fail - as fail, target takes 1d6+2 persistant mental damage from worry over its secret. When the rune is discharged the mental damage ends.</t>
  </si>
  <si>
    <t>You understand that holding a secret is power. Each target makes a save; Fail - a rune symbolizing the secret of the target floats in front of you. If the target attempt an attack against you while holding their secret you can discharge the rune, dealing 13d6 mental damage; Crit Fail - as fail, target takes 1d6+3 persistant mental damage from worry over its secret. When the rune is discharged the mental damage ends.</t>
  </si>
  <si>
    <t>You understand that holding a secret is power. Each target makes a save; Fail - a rune symbolizing the secret of the target floats in front of you. If the target attempt an attack against you while holding their secret you can discharge the rune, dealing 15d6 mental damage; Crit Fail - as fail, target takes 1d6+4 persistant mental damage from worry over its secret. When the rune is discharged the mental damage ends.</t>
  </si>
  <si>
    <t>You understand that holding a secret is power. Each target makes a save; Fail - a rune symbolizing the secret of the target floats in front of you. If the target attempt an attack against you while holding their secret you can discharge the rune, dealing 17d6 mental damage; Crit Fail - as fail, target takes 1d6+5 persistant mental damage from worry over its secret. When the rune is discharged the mental damage ends.</t>
  </si>
  <si>
    <t>You understand that holding a secret is power. Each target makes a save; Fail - a rune symbolizing the secret of the target floats in front of you. If the target attempt an attack against you while holding their secret you can discharge the rune, dealing 19d6 mental damage; Crit Fail - as fail, target takes 1d6+6 persistant mental damage from worry over its secret. When the rune is discharged the mental damage ends.</t>
  </si>
  <si>
    <t>Wild Winds Stance</t>
  </si>
  <si>
    <t>You take on the stance of the flowing winds until you leave the stance. You can make wind crash unarmed Strikes with a 30ft range, dealing 1d6 bludgeoning damage(agile, nonlethal, propulsive, ignore concealment and all cover). While in this stance gain a +2 circumstance bonus to AC against ranged attacks.</t>
  </si>
  <si>
    <t>Word of Freedom</t>
  </si>
  <si>
    <t>With a liberating word, you suppress one of the following: confused, frightened, grabbed, paralyzed, or restrained. Supressing a grab or restrain breaks a grapple. If you do not remove the effect that cause the condition, it returns after the spell ends.</t>
  </si>
  <si>
    <t>Wordsmith</t>
  </si>
  <si>
    <t>You can use your mastery over language to reshape a document written by a single author, or several documents all in a single language. Shifting the target text into a language you know. Text doesnt change beyond few minor translation differences, and lasts until you refocus.</t>
  </si>
  <si>
    <t>Zeal for Battle</t>
  </si>
  <si>
    <t>You stoke the righteous anger within yourself and an ally when about to roll iniative. You and the target ally each roll a d20 and use the higher result for both your initiative rolls. You each still use your own Perception modifier or other statistic to determine your results.</t>
  </si>
  <si>
    <t>Abyssal Wrath</t>
  </si>
  <si>
    <t>You evoke the energy of an Abyssal realm, dealing 4d6 and 4d6 damage based on a roll of 1d4. 1. Skies - bludgeoning and electric; 2. Depth - acid and slash; 3. Frozen - bludgeon and cold; 4. Volcanic - Fire and piercing.</t>
  </si>
  <si>
    <t>You evoke the energy of an Abyssal realm, dealing 5d6 and 5d6 damage based on a roll of 1d4. 1. Skies - bludgeoning and electric; 2. Depth - acid and slash; 3. Frozen - bludgeon and cold; 4. Volcanic - Fire and piercing.</t>
  </si>
  <si>
    <t>You evoke the energy of an Abyssal realm, dealing 6d6 and 6d6 damage based on a roll of 1d4. 1. Skies - bludgeoning and electric; 2. Depth - acid and slash; 3. Frozen - bludgeon and cold; 4. Volcanic - Fire and piercing.</t>
  </si>
  <si>
    <t>You evoke the energy of an Abyssal realm, dealing 7d6 and 7d6 damage based on a roll of 1d4. 1. Skies - bludgeoning and electric; 2. Depth - acid and slash; 3. Frozen - bludgeon and cold; 4. Volcanic - Fire and piercing.</t>
  </si>
  <si>
    <t>You evoke the energy of an Abyssal realm, dealing 8d6 and 8d6 damage based on a roll of 1d4. 1. Skies - bludgeoning and electric; 2. Depth - acid and slash; 3. Frozen - bludgeon and cold; 4. Volcanic - Fire and piercing.</t>
  </si>
  <si>
    <t>You evoke the energy of an Abyssal realm, dealing 9d6 and 9d6 damage based on a roll of 1d4. 1. Skies - bludgeoning and electric; 2. Depth - acid and slash; 3. Frozen - bludgeon and cold; 4. Volcanic - Fire and piercing.</t>
  </si>
  <si>
    <t>Arcane Countermeasure</t>
  </si>
  <si>
    <t>When the target you can see casts a spell, you undermine the spell. The target spell's level is reduced by 1 (not below its minimum). In addition all creatures affected by the target spell gain a +2 status bonus to saving throws, skill checks, AC or DC against it.</t>
  </si>
  <si>
    <t>Celestial Brand</t>
  </si>
  <si>
    <t>A blazing symbol appears on the target, causing it to face divine justice. You and your allies gain a +1 status bonus on attack rolls and skill checks against it. If a good creature damages the target, they deal an extra 1d4 good damage. Target is then immune for 1 min.</t>
  </si>
  <si>
    <t>A blazing symbol appears on the target, causing it to face divine justice. You and your allies gain a +1 status bonus on attack rolls and skill checks against it. If a good creature damages the target, they deal an extra 1d4+1 good damage. Target is then immune for 1 min.</t>
  </si>
  <si>
    <t>A blazing symbol appears on the target, causing it to face divine justice. You and your allies gain a +1 status bonus on attack rolls and skill checks against it. If a good creature damages the target, they deal an extra 1d4+2 good damage. Target is then immune for 1 min.</t>
  </si>
  <si>
    <t>Cleansing Flames</t>
  </si>
  <si>
    <t>You wrap the target is purifying flames. Attempt to counteract a single poison, or non-curse that gives one of the following: clumsy, dazzled, enfeebled, fatiqued, frightened, paralyzed, sickened, or stupefied. The target can choose to empower the flames with their life force, becoming drained 1 (or increasesing drained) to grant you a +1 circumstance bonus to counteracting.</t>
  </si>
  <si>
    <t>Consuming Darkness</t>
  </si>
  <si>
    <t>Your shadow wiggles out, forming a gateway to horrors beyond. Each round you sustain, radius increased by 5ft. Each enemy that enters or starts its turn in the area takes 2d6 negative damage. Success - half damage, sinks into shadow, -5ft circum. while in area; Fail - full damage, -10ft circum. in area; Crit Fail - absorbed into shadow, can be seen from surface, double damage, immobilized 1 round (or escape)</t>
  </si>
  <si>
    <t>Your shadow wiggles out, forming a gateway to horrors beyond. Each round you sustain, radius increased by 5ft. Each enemy that enters or starts its turn in the area takes 3d6 negative damage. Success - half damage, sinks into shadow, -5ft circum. while in area; Fail - full damage, -10ft circum. in area; Crit Fail - absorbed into shadow, can be seen from surface, double damage, immobilized 1 round (or escape)</t>
  </si>
  <si>
    <t>Your shadow wiggles out, forming a gateway to horrors beyond. Each round you sustain, radius increased by 5ft. Each enemy that enters or starts its turn in the area takes 4d6 negative damage. Success - half damage, sinks into shadow, -5ft circum. while in area; Fail - full damage, -10ft circum. in area; Crit Fail - absorbed into shadow, can be seen from surface, double damage, immobilized 1 round (or escape)</t>
  </si>
  <si>
    <t>Your shadow wiggles out, forming a gateway to horrors beyond. Each round you sustain, radius increased by 5ft. Each enemy that enters or starts its turn in the area takes 5d6 negative damage. Success - half damage, sinks into shadow, -5ft circum. while in area; Fail - full damage, -10ft circum. in area; Crit Fail - absorbed into shadow, can be seen from surface, double damage, immobilized 1 round (or escape)</t>
  </si>
  <si>
    <t>Your shadow wiggles out, forming a gateway to horrors beyond. Each round you sustain, radius increased by 5ft. Each enemy that enters or starts its turn in the area takes 6d6 negative damage. Success - half damage, sinks into shadow, -5ft circum. while in area; Fail - full damage, -10ft circum. in area; Crit Fail - absorbed into shadow, can be seen from surface, double damage, immobilized 1 round (or escape)</t>
  </si>
  <si>
    <t>Your shadow wiggles out, forming a gateway to horrors beyond. Each round you sustain, radius increased by 5ft. Each enemy that enters or starts its turn in the area takes 7d6 negative damage. Success - half damage, sinks into shadow, -5ft circum. while in area; Fail - full damage, -10ft circum. in area; Crit Fail - absorbed into shadow, can be seen from surface, double damage, immobilized 1 round (or escape)</t>
  </si>
  <si>
    <t>Curse of Death</t>
  </si>
  <si>
    <t>You cause the target's heart to seize in dread. Immune 1 day. Success - stage 1, cant increase; Fail - stage 1; Crit Fail - stage 2; Curse of Death (curse), Stage 1 - 4d6 negative damage, fatigued 1 (1 round); Stage 2 - 8d6 negative, fatigued (1 round); Stage 3 - 12d6 negative, fatigued (1 round); Stage 4 - dead.</t>
  </si>
  <si>
    <t>You cause the target's heart to seize in dread. Immune 1 day. Success - stage 1, cant increase; Fail - stage 1; Crit Fail - stage 2; Curse of Death (curse), Stage 1 - 5d6 negative damage, fatigued 1 (1 round); Stage 2 - 9d6 negative, fatigued (1 round); Stage 3 - 13d6 negative, fatigued (1 round); Stage 4 - dead.</t>
  </si>
  <si>
    <t>You cause the target's heart to seize in dread. Immune 1 day. Success - stage 1, cant increase; Fail - stage 1; Crit Fail - stage 2; Curse of Death (curse), Stage 1 - 6d6 negative damage, fatigued 1 (1 round); Stage 2 - 10d6 negative, fatigued (1 round); Stage 3 - 14d6 negative, fatigued (1 round); Stage 4 - dead.</t>
  </si>
  <si>
    <t>You cause the target's heart to seize in dread. Immune 1 day. Success - stage 1, cant increase; Fail - stage 1; Crit Fail - stage 2; Curse of Death (curse), Stage 1 - 7d6 negative damage, fatigued 1 (1 round); Stage 2 - 11d6 negative, fatigued (1 round); Stage 3 - 15d6 negative, fatigued (1 round); Stage 4 - dead.</t>
  </si>
  <si>
    <t>You cause the target's heart to seize in dread. Immune 1 day. Success - stage 1, cant increase; Fail - stage 1; Crit Fail - stage 2; Curse of Death (curse), Stage 1 - 8d6 negative damage, fatigued 1 (1 round); Stage 2 - 12d6 negative, fatigued (1 round); Stage 3 - 16d6 negative, fatigued (1 round); Stage 4 - dead.</t>
  </si>
  <si>
    <t>You cause the target's heart to seize in dread. Immune 1 day. Success - stage 1, cant increase; Fail - stage 1; Crit Fail - stage 2; Curse of Death (curse), Stage 1 - 9d6 negative damage, fatigued 1 (1 round); Stage 2 - 13d6 negative, fatigued (1 round); Stage 3 - 17d6 negative, fatigued (1 round); Stage 4 - dead.</t>
  </si>
  <si>
    <t>Dance of Darkness</t>
  </si>
  <si>
    <t>You dance, striding upto half your speed. Before or after the stride, you create a 10ft burst of magical darkness (creatures with darkvision cant see) centered on yourself. Attempt a standard Performance DC for your lv. On Crit success - duration 1 min; Success - duration 2 rounds; Fail - 1 round.</t>
  </si>
  <si>
    <t>Dragon Wings</t>
  </si>
  <si>
    <t>You sprout leathery wings, giving you a 60ft fly speed (unless your speed is higher). If you are in the air when this spell ends you gently float to the ground (as if featherfall). You can expend an additional Focus Point by 1 to gain the effects of Dragon Claws (finesse, 1d4 slashing, 2d6 dragon type, resistance 10 to dragon type).</t>
  </si>
  <si>
    <t>You sprout leathery wings, giving you a 60ft fly speed (unless your speed is higher) for 10 min. If you are in the air when this spell ends you gently float to the ground (as if featherfall). You can expend an additional Focus Point by 1 to gain the effects of Dragon Claws (finesse, 1d4 slashing, 2d6 dragon type, resistance 10 to dragon type).</t>
  </si>
  <si>
    <t>You sprout leathery wings, giving you a 60ft fly speed (unless your speed is higher) for 10 min. If you are in the air when this spell ends you gently float to the ground (as if featherfall). You can expend an additional Focus Point by 1 to gain the effects of Dragon Claws (finesse, 1d4 slashing, 3d6 dragon type, resistance 15 to dragon type).</t>
  </si>
  <si>
    <t>Elemental Blast</t>
  </si>
  <si>
    <t>You gather elemental energy and create a blast in the shape of your choice: 10ft burst (30ft range), 30ft cone, 60ft line. Deals 8d6 bludgeoning damage (or fire if your elemental is fire). This spell has your element trait.</t>
  </si>
  <si>
    <t>You gather elemental energy and create a blast in the shape of your choice: 10ft burst (30ft range), 30ft cone, 60ft line. Deals 10d6 bludgeoning damage (or fire if your elemental is fire). This spell has your element trait.</t>
  </si>
  <si>
    <t>You gather elemental energy and create a blast in the shape of your choice: 10ft burst (30ft range), 30ft cone, 60ft line. Deals 12d6 bludgeoning damage (or fire if your elemental is fire). This spell has your element trait.</t>
  </si>
  <si>
    <t>You gather elemental energy and create a blast in the shape of your choice: 10ft burst (30ft range), 30ft cone, 60ft line. Deals 14d6 bludgeoning damage (or fire if your elemental is fire). This spell has your element trait.</t>
  </si>
  <si>
    <t>You gather elemental energy and create a blast in the shape of your choice: 10ft burst (30ft range), 30ft cone, 60ft line. Deals 16d6 bludgeoning damage (or fire if your elemental is fire). This spell has your element trait.</t>
  </si>
  <si>
    <t>You gather elemental energy and create a blast in the shape of your choice: 10ft burst (30ft range), 30ft cone, 60ft line. Deals 18d6 bludgeoning damage (or fire if your elemental is fire). This spell has your element trait.</t>
  </si>
  <si>
    <t>Establish Ward</t>
  </si>
  <si>
    <t>You bind your essence to the surroundings. While in the area you can make Nature's Wrath strikes using plants, rocks, and wind (melee attack, 2d8 + [spell ability mod], bludg, peirc, or slash) against creatures in the area. Upon casting you may make a strike. You are quickened 1 in the ward (can only Nature's Strike), and slowed 1 outside of it.</t>
  </si>
  <si>
    <t>You bind your essence to a 35ft burst. While in the area you can make Nature's Wrath strikes using plants, rocks, and wind (melee attack, 3d8 + [spell ability mod], bludg, peirc, or slash) against creatures in the area. Upon casting you may make a strike. You are quickened 1 in the ward (can only Nature's Strike), and slowed 1 outside of it.</t>
  </si>
  <si>
    <t>You bind your essence to a 40ft burst. While in the area you can make Nature's Wrath strikes using plants, rocks, and wind (melee attack, 4d8 + [spell ability mod], bludg, peirc, or slash) against creatures in the area. Upon casting you may make a strike. You are quickened 1 in the ward (can only Nature's Strike), and slowed 1 outside of it.</t>
  </si>
  <si>
    <t>Fey Glamour</t>
  </si>
  <si>
    <t>You call upon fey glamours to cloak an area or the targets in illusion. You can target a 30ft burst as if using illusory Scene (minute long loop with perfect sound, enviroment, and creatures), or you can target 10 creatures as if using Veil (change appearence slightly, different ancestry)</t>
  </si>
  <si>
    <t>You call upon fey glamours to cloak an area or the targets in illusion. You can target a 30ft burst as if using illusory Scene (minute long loop with perfect sound, enviroment, and creatures), or you can target 10 creatures as if using Veil (change appearence slightly, different ancestry, change voice and scent)</t>
  </si>
  <si>
    <t>You call upon fey glamours to cloak an area or the targets in illusion. You can target a 30ft burst as if using illusory Scene (minute long loop with perfect sound, enviroment, and creatures that speak), or you can target 10 creatures as if using Veil (change appearence slightly, different ancestry, change voice and scent)</t>
  </si>
  <si>
    <t>Glacial Heart</t>
  </si>
  <si>
    <t>Ice creeps into the target, freezing them inside out, and dealing 10d6 cold damage. Afterwhich they are immune for 1 day. Success - half damage, slowed 1 for 1 round; Fail - full damage, slowed 1, save at end of turn to reduce slowed by 1 on success, or increase it by 1 on a fail upto a max of slowed 4; Crit Fail - as fail, double damage, initially slowed 2.</t>
  </si>
  <si>
    <t>Ice creeps into the target, freezing them inside out, and dealing 12d6 cold damage. Afterwhich they are immune for 1 day. Success - half damage, slowed 1 for 1 round; Fail - full damage, slowed 1, save at end of turn to reduce slowed by 1 on success, or increase it by 1 on a fail upto a max of slowed 4; Crit Fail - as fail, double damage, initially slowed 2.</t>
  </si>
  <si>
    <t>Ice creeps into the target, freezing them inside out, and dealing 14d6 cold damage. Afterwhich they are immune for 1 day. Success - half damage, slowed 1 for 1 round; Fail - full damage, slowed 1, save at end of turn to reduce slowed by 1 on success, or increase it by 1 on a fail upto a max of slowed 4; Crit Fail - as fail, double damage, initially slowed 2.</t>
  </si>
  <si>
    <t>Ice creeps into the target, freezing them inside out, and dealing 16d6 cold damage. Afterwhich they are immune for 1 day. Success - half damage, slowed 1 for 1 round; Fail - full damage, slowed 1, save at end of turn to reduce slowed by 1 on success, or increase it by 1 on a fail upto a max of slowed 4; Crit Fail - as fail, double damage, initially slowed 2.</t>
  </si>
  <si>
    <t>Ice creeps into the target, freezing them inside out, and dealing 18d6 cold damage. Afterwhich they are immune for 1 day. Success - half damage, slowed 1 for 1 round; Fail - full damage, slowed 1, save at end of turn to reduce slowed by 1 on success, or increase it by 1 on a fail upto a max of slowed 4; Crit Fail - as fail, double damage, initially slowed 2.</t>
  </si>
  <si>
    <t>Ice creeps into the target, freezing them inside out, and dealing 20d6 cold damage. Afterwhich they are immune for 1 day. Success - half damage, slowed 1 for 1 round; Fail - full damage, slowed 1, save at end of turn to reduce slowed by 1 on success, or increase it by 1 on a fail upto a max of slowed 4; Crit Fail - as fail, double damage, initially slowed 2.</t>
  </si>
  <si>
    <t>Grasping Grave</t>
  </si>
  <si>
    <t>Hundreds of skeletal arms erupt from the ground, clawing and grasping at creatures, dealing 6d6 slashing damage. Success - half damage; Success - full damage, -10ft circum. for 1 round; Crit Fail - double damage, immobilized for 1 round (until escape).</t>
  </si>
  <si>
    <t>Hundreds of skeletal arms erupt from the ground, clawing and grasping at creatures, dealing 8d6 slashing damage. Success - half damage; Success - full damage, -10ft circum. for 1 round; Crit Fail - double damage, immobilized for 1 round (until escape).</t>
  </si>
  <si>
    <t>Hundreds of skeletal arms erupt from the ground, clawing and grasping at creatures, dealing 10d6 slashing damage. Success - half damage; Success - full damage, -10ft circum. for 1 round; Crit Fail - double damage, immobilized for 1 round (until escape).</t>
  </si>
  <si>
    <t>Hundreds of skeletal arms erupt from the ground, clawing and grasping at creatures, dealing 12d6 slashing damage. Success - half damage; Success - full damage, -10ft circum. for 1 round; Crit Fail - double damage, immobilized for 1 round (until escape).</t>
  </si>
  <si>
    <t>Hundreds of skeletal arms erupt from the ground, clawing and grasping at creatures, dealing 14d6 slashing damage. Success - half damage; Success - full damage, -10ft circum. for 1 round; Crit Fail - double damage, immobilized for 1 round (until escape).</t>
  </si>
  <si>
    <t>Hundreds of skeletal arms erupt from the ground, clawing and grasping at creatures, dealing 16d6 slashing damage. Success - half damage; Success - full damage, -10ft circum. for 1 round; Crit Fail - double damage, immobilized for 1 round (until escape).</t>
  </si>
  <si>
    <t>Hellfire Plume</t>
  </si>
  <si>
    <t>You call forth a plume of hellfire that erupts from below 60ft tall, dealing 4d6 fire damage and 4d6 evil damage.</t>
  </si>
  <si>
    <t>You call forth a plume of hellfire that erupts from below 60ft tall, dealing 5d6 fire damage and 5d6 evil damage.</t>
  </si>
  <si>
    <t>You call forth a plume of hellfire that erupts from below 60ft tall, dealing 6d6 fire damage and 6d6 evil damage.</t>
  </si>
  <si>
    <t>You call forth a plume of hellfire that erupts from below 60ft tall, dealing 7d6 fire damage and 7d6 evil damage.</t>
  </si>
  <si>
    <t>You call forth a plume of hellfire that erupts from below 60ft tall, dealing 8d6 fire damage and 8d6 evil damage.</t>
  </si>
  <si>
    <t>You call forth a plume of hellfire that erupts from below 60ft tall, dealing 9d6 fire damage and 9d6 evil damage.</t>
  </si>
  <si>
    <t>Hunter's Vision</t>
  </si>
  <si>
    <t>The target glows with a magical aura visable only to you and those who follow your lead. Your target is visable to you and others using your Hunt Pray benefit, ereguardless of lightning. Solid objects block sight as normal. You ignore the flat check due to concealed, and they arent immeadately hidden from you do to darkness or invisibility.</t>
  </si>
  <si>
    <t>Litany against Sloth</t>
  </si>
  <si>
    <t>Your litany rails against the sin of sloth, afterwhich they are immune 1 min. A particularly slothful creature (such as a sloth demon) gets one degree of success worse. Success - target cant use reactions; Fail - no reactions, slowed 1; Crit Fail - no reactions, slowed 2.</t>
  </si>
  <si>
    <t>Litany of Self-Interest</t>
  </si>
  <si>
    <t>You give a speech that drives the target to improve themselves at the cost of others. A creature can vountarily fail the save. Immune 1 min. Success - unaffected; Failure - gain +2 status bonus to attack rolls, perception checks, saving throws, and skill checks. Cant aid others, has no allies, or use spells and abilities that benefit another.</t>
  </si>
  <si>
    <t>You give a speech that drives the target to improve themselves at the cost of others. A creature can vountarily fail the save. Immune 1 min. Success - unaffected; Failure - gain +3 status bonus to attack rolls, perception checks, saving throws, and skill checks. Cant aid others, has no allies, or use spells and abilities that benefit another.</t>
  </si>
  <si>
    <t>Ode to Ouroboros</t>
  </si>
  <si>
    <t>If a creature's dying condition would increase enough to kill them you stave off death. The target's dying condition remains 1 below the value at which it dies. This doesn't help prevent death from effects that kill the target without increasing its dying condition, such as disintegrate and death effects.</t>
  </si>
  <si>
    <t>Over the Coals</t>
  </si>
  <si>
    <t>You accuse the target of breaking its word, and upsetting your patron. You make a non-self-destructive order, and if refused you take their life force. Spell damage ends if they comply. Immune 1 day. Crit Success - unaffected, immune to Pact Broker cantrip for 1 day; Success - 3d8 pers. negative damage; Fail - drained 1 and 6d8 pers. neg. damage; Crit Fail - drained 2, doomed 1, 6d8 persist. neg. damage that doesnt end upon complying.</t>
  </si>
  <si>
    <t>You accuse 2 targets of breaking their word, and upsetting your patron. You make a non-self-destructive order, and if refused you take their life force. Spell damage ends if they comply. Immune 1 day. Crit Success - unaffected, immune to Pact Broker cantrip for 1 day; Success - 3d8 pers. negative damage; Fail - drained 1 and 6d8 pers. neg. damage; Crit Fail - drained 2, doomed 1, 6d8 persist. neg. damage that doesnt end upon complying.</t>
  </si>
  <si>
    <t>Restorative Moment</t>
  </si>
  <si>
    <t>7TH LEVEL SPELLS</t>
  </si>
  <si>
    <t>You manipulate the threads of time around the target, giving them some of the benefits of a day's passage. The target decreases the values of any doomed and drained conditions it has by 1 and can immediately attempt one saving throw against each affliction it has with a stage length of 1 day or less. The target is then temporarily immune for 1 day.</t>
  </si>
  <si>
    <t>Shadow Jump</t>
  </si>
  <si>
    <t>While standing in dimlight or darkness you can teleport yourself and your items to another spot of dimlight or darkness within range. You can bring your familiar, but not any other creature.</t>
  </si>
  <si>
    <t>While standing in dimlight or darkness you can teleport yourself and your items to another spot of dimlight or darkness within range. When you teleport you become invisible until the end of your next turn (or until you leave the darkness). You can bring your familiar, but not any other creature.</t>
  </si>
  <si>
    <t>Shall Not Falter, Shall Not Rout</t>
  </si>
  <si>
    <t>Calling out the fifth line of the Crimson Oath, you seal your most grievous injuries with a stroke of your blade. The first time each round that you Strike with your weapon and deal damage to a foe, you recover a number of HP equal to twice shall not falter, shall not rout's level. This healing can't raise your current HP above half of your maximum HP.</t>
  </si>
  <si>
    <t>Shepered of Souls</t>
  </si>
  <si>
    <t>When a living creature would take damage, you stay the hand of fate, sacerficing your own vitality. You sacerfice upto 15 hp, and the target reduced the amount of damage taken by twice the sacerficed amount. If the amount of damage reduced brings it to zero, any extra heals the target.</t>
  </si>
  <si>
    <t>When a living creature would take damage, you stay the hand of fate, sacerficing your own vitality. You sacerfice upto 20 hp, and the target reduced the amount of damage taken by twice the sacerficed amount. If the amount of damage reduced brings it to zero, any extra heals the target.</t>
  </si>
  <si>
    <t>When a living creature would take damage, you stay the hand of fate, sacerficing your own vitality. You sacerfice upto 25 hp, and the target reduced the amount of damage taken by twice the sacerficed amount. If the amount of damage reduced brings it to zero, any extra heals the target.</t>
  </si>
  <si>
    <t>Spellmaster's Ward</t>
  </si>
  <si>
    <t>You create protective runes around you. Each action you spend casting this spell creates a rune (max of 3 for 3 actions). The next time you take damage from a spell, a rune is expended, preventing 2d6 damage. If damage from the spell remains, another rune is expended until you are out of runes or take no damage.</t>
  </si>
  <si>
    <t>You create protective runes around you. Each action you spend casting this spell creates a rune (max of 3 for 3 actions). The next time you take damage from a spell, a rune is expended, preventing 2d6+1 damage. If damage from the spell remains, another rune is expended until you are out of runes or take no damage.</t>
  </si>
  <si>
    <t>You create protective runes around you. Each action you spend casting this spell creates a rune (max of 3 for 3 actions). The next time you take damage from a spell, a rune is expended, preventing 2d6+2 damage. If damage from the spell remains, another rune is expended until you are out of runes or take no damage.</t>
  </si>
  <si>
    <t>You create protective runes around you. Each action you spend casting this spell creates a rune (max of 3 for 3 actions). The next time you take damage from a spell, a rune is expended, preventing 2d6+3 damage. If damage from the spell remains, another rune is expended until you are out of runes or take no damage.</t>
  </si>
  <si>
    <t>You create protective runes around you. Each action you spend casting this spell creates a rune (max of 3 for 3 actions). The next time you take damage from a spell, a rune is expended, preventing 2d6+4 damage. If damage from the spell remains, another rune is expended until you are out of runes or take no damage.</t>
  </si>
  <si>
    <t>You create protective runes around you. Each action you spend casting this spell creates a rune (max of 3 for 3 actions). The next time you take damage from a spell, a rune is expended, preventing 2d6+5 damage. If damage from the spell remains, another rune is expended until you are out of runes or take no damage.</t>
  </si>
  <si>
    <t>Steal the Sky</t>
  </si>
  <si>
    <t>Upon making an unarmed strike against a flying creature you deny them the support of air. Success - decends 60ft, if it hits the ground it takes fall damage as normal; Fail - as success, but if it hits the ground it falls prone, and cant fly, levitate, or leave the ground for 1 min; Crit Fail - as fail, double fall damage.</t>
  </si>
  <si>
    <t>Upon making an unarmed strike against a flying creature you deny them the support of air. Success - decends 80ft, if it hits the ground it takes fall damage as normal; Fail - as success, but if it hits the ground it falls prone, and cant fly, levitate, or leave the ground for 1 min; Crit Fail - as fail, double fall damage.</t>
  </si>
  <si>
    <t>Upon making an unarmed strike against a flying creature you deny them the support of air. Success - decends 100ft, if it hits the ground it takes fall damage as normal; Fail - as success, but if it hits the ground it falls prone, and cant fly, levitate, or leave the ground for 1 min; Crit Fail - as fail, double fall damage.</t>
  </si>
  <si>
    <t>Upon making an unarmed strike against a flying creature you deny them the support of air. Success - decends 120ft, if it hits the ground it takes fall damage as normal; Fail - as success, but if it hits the ground it falls prone, and cant fly, levitate, or leave the ground for 1 min; Crit Fail - as fail, double fall damage.</t>
  </si>
  <si>
    <t>Upon making an unarmed strike against a flying creature you deny them the support of air. Success - decends 140ft, if it hits the ground it takes fall damage as normal; Fail - as success, but if it hits the ground it falls prone, and cant fly, levitate, or leave the ground for 1 min; Crit Fail - as fail, double fall damage.</t>
  </si>
  <si>
    <t>Upon making an unarmed strike against a flying creature you deny them the support of air. Success - decends 160ft, if it hits the ground it takes fall damage as normal; Fail - as success, but if it hits the ground it falls prone, and cant fly, levitate, or leave the ground for 1 min; Crit Fail - as fail, double fall damage.</t>
  </si>
  <si>
    <t>Symphony of the Unfettered Heart</t>
  </si>
  <si>
    <t>Your symphony lifts the listeners from their wordly concerns. Attempt a Performance check to counteract one of the following from you or your ally: grabbed, immobilized, paralyzed, restrained, slowed, stunned. If you fail you can not target the same effect for 1 day.</t>
  </si>
  <si>
    <t>Your symphony lifts the listeners from their wordly concerns. Attempt a Performance check to counteract one of the following from 4 creatures: grabbed, immobilized, paralyzed, restrained, slowed, stunned. If you fail you can not target the same effect for 1 day.</t>
  </si>
  <si>
    <t>Terrain Transposition</t>
  </si>
  <si>
    <t>90ft</t>
  </si>
  <si>
    <t>You mystically transpose your location with another. While in a wilderness enviroment you can transport yourself and your items to a clear space within range. If you are in your Favored Terrain, the range is doubled to 180ft. An adjacent animal companian can come with you, but no other creature.</t>
  </si>
  <si>
    <t>Unblinking Flame Aura</t>
  </si>
  <si>
    <t>You focus your sight inside and call on your inner fire to grant you warmth, steady your vision, and soothe your body. You recover 15 Hit Points. For the duration, you gain a +2 status bonus on Perception checks and resistance 10 to cold.</t>
  </si>
  <si>
    <t>You focus your sight inside and call on your inner fire to grant you warmth, steady your vision, and soothe your body. You recover 18 Hit Points. For the duration, you gain a +2 status bonus on Perception checks and resistance 12 to cold.</t>
  </si>
  <si>
    <t>You focus your sight inside and call on your inner fire to grant you warmth, steady your vision, and soothe your body. You recover 21 Hit Points. For the duration, you gain a +2 status bonus on Perception checks and resistance 14 to cold.</t>
  </si>
  <si>
    <t>You focus your sight inside and call on your inner fire to grant you warmth, steady your vision, and soothe your body. You recover 24 Hit Points. For the duration, you gain a +2 status bonus on Perception checks and resistance 16 to cold.</t>
  </si>
  <si>
    <t>You focus your sight inside and call on your inner fire to grant you warmth, steady your vision, and soothe your body. You recover 27 Hit Points. For the duration, you gain a +2 status bonus on Perception checks and resistance 18 to cold.</t>
  </si>
  <si>
    <t>You focus your sight inside and call on your inner fire to grant you warmth, steady your vision, and soothe your body. You recover 30 Hit Points. For the duration, you gain a +2 status bonus on Perception checks and resistance 20 to cold.</t>
  </si>
  <si>
    <t>Unbreaking Wave Vapor</t>
  </si>
  <si>
    <t>When targeted by an attack you can see you become concealed against the triggering attack and gain a +2 circumstance bonus to AC against it. After the triggering attack is complete, you can Step if the triggering attack hit or Step twice if the triggering attack missed.</t>
  </si>
  <si>
    <t>Unfolding Wind Buffet</t>
  </si>
  <si>
    <t>You surround your unarmed attacks with the speed and force of air. Make 3 unarmed Strikes against the same target. If at least one hits the target makes a fort save or is pushed back 5ft for each hit, 10ft for each critical hit. Success - pushed half distance; Fail - pushed back; Crit Fail - pushed back double distance, knocked prone.</t>
  </si>
  <si>
    <t>Untwisting Iron Roots</t>
  </si>
  <si>
    <t>You manipulate the earth beneath you to throw enemies off balance. Creatures in the area take 2d6 bludgeoning; fall prone on a failed save. The area becomes difficult terrain (that you are no affected by).</t>
  </si>
  <si>
    <t>You manipulate the earth beneath you to throw enemies off balance. Creatures in the area take 3d6 bludgeoning; fall prone on a failed save. The area becomes difficult terrain (that you are no affected by).</t>
  </si>
  <si>
    <t>You manipulate the earth beneath you to throw enemies off balance. Creatures in the area take 4d6 bludgeoning; fall prone on a failed save. The area becomes difficult terrain (that you are no affected by).</t>
  </si>
  <si>
    <t>You manipulate the earth beneath you to throw enemies off balance. Creatures in the area take 5d6 bludgeoning; fall prone on a failed save. The area becomes difficult terrain (that you are no affected by).</t>
  </si>
  <si>
    <t>You manipulate the earth beneath you to throw enemies off balance. Creatures in the area take 6d6 bludgeoning; fall prone on a failed save. The area becomes difficult terrain (that you are no affected by).</t>
  </si>
  <si>
    <t>You manipulate the earth beneath you to throw enemies off balance. Creatures in the area take 7d6 bludgeoning; fall prone on a failed save. The area becomes difficult terrain (that you are no affected by).</t>
  </si>
  <si>
    <t>Unusual Anatomy</t>
  </si>
  <si>
    <t>You transform your flesh and organs into a bizarre amalgam of glistening skin, rough scales, tufts of hair, and tumorous protuberances. You gain the following effects: resistance 10 to precision and critical hits; darkvision; acidic skin deals 2d6 acid damage to creatures that hit you with a melee attack.</t>
  </si>
  <si>
    <t>You transform your flesh and organs into a bizarre amalgam of glistening skin, rough scales, tufts of hair, and tumorous protuberances. You gain the following effects: resistance 15 to precision and critical hits; darkvision; acidic skin deals 3d6 acid damage to creatures that hit you with a melee attack.</t>
  </si>
  <si>
    <t>You transform your flesh and organs into a bizarre amalgam of glistening skin, rough scales, tufts of hair, and tumorous protuberances. You gain the following effects: resistance 20 to precision and critical hits; darkvision; acidic skin deals 4d6 acid damage to creatures that hit you with a melee attack.</t>
  </si>
  <si>
    <t>Wind Jump</t>
  </si>
  <si>
    <t>You gain a fly Speed equal to your Speed. You must end your turn on solid ground, or you fall.</t>
  </si>
  <si>
    <t>You gain a fly Speed equal to your Speed. You must end your turn on solid ground, or you fall. At the end of your turn, you can attempt a DC 30 Acrobatics check to find purchase in midair. If you succeed, you don't fall.</t>
  </si>
  <si>
    <t>Wish-Twisted Form</t>
  </si>
  <si>
    <t>You focus your magic upon an enemy, wishing for their defenses to fail and turning their strengths into weaknesses, with the following effects: weakness 5 to one energy of your choice; reduces resistances by 5; -10ft speed; -1 status penelty to saves; Success - duration 1 round; Fail - duration 1 min; Crit Fail - duration 1 min, -1 to AC.</t>
  </si>
  <si>
    <t>You focus your magic upon an enemy, wishing for their defenses to fail and turning their strengths into weaknesses, with the following effects: weakness 6 to one energy of your choice; reduces resistances by 6; -10ft speed; -1 status penelty to saves; Success - duration 1 round; Fail - duration 1 min; Crit Fail - duration 1 min, -1 to AC.</t>
  </si>
  <si>
    <t>You focus your magic upon an enemy, wishing for their defenses to fail and turning their strengths into weaknesses, with the following effects: weakness 7 to one energy of your choice; reduces resistances by 7; -10ft speed; -1 status penelty to saves; Success - duration 1 round; Fail - duration 1 min; Crit Fail - duration 1 min, -1 to AC.</t>
  </si>
  <si>
    <t>You focus your magic upon an enemy, wishing for their defenses to fail and turning their strengths into weaknesses, with the following effects: weakness 8 to one energy of your choice; reduces resistances by 8; -10ft speed; -1 status penelty to saves; Success - duration 1 round; Fail - duration 1 min; Crit Fail - duration 1 min, -1 to AC.</t>
  </si>
  <si>
    <t>You focus your magic upon an enemy, wishing for their defenses to fail and turning their strengths into weaknesses, with the following effects: weakness 9 to one energy of your choice; reduces resistances by 9; -10ft speed; -1 status penelty to saves; Success - duration 1 round; Fail - duration 1 min; Crit Fail - duration 1 min, -1 to AC.</t>
  </si>
  <si>
    <t>You focus your magic upon an enemy, wishing for their defenses to fail and turning their strengths into weaknesses, with the following effects: weakness 10 to one energy of your choice; reduces resistances by 10; -10ft speed; -1 status penelty to saves; Success - duration 1 round; Fail - duration 1 min; Crit Fail - duration 1 min, -1 to AC.</t>
  </si>
  <si>
    <t>Wronged Monk's Wrath</t>
  </si>
  <si>
    <t>You unleash your ki as a powerful storm, dealing 2d6 force and 2d12 electric. If you use 2 actions, the area is 10ft, and damage is 3d6 force, 3d12 electric. With 3 actions area is 20ft emenation, dealing 4d6 force, 4d12 electric. One sace for both damage, on fail creature is deafened for 1 round; on crit fail deafened 1 min, 2d12 persistant electric.</t>
  </si>
  <si>
    <t>You unleash your ki as a powerful storm, dealing 3d6 force and 3d12 electric. If you use 2 actions, the area is 10ft, and damage is 5d6 force, 5d12 electric. With 3 actions area is 20ft emenation, dealing 6d6 force, 6d12 electric. One sace for both damage, on fail creature is deafened for 1 round; on crit fail deafened 1 min, 2d12 persistant electric.</t>
  </si>
  <si>
    <t>You unleash your ki as a powerful storm, dealing 4d6 force and 4d12 electric. If you use 2 actions, the area is 10ft, and damage is 7d6 force, 7d12 electric. With 3 actions area is 20ft emenation, dealing 8d6 force, 8d12 electric. One sace for both damage, on fail creature is deafened for 1 round; on crit fail deafened 1 min, 2d12 persistant electric.</t>
  </si>
  <si>
    <t>You're Mine</t>
  </si>
  <si>
    <t>You manipulate the target's emotions, with the possibility of controling them. Success - stunned 1; Fail - stunned 1, you partial control it and determine what it does with 1 action before acting normally; Crit Fail - controlled for 1 round.</t>
  </si>
  <si>
    <t>You manipulate the target's emotions, with the possibility of controling them. Success - stunned 1; Fail - controlled for 1 round; Crit Fail - controlled for upto 1 min, Will save at end of its turn, ending effect on success.</t>
  </si>
  <si>
    <t>Ancestral Form</t>
  </si>
  <si>
    <t>You take on the form of spirits, becoming invisible and quasi-corporeal. You gain resistance 10 to all damage (except force and ghost touch), doubled against non-magic and precision damage. You have a fly speed equal to land speed, but can not fly through objects unless there is a tiny gap. You cant not attack or cast spells (but you can sustain)</t>
  </si>
  <si>
    <t>You take on the form of spirits, becoming invisible and quasi-corporeal. You gain resistance 15 to all damage (except force and ghost touch), doubled against non-magic and precision damage. You have a fly speed equal to land speed, but can not fly through objects unless there is a tiny gap. You cant not attack or cast spells (but you can sustain)</t>
  </si>
  <si>
    <t>You take on the form of spirits, becoming invisible and quasi-corporeal. You gain resistance 20 to all damage (except force and ghost touch), doubled against non-magic and precision damage. You have a fly speed equal to land speed, but can not fly through objects unless there is a tiny gap. You cant not attack or cast spells (but you can sustain)</t>
  </si>
  <si>
    <t>Ash Form</t>
  </si>
  <si>
    <t>You take the form of a cloud of ash particles. You gain fast healing 3, resistance 10 to piercing and slashing, and immunity to bleed, falling damage, and precision. You can't move through solid objects, but you can move through tiny gaps as if difficult terrain. Air abilities that move wind (such as gust of wind) deals 1d6 bludgeoning damage per level of the spell to you each round you are in its area, in addition to its normal effects.</t>
  </si>
  <si>
    <t>You take the form of a cloud of ash particles. You gain fast healing 3, resistance 15 to piercing and slashing, and immunity to bleed, falling damage, and precision. You can't move through solid objects, but you can move through tiny gaps as if difficult terrain. Air abilities that move wind (such as gust of wind) deals 1d6 bludgeoning damage per level of the spell to you each round you are in its area, in addition to its normal effects.</t>
  </si>
  <si>
    <t>Champion's Sacrifice</t>
  </si>
  <si>
    <t>When an ally is hit by a strike or fails a saving throw that doesnt affect you, you form a link taking the damage in their stead. All effects of the trigger are applied to you, ignoring your resistances, imunities, and simular. Instead the resistances, weaknesses, and tier of success are determined by the target.</t>
  </si>
  <si>
    <t>Claim Undead</t>
  </si>
  <si>
    <t>1 undead crearture</t>
  </si>
  <si>
    <t>You attempt to force an undead to recognize you as its master. If its controlled by another, the master makes the Will save instead. Success - target is stunned 1; Fail - controlled, new will save at end of each round ending spell on success. Doesnt follow self destructive orders; Crit Fail - only gets a new save if you give it orders out of its nature.</t>
  </si>
  <si>
    <t>Dread Secret</t>
  </si>
  <si>
    <t>You utter a secret at odds with the nature of the targets. Choose a specific resistance or weakness you believe one or more of the targets to have. If incorrect the spell has no effect. Success - if weakness, deals 1 point of that damage, triggering weakness. If resistance, supress resistance until end of your next turn; Fail - as success, frightened 1; Crit Fail - as failure, frightened 3.</t>
  </si>
  <si>
    <t>Flaming Fusillade</t>
  </si>
  <si>
    <t>You call upon endless flames to form mini fireballs. You cast produce flame cantrip, and for the duration its casting time is 1 action. (Attack, 30ft, 1 creature, dealing 6d4 +[spell ability mod] fire damage; double damage and 6d4 persistant on crit)</t>
  </si>
  <si>
    <t>You call upon endless flames to form mini fireballs. You cast produce flame cantrip, and for the duration its casting time is 1 action. (Attack, 30ft, 1 creature, dealing 7d4 +[spell ability mod] fire damage; double damage and 7d4 persistant on crit)</t>
  </si>
  <si>
    <t>You call upon endless flames to form mini fireballs. You cast produce flame cantrip, and for the duration its casting time is 1 action. (Attack, 30ft, 1 creature, dealing 8d4 +[spell ability mod] fire damage; double damage and 8d4 persistant on crit)</t>
  </si>
  <si>
    <t>You call upon endless flames to form mini fireballs. You cast produce flame cantrip, and for the duration its casting time is 1 action. (Attack, 30ft, 1 creature, dealing 9d4+9 +[spell ability mod] fire damage; double damage and 9d4 persistant on crit)</t>
  </si>
  <si>
    <t>You call upon endless flames to form mini fireballs. You cast produce flame cantrip, and for the duration its casting time is 1 action. (Attack, 30ft, 1 creature, dealing 10d4+10 +[spell ability mod] fire damage; double damage and 10d4 persistant on crit)</t>
  </si>
  <si>
    <t>For Love, For Lightning</t>
  </si>
  <si>
    <t>You plunge a metal sword or spear into the ground where it crackles with crimson lightning. Upon casting and the first time you sustain the spell each round the lightning arcs, dealing 3d12 electric damage to a creature within 30ft. You can use an interact action to retrieve the weapon, ending the spell.</t>
  </si>
  <si>
    <t>You plunge a metal sword or spear into the ground where it crackles with crimson lightning. Upon casting and the first time you sustain the spell each round the lightning arcs, dealing 4d12 electric damage to a creature within 30ft. You can use an interact action to retrieve the weapon, ending the spell.</t>
  </si>
  <si>
    <t>You plunge a metal sword or spear into the ground where it crackles with crimson lightning. Upon casting and the first time you sustain the spell each round the lightning arcs, dealing 5d12 electric damage to a creature within 30ft. You can use an interact action to retrieve the weapon, ending the spell.</t>
  </si>
  <si>
    <t>Heroic Feat</t>
  </si>
  <si>
    <t>You learn a specialized combat technique. You use one common Fighter Feat upto lv 6,  it can't have a frequancy, and you must meet the prerquisites. Using 2 actions to cast this spell, the feat can only use 1 action to use. If you spend 3 actions casting this spell, the feat can be a 2 actions activity.</t>
  </si>
  <si>
    <t>You learn a specialized combat technique. You use one common Fighter Feat upto lv 7,  it can't have a frequancy, and you must meet the prerquisites. Using 2 actions to cast this spell, the feat can only use 1 action to use. If you spend 3 actions casting this spell, the feat can be a 2 actions activity.</t>
  </si>
  <si>
    <t>You learn a specialized combat technique. You use one common Fighter Feat upto lv 8,  it can't have a frequancy, and you must meet the prerquisites. Using 2 actions to cast this spell, the feat can only use 1 action to use. If you spend 3 actions casting this spell, the feat can be a 2 actions activity.</t>
  </si>
  <si>
    <t>You learn a specialized combat technique. You use one common Fighter Feat upto lv 9,  it can't have a frequancy, and you must meet the prerquisites. Using 2 actions to cast this spell, the feat can only use 1 action to use. If you spend 3 actions casting this spell, the feat can be a 2 actions activity.</t>
  </si>
  <si>
    <t>You learn a specialized combat technique. You use one common Fighter Feat upto lv 10,  it can't have a frequancy, and you must meet the prerquisites. Using 2 actions to cast this spell, the feat can only use 1 action to use. If you spend 3 actions casting this spell, the feat can be a 2 actions activity.</t>
  </si>
  <si>
    <t>Live-Giving Form</t>
  </si>
  <si>
    <t>You become a beacon of life. Your body glows like a torch (30ft bright light), you gain resistance 5 to precision, weakness 5 to negative, and unarmed strikes deal an extra 1d4 positive damage. An interact action to restores 6d8 hp to a creature you touch, or touches you. Afterwhich they are immune for 1 min. You can not heal yourself. Negetive healing creatures take 3d4 positive damage if they melee attack you.</t>
  </si>
  <si>
    <t>You become a beacon of life. Your body glows like a torch (30ft bright light), you gain resistance 6 to precision, weakness 6 to negative, and unarmed strikes deal an extra 1d4+1 positive damage. An interact action to restores 7d8 hp to a creature you touch, or touches you. Afterwhich they are immune for 1 min. You can not heal yourself. Negetive healing creatures take 3d4 positive damage if they melee attack you.</t>
  </si>
  <si>
    <t>You become a beacon of life. Your body glows like a torch (30ft bright light), you gain resistance 7 to precision, weakness 7 to negative, and unarmed strikes deal an extra 1d4+2 positive damage. An interact action to restores 8d8 hp to a creature you touch, or touches you. Afterwhich they are immune for 1 min. You can not heal yourself. Negetive healing creatures take 3d4 positive damage if they melee attack you.</t>
  </si>
  <si>
    <t>You become a beacon of life. Your body glows like a torch (30ft bright light), you gain resistance 8 to precision, weakness 8 to negative, and unarmed strikes deal an extra 1d4+3 positive damage. An interact action to restores 9d8 hp to a creature you touch, or touches you. Afterwhich they are immune for 1 min. You can not heal yourself. Negetive healing creatures take 3d4 positive damage if they melee attack you.</t>
  </si>
  <si>
    <t>You become a beacon of life. Your body glows like a torch (30ft bright light), you gain resistance 9 to precision, weakness 9 to negative, and unarmed strikes deal an extra 1d4+4 positive damage. An interact action to restores 10d8 hp to a creature you touch, or touches you. Afterwhich they are immune for 1 min. You can not heal yourself. Negetive healing creatures take 3d4 positive damage if they melee attack you.</t>
  </si>
  <si>
    <t>Manifold Lives</t>
  </si>
  <si>
    <t>You send the target's mind back in time, where they see countless different paths, choices, and versions of themselves in an instant. The overwhelming rergret deals 6d6 mental damage, and they are immune 1 day. Success - half damage, stupefied 2 for 1 round; Fail - full damage, stupefied 2 for 1 min, save at end of each turn to avoid sobbing (slowed 1); Crit Fail - double damage, stupefied 4 and slowed 1 for 1 min.</t>
  </si>
  <si>
    <t>You send the target's mind back in time, where they see countless different paths, choices, and versions of themselves in an instant. The overwhelming rergret deals 7d6 mental damage, and they are immune 1 day. Success - half damage, stupefied 2 for 1 round; Fail - full damage, stupefied 2 for 1 min, save at end of each turn to avoid sobbing (slowed 1); Crit Fail - double damage, stupefied 4 and slowed 1 for 1 min.</t>
  </si>
  <si>
    <t>You send the target's mind back in time, where they see countless different paths, choices, and versions of themselves in an instant. The overwhelming rergret deals 8d6 mental damage, and they are immune 1 day. Success - half damage, stupefied 2 for 1 round; Fail - full damage, stupefied 2 for 1 min, save at end of each turn to avoid sobbing (slowed 1); Crit Fail - double damage, stupefied 4 and slowed 1 for 1 min.</t>
  </si>
  <si>
    <t>You send the target's mind back in time, where they see countless different paths, choices, and versions of themselves in an instant. The overwhelming rergret deals 9d6 mental damage, and they are immune 1 day. Success - half damage, stupefied 2 for 1 round; Fail - full damage, stupefied 2 for 1 min, save at end of each turn to avoid sobbing (slowed 1); Crit Fail - double damage, stupefied 4 and slowed 1 for 1 min.</t>
  </si>
  <si>
    <t>You send the target's mind back in time, where they see countless different paths, choices, and versions of themselves in an instant. The overwhelming rergret deals 10d6 mental damage, and they are immune 1 day. Success - half damage, stupefied 2 for 1 round; Fail - full damage, stupefied 2 for 1 min, save at end of each turn to avoid sobbing (slowed 1); Crit Fail - double damage, stupefied 4 and slowed 1 for 1 min.</t>
  </si>
  <si>
    <t>Moonlight Bridge</t>
  </si>
  <si>
    <t>You create a bridge of shimmering moonlight 10ft wide. It must start on a point on the ground within range, and may extend upto 120ft horizontally or at a 45 degree angle. The bridge has an AC of 10, hardness 30, 60hp, and immunity to crits and precision damage. Allies can cross the bridge, others pass through. The bridge blocks physical, ethereal, and incorporeal attacks.</t>
  </si>
  <si>
    <t>You create a bridge of shimmering moonlight 10ft wide. It must start on a point on the ground within range, and may extend upto 140ft horizontally or at a 45 degree angle. The bridge has an AC of 10, hardness 30, 80hp, and immunity to crits and precision damage. Allies can cross the bridge, others pass through. The bridge blocks physical, ethereal, and incorporeal attacks.</t>
  </si>
  <si>
    <t>You create a bridge of shimmering moonlight 10ft wide. It must start on a point on the ground within range, and may extend upto 160ft horizontally or at a 45 degree angle. The bridge has an AC of 10, hardness 30, 100hp, and immunity to crits and precision damage. Allies can cross the bridge, others pass through. The bridge blocks physical, ethereal, and incorporeal attacks.</t>
  </si>
  <si>
    <t>You create a bridge of shimmering moonlight 10ft wide. It must start on a point on the ground within range, and may extend upto 180ft horizontally or at a 45 degree angle. The bridge has an AC of 10, hardness 30, 120hp, and immunity to crits and precision damage. Allies can cross the bridge, others pass through. The bridge blocks physical, ethereal, and incorporeal attacks.</t>
  </si>
  <si>
    <t>You create a bridge of shimmering moonlight 10ft wide. It must start on a point on the ground within range, and may extend upto 200ft horizontally or at a 45 degree angle. The bridge has an AC of 10, hardness 30, 140hp, and immunity to crits and precision damage. Allies can cross the bridge, others pass through. The bridge blocks physical, ethereal, and incorporeal attacks.</t>
  </si>
  <si>
    <t>Primal Summons</t>
  </si>
  <si>
    <t>If the next action is to cast Summon Animal or Summon Plant/Fungus you enhance them with one of the elements below: Air - 60ft fly speed; Earth - gain 20ft burrow, -10ft land speed (min 5ft), res. 5 to physical damage; Fire - attacks deal 1d6 extra fire damage, res. 10 fire, weak. 5 cold and water; Water - 60ft swim speed, 1 action after melee attack to shove (no MAP), res. 5 fire</t>
  </si>
  <si>
    <t>Shadow Illusion</t>
  </si>
  <si>
    <t>You create a shadowy version of a creature or object with muted colors. The object must fit in a 20ft burst, and the creature can be upto gargantuan, both dissapear if they leave dim light or darkness. Create accurate sounds, smells, touch. It is an Illusory Creature, has 2 actions in combat, and strikes deal 2d8 +[Spell ability mod] mental damage of any type until disbelieved (action to attempt)</t>
  </si>
  <si>
    <t>You create a shadowy version of a creature or object with muted colors. The object must fit in a 30ft burst, and the creature can be upto gargantuan, both dissapear if they leave dim light or darkness. Create accurate sounds, smells, touch. It is an Illusory Creature, has 2 actions in combat, and strikes deal 3d8 +[Spell ability mod] mental damage of any type until disbelieved (action to attempt)</t>
  </si>
  <si>
    <t>You create a shadowy version of a creature or object with muted colors. The object must fit in a 30ft burst, and the creature can be upto gargantuan, both dissapear if they leave dim light or darkness. Create accurate sounds, smells, touch. It is an Illusory Creature, has 2 actions in combat, and strikes deal 4d8 +[Spell ability mod] mental damage of any type until disbelieved (action to attempt)</t>
  </si>
  <si>
    <t>Shambling Horror</t>
  </si>
  <si>
    <t>You reanimate a corpse of a creature 4 lvs less then you as a minion. Choose a skeleton or zombie statblock of the same size as the corpse upto its level. Keeps its speed and its pysical melee attacks, but its to hit bonus is replaced by the new stats. Any special abilities from either statblock are used if DM agrees. You can only have 1 Horror. Can keep reanimating it until the next sunrise when the corpse is too old to animate.</t>
  </si>
  <si>
    <t>Speaking Sky</t>
  </si>
  <si>
    <t>The air speaks to you. You can precisely sense any motion within 60 feet through vibration and air movement.</t>
  </si>
  <si>
    <t>Tempest Form</t>
  </si>
  <si>
    <t>Your body becomes fluid. You use unarmored defense for AC, gain res. 10 to physical damage, and immunity to precision damage. You dont breath, hand hands, and can slip through tiny cracks. Choose a form: Air - (20ft fly), invisible, can cast Gust of Wind; Mist - (20ft fly), conceal creatures behind you; Water - (20ft swim), invisable in water, action to charge electricity and deal 1d6 electric to creatures that touch you.</t>
  </si>
  <si>
    <t>Your body becomes fluid. You use unarmored defense for AC, gain res. 15 to physical damage, and immunity to precision damage. You dont breath, hand hands, and can slip through tiny cracks. Choose a form: Air - (20ft fly), invisible, can cast Gust of Wind; Mist - (20ft fly), conceal creatures behind you; Water - (20ft swim), invisable in water, action to charge electricity and deal 1d6+1 electric to creatures that touch you.</t>
  </si>
  <si>
    <t>Your body becomes fluid. You use unarmored defense for AC, gain res. 20 to physical damage, and immunity to precision damage. You dont breath, hand hands, and can slip through tiny cracks. Choose a form: Air - (20ft fly), invisible, can cast Gust of Wind; Mist - (20ft fly), conceal creatures behind you; Water - (20ft swim), invisable in water, action to charge electricity and deal 1d6+2 electric to creatures that touch you.</t>
  </si>
  <si>
    <t>Darklight</t>
  </si>
  <si>
    <t>You create a field of darkness that supressed light from magical sources upto its level. Creatures with darkness cant see well, everything is concealed to them. Creatures that enter or start their turn in the area take 2d6 bludgeoning and 2d6 negative damage (fort save) as the light is sucked out of them. Choose 4 allies that are immune to this spell's effects.</t>
  </si>
  <si>
    <t>You create a field of darkness that supressed light from magical sources upto its level. Creatures with darkness cant see well, everything is concealed to them. Creatures that enter or start their turn in the area take 3d6 bludgeoning and 3d6 negative damage (fort save) as the light is sucked out of them. Choose 4 allies that are immune to this spell's effects.</t>
  </si>
  <si>
    <t>Hasted Assault</t>
  </si>
  <si>
    <t>You call upon your magic to speed up your attacks. You gain the quickened condition and can use the extra action each round for only Strike actions.</t>
  </si>
  <si>
    <t>Litany of Depravity</t>
  </si>
  <si>
    <t>1 good creature</t>
  </si>
  <si>
    <t>Your litany calls into question the morals your foe claims to hold dear. The target gains weakness 7 to evil, then becomes temporarily immune to all your litanies for 1 minute.</t>
  </si>
  <si>
    <t>Your litany calls into question the morals your foe claims to hold dear. The target gains weakness 8 to evil, then becomes temporarily immune to all your litanies for 1 minute.</t>
  </si>
  <si>
    <t>Your litany calls into question the morals your foe claims to hold dear. The target gains weakness 9 to evil, then becomes temporarily immune to all your litanies for 1 minute.</t>
  </si>
  <si>
    <t>Your litany calls into question the morals your foe claims to hold dear. The target gains weakness 10 to evil, then becomes temporarily immune to all your litanies for 1 minute.</t>
  </si>
  <si>
    <t>Litany of Righteousness</t>
  </si>
  <si>
    <t>Your litany denounces an evildoer, rendering it susceptible to the powers of good. The target gains weakness 7 to good. The target then becomes temporarily immune to all of your litanies for 1 minute.</t>
  </si>
  <si>
    <t>Your litany denounces an evildoer, rendering it susceptible to the powers of good. The target gains weakness 8 to good. The target then becomes temporarily immune to all of your litanies for 1 minute.</t>
  </si>
  <si>
    <t>Your litany denounces an evildoer, rendering it susceptible to the powers of good. The target gains weakness 9 to good. The target then becomes temporarily immune to all of your litanies for 1 minute.</t>
  </si>
  <si>
    <t>Your litany denounces an evildoer, rendering it susceptible to the powers of good. The target gains weakness 10 to good. The target then becomes temporarily immune to all of your litanies for 1 minute.</t>
  </si>
  <si>
    <t>Shadow's Web</t>
  </si>
  <si>
    <t>Grasping darkness surges from you, dealing 14d4 negative damage to each creature in range. Success - half damage, and enfeebled 1 for 1 round; Fail - full damage, and enfeebled 2 and 1 round; Crit Fail - double damage, stunned 1, and for 1 round enfeebled 2 and immobilized (until escape)</t>
  </si>
  <si>
    <t>Soothing Ballad</t>
  </si>
  <si>
    <t>9 allies</t>
  </si>
  <si>
    <t>You sooth you and your allies. Choose one of the following effects: attempt to counteract fear effect on the target; attempt to counteract paralysis effect; restore 7d8 HP.</t>
  </si>
  <si>
    <t>You sooth you and your allies. Choose one of the following effects: attempt to counteract fear effect on the target; attempt to counteract paralysis effect; restore 8d8 HP.</t>
  </si>
  <si>
    <t>You sooth you and your allies. Choose one of the following effects: attempt to counteract fear effect on the target; attempt to counteract paralysis effect; restore 9d8 HP.</t>
  </si>
  <si>
    <t>You sooth you and your allies. Choose one of the following effects: attempt to counteract fear effect on the target; attempt to counteract paralysis effect; restore 10d8 HP.</t>
  </si>
  <si>
    <t>Unblinking Flame Emblem</t>
  </si>
  <si>
    <t>If your last action was a successful strike you mark the target with a fiery sigil. Attack rolls against the target gain a +1 status bonus, with future successful strikes deal an extra 1d6 fire damage, and 1d10 persistant fire damage on a crit. The emblem distracts you, and you are flatfooted to other enemies. New emblem removes current one.</t>
  </si>
  <si>
    <t>If your last action was a successful strike you mark the target with a fiery sigil. Attack rolls against the target gain a +1 status bonus, with future successful strikes deal an extra 1d8 fire damage, and 1d12 persistant fire damage on a crit. The emblem distracts you, and you are flatfooted to other enemies. New emblem removes current one.</t>
  </si>
  <si>
    <t>Unbreaking Wave Barrier</t>
  </si>
  <si>
    <t>You create a repels circle, gaining a +1 status bonus to AC. Any creature in the area or trying to move into the area makes a save each round. Creatures pushed into solid objects or creatures take 2d6 bludgeoning for each 5ft it didnt move. Once a round when you sustain radius increases by 5ft. Success - difficult terrain; Fail - pushed 10ft, difficult terrain; Crit Fail - pushed 20ft, prone, difficult terrain.</t>
  </si>
  <si>
    <t>Unfolding Wind Blitz</t>
  </si>
  <si>
    <t>You blitz forward faster then others can react. Fly upto twice your speed without triggering reactions. At any point in the movement you can make an unarmed strike against 3 different creatures, increasing MAP only after making all 3 attacks.</t>
  </si>
  <si>
    <t>Untwisting Iron Augmentation</t>
  </si>
  <si>
    <t>Your unarmed attacks are treated as cold iron and silver, they gain the earth trait, and they gain a +1 status bonus to damage rolls per damage die.</t>
  </si>
  <si>
    <t>Your unarmed attacks are treated as cold iron, silver, and adamantine, they gain the earth trait, and they gain a +1 status bonus to damage rolls per damage die.</t>
  </si>
  <si>
    <t>Impaling Briars</t>
  </si>
  <si>
    <t>100ft emanation</t>
  </si>
  <si>
    <t>The first time you sustain a round pick one: Ensare - creature within 20ft of the ground makes a reflex save, -10ft speed on fail, immobilized on crit fail, 1 round; Impead - the area becomes difficult terrain; Wall - wall of Thorns lasts for 1 round, greater difficult terrain (60ft long, 3d4 peircing). As an action you make a spell attack to impail target in range (upto 20ft in the air), dealing 10d6 pericing on hit, -10ft speed on hit, immobilized on crit for 1 round.</t>
  </si>
  <si>
    <t>Medusa's Wrath</t>
  </si>
  <si>
    <t>Make an unarmed strike with petrifying power. Critical Success - the target is slowed 2 and must make a fortitude save at the end of each of its turns. On a failed save the slowed condition increases by 1 (2 on crit), while a successful save decreases it by 1. When a creature is unable to act it becomes petrified; Success - as crit success, by slowed 1 initially.</t>
  </si>
  <si>
    <t>Quivering Palm</t>
  </si>
  <si>
    <t>Make an unarmed strike, if the target survives any time during the duration you can spend an action to slay them instantly. Fort save, immune 24 hours. You can only have 1 casting of this at at time. Crit Success - survives, spell ends; Success - stunned 1, 40 damage, spell ends; Fail - stunned 3, 80 damage, spell does not end, but still immune; Crit Fail - dies.</t>
  </si>
  <si>
    <t>Make an unarmed strike, if the target survives any time during the duration you can spend an action to slay them instantly. Fort save, immune 24 hours. You can only have 1 casting of this at at time. Crit Success - survives, spell ends; Success - stunned 1, 45 damage, spell ends; Fail - stunned 3, 90 damage, spell does not end, but still immune; Crit Fail - dies.</t>
  </si>
  <si>
    <t>Make an unarmed strike, if the target survives any time during the duration you can spend an action to slay them instantly. Fort save, immune 24 hours. You can only have 1 casting of this at at time. Crit Success - survives, spell ends; Success - stunned 1, 50 damage, spell ends; Fail - stunned 3, 100 damage, spell does not end, but still immune; Crit Fail - dies.</t>
  </si>
  <si>
    <t>Empty Body</t>
  </si>
  <si>
    <t>You turn ethereal, with the effects of ethereal jaunt, but you don't need to concentrate. Half speed (any direction), see on material plane for 60ft, can only be affected by force and abjuration, take 1d6 damage every 5ft if you materialize in an object.</t>
  </si>
  <si>
    <t>Ki Form</t>
  </si>
  <si>
    <t>You begin to glow, gain a fly speed equal to land speed as ki transforms you. Choose force, lawful (if lawful), negative, or positive. Your strikes deal an extra 1d6 of chosen damage. You have a 5ft emanation of light that deals 2d6 of the chosen damage to creatures in the area; and it attempts to counteract darkness. Action to flare light into a 30ft radius. Ki form is unstable, attacks arent nonleathal, -2 status to emotion saves, +2 to other mental effects.</t>
  </si>
  <si>
    <t>Storm Lord</t>
  </si>
  <si>
    <t>You change the weather, being affected by it like all others. The first time you sustain a round choose one: calm - n/a; Fog - conceals the area; Rain - douses flames, -2 circum. to acrobatic and perception checks; Wind - -4 circum. to ranged attacks, flying is difficult terrain. As an action each round you can call down lightning again a creature dealing 10d6 electricity, basic reflex save, defeaned 1 round on fail.</t>
  </si>
  <si>
    <t>Unblinking Flame Ignition</t>
  </si>
  <si>
    <t>When a foe reduces you to half HP or less you fight back. You gain greater darkvision, low-light vision, can see invisible creatures, fly speed equal to land speed, and quickened (strike or fly). All from a flaming aura, that deals 1d12 fire damage to creatures starting their turn within 5ft.</t>
  </si>
  <si>
    <t>Unbreaking Wave Containment</t>
  </si>
  <si>
    <t>You wrap enemies in water, immobilizing them on a hit (restrained on crit) until escape. Each target immobilized takes 10d6 bludgeoning (basic fort) from constricting wave. The first time you sustain the spell each round make a spell attack at any targets if they are free and within range as if casting the spell for the first time.</t>
  </si>
  <si>
    <t>Unfolding Wind Crash</t>
  </si>
  <si>
    <t>You jump up to 120 feet in any direction and then deal 18d6 bludgeoning damage to creatures within a 20-foot emanation after you land, with a basic Reflex save. Creatures who critically fail are also knocked prone.</t>
  </si>
  <si>
    <t>You jump up to 120 feet in any direction and then deal 20d6 bludgeoning damage to creatures within a 20-foot emanation after you land, with a basic Reflex save. Creatures who critically fail are also knocked prone.</t>
  </si>
  <si>
    <t>Untwisting Iron Pillar</t>
  </si>
  <si>
    <t>5 rounds</t>
  </si>
  <si>
    <t>You call upon the earth and your ki to shield you from your enemies. You gain 50 temporary Hit Points that last for the duration or until you lose them, as well as resistance 5 to all physical damage (except adamantine).</t>
  </si>
  <si>
    <t>Apex Companion</t>
  </si>
  <si>
    <t>You transform your animal companion into an apex of its species, gaining the following: becomes huge (15ft reach); 30 temp hp; Darkvision; attack damage dice increase one step, and gain deadly d12 trait; +10ft speed; ignores difficult / greater difficult terrain.</t>
  </si>
  <si>
    <t>#150</t>
  </si>
  <si>
    <t>Fatal Aria</t>
  </si>
  <si>
    <t>Music so perfect that the target may die from the emotions. Effect based on level and current hp, afterwhich immune for 1 min. Upto 16th lv: target dies instantly; 17th lv, 50 hp or less: dies instantly, otherwise drops to 0hp (dying 1); 18th+ lv: target takes 50 damage, if this reduces them to 0hp they die.</t>
  </si>
  <si>
    <t>Hero's Defiance</t>
  </si>
  <si>
    <t>When an attack would bring you to 0hp, you fill yourself with a burst of healing, recoverying 10d4+20 hp before the attack damage is applied, potentially avoiding falling unconious. Cheating death is difficult, and you become immune to this spell until you Refocus, or daily prep. This spell cannot be used against death traits, or the disintegrate spell.</t>
  </si>
  <si>
    <t>Pied Piping</t>
  </si>
  <si>
    <t>You enrapture those close. Those in the area, or enter the area make a save, afterwhich they are immune 1 day. Once per turn you can use a single action to increase the radius by 5ft. Success - fascinated; Fail - until hostile action is used againt them, they use all actions to move toward you and compliment you; Crit Fail - becomes minion controlled by you until hostile action is used against it, or it hurts itself.</t>
  </si>
  <si>
    <t>Song of the Fallen</t>
  </si>
  <si>
    <t>Your words either rouse 4 dead creatures, or lay to rest 4 undead. Dead you raise have 60 temp HP, are slowed 1, and die when the spell ends. Undead make a save: Crit Success - 5d6 positive damage; Success - 10d6 positive damage, slowed 1 for 1 round; Fail - 100 positive damage, slowed 1 for 1 min; Crit Fail - destroyed.</t>
  </si>
  <si>
    <t>8TH LEVEL SPELLS</t>
  </si>
  <si>
    <t>9TH LEVEL SPELLS</t>
  </si>
  <si>
    <t>10TH LEVEL SPELLS</t>
  </si>
</sst>
</file>

<file path=xl/styles.xml><?xml version="1.0" encoding="utf-8"?>
<styleSheet xmlns="http://schemas.openxmlformats.org/spreadsheetml/2006/main" xmlns:x14ac="http://schemas.microsoft.com/office/spreadsheetml/2009/9/ac" xmlns:mc="http://schemas.openxmlformats.org/markup-compatibility/2006">
  <fonts count="70">
    <font>
      <sz val="10.0"/>
      <color rgb="FF000000"/>
      <name val="Arial"/>
      <scheme val="minor"/>
    </font>
    <font>
      <b/>
      <sz val="10.0"/>
      <color theme="1"/>
      <name val="Verdana"/>
    </font>
    <font>
      <sz val="10.0"/>
      <color theme="1"/>
      <name val="Verdana"/>
    </font>
    <font>
      <sz val="10.0"/>
      <color rgb="FF222222"/>
      <name val="Verdana"/>
    </font>
    <font>
      <b/>
      <sz val="14.0"/>
      <color theme="1"/>
      <name val="Verdana"/>
    </font>
    <font>
      <sz val="8.0"/>
      <color theme="1"/>
      <name val="Verdana"/>
    </font>
    <font>
      <b/>
      <sz val="21.0"/>
      <color theme="1"/>
      <name val="Verdana"/>
    </font>
    <font>
      <b/>
      <u/>
      <sz val="18.0"/>
      <color rgb="FF990000"/>
      <name val="Verdana"/>
    </font>
    <font>
      <b/>
      <sz val="14.0"/>
      <color rgb="FF000000"/>
      <name val="Verdana"/>
    </font>
    <font>
      <b/>
      <sz val="10.0"/>
      <color rgb="FFCC0000"/>
      <name val="Verdana"/>
    </font>
    <font>
      <b/>
      <sz val="8.0"/>
      <color theme="1"/>
      <name val="Verdana"/>
    </font>
    <font/>
    <font>
      <b/>
      <sz val="10.0"/>
      <color rgb="FF38761D"/>
      <name val="Verdana"/>
    </font>
    <font>
      <sz val="20.0"/>
      <color theme="1"/>
      <name val="Verdana"/>
    </font>
    <font>
      <b/>
      <sz val="10.0"/>
      <color rgb="FF000000"/>
      <name val="Verdana"/>
    </font>
    <font>
      <color theme="1"/>
      <name val="Arial"/>
      <scheme val="minor"/>
    </font>
    <font>
      <b/>
      <color rgb="FFFFFFFF"/>
      <name val="Syncopate"/>
    </font>
    <font>
      <u/>
      <sz val="10.0"/>
      <color rgb="FF0000FF"/>
      <name val="Verdana"/>
    </font>
    <font>
      <sz val="6.0"/>
      <color theme="1"/>
      <name val="Verdana"/>
    </font>
    <font>
      <u/>
      <sz val="10.0"/>
      <color rgb="FF0000FF"/>
      <name val="Verdana"/>
    </font>
    <font>
      <sz val="14.0"/>
      <color theme="1"/>
      <name val="Verdana"/>
    </font>
    <font>
      <b/>
      <sz val="10.0"/>
      <color rgb="FFFFFFFF"/>
      <name val="Syncopate"/>
    </font>
    <font>
      <u/>
      <sz val="10.0"/>
      <color rgb="FF0000FF"/>
      <name val="Verdana"/>
    </font>
    <font>
      <b/>
      <sz val="9.0"/>
      <color theme="1"/>
      <name val="Arial"/>
      <scheme val="minor"/>
    </font>
    <font>
      <sz val="6.0"/>
      <color theme="1"/>
      <name val="Arial"/>
      <scheme val="minor"/>
    </font>
    <font>
      <sz val="11.0"/>
      <color rgb="FF000000"/>
      <name val="Verdana"/>
    </font>
    <font>
      <color theme="1"/>
      <name val="Verdana"/>
    </font>
    <font>
      <u/>
      <color rgb="FF0000FF"/>
      <name val="Verdana"/>
    </font>
    <font>
      <b/>
      <sz val="12.0"/>
      <color rgb="FF000000"/>
      <name val="Verdana"/>
    </font>
    <font>
      <sz val="9.0"/>
      <color theme="1"/>
      <name val="Verdana"/>
    </font>
    <font>
      <b/>
      <u/>
      <color rgb="FF0000FF"/>
      <name val="Verdana"/>
    </font>
    <font>
      <sz val="12.0"/>
      <color theme="1"/>
      <name val="Verdana"/>
    </font>
    <font>
      <sz val="12.0"/>
      <color rgb="FF000000"/>
      <name val="Verdana"/>
    </font>
    <font>
      <u/>
      <color rgb="FF0000FF"/>
      <name val="Verdana"/>
    </font>
    <font>
      <b/>
      <color theme="1"/>
      <name val="Arial"/>
      <scheme val="minor"/>
    </font>
    <font>
      <sz val="8.0"/>
      <color theme="1"/>
      <name val="Arial"/>
      <scheme val="minor"/>
    </font>
    <font>
      <b/>
      <color theme="0"/>
      <name val="Syncopate"/>
    </font>
    <font>
      <b/>
      <sz val="10.0"/>
      <color theme="1"/>
      <name val="Syncopate"/>
    </font>
    <font>
      <b/>
      <sz val="12.0"/>
      <color theme="1"/>
      <name val="Verdana"/>
    </font>
    <font>
      <sz val="8.0"/>
      <color rgb="FF000000"/>
      <name val="Verdana"/>
    </font>
    <font>
      <b/>
      <sz val="11.0"/>
      <color theme="1"/>
      <name val="Verdana"/>
    </font>
    <font>
      <sz val="11.0"/>
      <color rgb="FF000000"/>
      <name val="Inconsolata"/>
    </font>
    <font>
      <color theme="1"/>
      <name val="Arial"/>
    </font>
    <font>
      <b/>
      <color theme="1"/>
      <name val="Verdana"/>
    </font>
    <font>
      <sz val="10.0"/>
      <color rgb="FF000000"/>
      <name val="Verdana"/>
    </font>
    <font>
      <sz val="6.0"/>
      <color theme="1"/>
      <name val="Arial"/>
    </font>
    <font>
      <sz val="6.0"/>
      <color rgb="FF000000"/>
      <name val="Verdana"/>
    </font>
    <font>
      <sz val="7.0"/>
      <color theme="1"/>
      <name val="Verdana"/>
    </font>
    <font>
      <sz val="7.0"/>
      <color theme="1"/>
      <name val="Arial"/>
      <scheme val="minor"/>
    </font>
    <font>
      <b/>
      <sz val="10.0"/>
      <color theme="0"/>
      <name val="Syncopate"/>
    </font>
    <font>
      <b/>
      <color rgb="FFFFFFFF"/>
      <name val="Verdana"/>
    </font>
    <font>
      <sz val="10.0"/>
      <color theme="1"/>
      <name val="Arial"/>
      <scheme val="minor"/>
    </font>
    <font>
      <b/>
      <sz val="9.0"/>
      <color theme="1"/>
      <name val="Verdana"/>
    </font>
    <font>
      <sz val="9.0"/>
      <color theme="1"/>
      <name val="Arial"/>
      <scheme val="minor"/>
    </font>
    <font>
      <sz val="5.0"/>
      <color theme="1"/>
      <name val="Verdana"/>
    </font>
    <font>
      <sz val="12.0"/>
      <color theme="1"/>
      <name val="Arial"/>
      <scheme val="minor"/>
    </font>
    <font>
      <color rgb="FF000000"/>
      <name val="Roboto"/>
    </font>
    <font>
      <b/>
      <sz val="7.0"/>
      <color theme="1"/>
      <name val="Verdana"/>
    </font>
    <font>
      <b/>
      <sz val="10.0"/>
      <color rgb="FFFFFFFF"/>
      <name val="Arial"/>
    </font>
    <font>
      <sz val="9.0"/>
      <color rgb="FF000000"/>
      <name val="Verdana"/>
    </font>
    <font>
      <color rgb="FF000000"/>
      <name val="Arial"/>
      <scheme val="minor"/>
    </font>
    <font>
      <b/>
      <sz val="6.0"/>
      <color theme="1"/>
      <name val="Verdana"/>
    </font>
    <font>
      <sz val="9.0"/>
      <color rgb="FF000000"/>
      <name val="Arial"/>
      <scheme val="minor"/>
    </font>
    <font>
      <b/>
      <sz val="11.0"/>
      <color rgb="FF000000"/>
      <name val="Verdana"/>
    </font>
    <font>
      <b/>
      <sz val="10.0"/>
      <color rgb="FF222222"/>
      <name val="Verdana"/>
    </font>
    <font>
      <u/>
      <sz val="10.0"/>
      <color rgb="FF0000FF"/>
      <name val="Verdana"/>
    </font>
    <font>
      <color rgb="FF000000"/>
      <name val="Verdana"/>
    </font>
    <font>
      <b/>
      <sz val="10.0"/>
      <color rgb="FFFFFF00"/>
      <name val="Verdana"/>
    </font>
    <font>
      <sz val="10.0"/>
      <color rgb="FF222222"/>
      <name val="Arial"/>
      <scheme val="minor"/>
    </font>
    <font>
      <sz val="10.0"/>
      <color rgb="FFFFFFFF"/>
      <name val="Verdana"/>
    </font>
  </fonts>
  <fills count="17">
    <fill>
      <patternFill patternType="none"/>
    </fill>
    <fill>
      <patternFill patternType="lightGray"/>
    </fill>
    <fill>
      <patternFill patternType="solid">
        <fgColor rgb="FFB7B7B7"/>
        <bgColor rgb="FFB7B7B7"/>
      </patternFill>
    </fill>
    <fill>
      <patternFill patternType="solid">
        <fgColor rgb="FFD9D9D9"/>
        <bgColor rgb="FFD9D9D9"/>
      </patternFill>
    </fill>
    <fill>
      <patternFill patternType="solid">
        <fgColor rgb="FFFFE599"/>
        <bgColor rgb="FFFFE599"/>
      </patternFill>
    </fill>
    <fill>
      <patternFill patternType="solid">
        <fgColor rgb="FFB6D7A8"/>
        <bgColor rgb="FFB6D7A8"/>
      </patternFill>
    </fill>
    <fill>
      <patternFill patternType="solid">
        <fgColor rgb="FFF4CCCC"/>
        <bgColor rgb="FFF4CCCC"/>
      </patternFill>
    </fill>
    <fill>
      <patternFill patternType="solid">
        <fgColor rgb="FFCFE2F3"/>
        <bgColor rgb="FFCFE2F3"/>
      </patternFill>
    </fill>
    <fill>
      <patternFill patternType="solid">
        <fgColor rgb="FFFFFFFF"/>
        <bgColor rgb="FFFFFFFF"/>
      </patternFill>
    </fill>
    <fill>
      <patternFill patternType="solid">
        <fgColor rgb="FF000000"/>
        <bgColor rgb="FF000000"/>
      </patternFill>
    </fill>
    <fill>
      <patternFill patternType="solid">
        <fgColor theme="1"/>
        <bgColor theme="1"/>
      </patternFill>
    </fill>
    <fill>
      <patternFill patternType="solid">
        <fgColor rgb="FFFFF2CC"/>
        <bgColor rgb="FFFFF2CC"/>
      </patternFill>
    </fill>
    <fill>
      <patternFill patternType="solid">
        <fgColor theme="7"/>
        <bgColor theme="7"/>
      </patternFill>
    </fill>
    <fill>
      <patternFill patternType="solid">
        <fgColor theme="5"/>
        <bgColor theme="5"/>
      </patternFill>
    </fill>
    <fill>
      <patternFill patternType="solid">
        <fgColor rgb="FFEFEFEF"/>
        <bgColor rgb="FFEFEFEF"/>
      </patternFill>
    </fill>
    <fill>
      <patternFill patternType="solid">
        <fgColor rgb="FFF3F3F3"/>
        <bgColor rgb="FFF3F3F3"/>
      </patternFill>
    </fill>
    <fill>
      <patternFill patternType="solid">
        <fgColor rgb="FFC9DAF8"/>
        <bgColor rgb="FFC9DAF8"/>
      </patternFill>
    </fill>
  </fills>
  <borders count="57">
    <border/>
    <border>
      <bottom style="thick">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border>
    <border>
      <right/>
      <bottom style="thin">
        <color rgb="FF000000"/>
      </bottom>
    </border>
    <border>
      <right/>
      <bottom style="thin">
        <color rgb="FFFFFFFF"/>
      </bottom>
    </border>
    <border>
      <left style="thin">
        <color rgb="FF000000"/>
      </left>
      <right style="thin">
        <color rgb="FF000000"/>
      </right>
    </border>
    <border>
      <left style="thin">
        <color rgb="FFB7B7B7"/>
      </left>
      <top style="thin">
        <color rgb="FFB7B7B7"/>
      </top>
    </border>
    <border>
      <top style="thin">
        <color rgb="FFB7B7B7"/>
      </top>
    </border>
    <border>
      <right style="thin">
        <color rgb="FFB7B7B7"/>
      </right>
      <top style="thin">
        <color rgb="FFB7B7B7"/>
      </top>
    </border>
    <border>
      <left style="thin">
        <color rgb="FFB7B7B7"/>
      </left>
    </border>
    <border>
      <right style="thin">
        <color rgb="FFB7B7B7"/>
      </right>
    </border>
    <border>
      <left style="thin">
        <color rgb="FFB7B7B7"/>
      </left>
      <bottom style="thin">
        <color rgb="FFB7B7B7"/>
      </bottom>
    </border>
    <border>
      <bottom style="thin">
        <color rgb="FFB7B7B7"/>
      </bottom>
    </border>
    <border>
      <right style="thin">
        <color rgb="FFB7B7B7"/>
      </right>
      <bottom style="thin">
        <color rgb="FFB7B7B7"/>
      </bottom>
    </border>
    <border>
      <left style="thin">
        <color rgb="FF000000"/>
      </left>
      <top style="thin">
        <color rgb="FFFFFFFF"/>
      </top>
      <bottom style="thin">
        <color rgb="FFD9D9D9"/>
      </bottom>
    </border>
    <border>
      <top style="thin">
        <color rgb="FFFFFFFF"/>
      </top>
      <bottom style="thin">
        <color rgb="FFD9D9D9"/>
      </bottom>
    </border>
    <border>
      <right style="thin">
        <color rgb="FF000000"/>
      </right>
      <top style="thin">
        <color rgb="FFFFFFFF"/>
      </top>
      <bottom style="thin">
        <color rgb="FFD9D9D9"/>
      </bottom>
    </border>
    <border>
      <left style="thin">
        <color rgb="FFFFFFFF"/>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000000"/>
      </left>
      <bottom style="thin">
        <color rgb="FFB7B7B7"/>
      </bottom>
    </border>
    <border>
      <left style="thin">
        <color rgb="FFFFFFFF"/>
      </left>
      <top style="thin">
        <color rgb="FFFFFFFF"/>
      </top>
      <bottom style="thin">
        <color rgb="FFB7B7B7"/>
      </bottom>
    </border>
    <border>
      <right style="thin">
        <color rgb="FF000000"/>
      </right>
      <top style="thin">
        <color rgb="FFFFFFFF"/>
      </top>
      <bottom style="thin">
        <color rgb="FFB7B7B7"/>
      </bottom>
    </border>
    <border>
      <left style="thin">
        <color rgb="FF000000"/>
      </left>
      <bottom style="thin">
        <color rgb="FFFFFFFF"/>
      </bottom>
    </border>
    <border>
      <bottom style="thin">
        <color rgb="FFFFFFFF"/>
      </bottom>
    </border>
    <border>
      <left style="thin">
        <color rgb="FFFFFFFF"/>
      </left>
      <top style="thin">
        <color rgb="FFFFFFFF"/>
      </top>
      <bottom style="thin">
        <color rgb="FFFFFFFF"/>
      </bottom>
    </border>
    <border>
      <right style="thin">
        <color rgb="FF000000"/>
      </right>
      <top style="thin">
        <color rgb="FFFFFFFF"/>
      </top>
      <bottom style="thin">
        <color rgb="FFFFFFFF"/>
      </bottom>
    </border>
    <border>
      <left style="thin">
        <color rgb="FFFFFFFF"/>
      </left>
      <bottom style="thin">
        <color rgb="FFFFFFFF"/>
      </bottom>
    </border>
    <border>
      <right style="thin">
        <color rgb="FF000000"/>
      </right>
      <bottom style="thin">
        <color rgb="FFFFFFFF"/>
      </bottom>
    </border>
    <border>
      <left style="thin">
        <color rgb="FFFFFFFF"/>
      </left>
      <top style="thin">
        <color rgb="FFFFFFFF"/>
      </top>
      <bottom style="thin">
        <color rgb="FF000000"/>
      </bottom>
    </border>
    <border>
      <right style="thin">
        <color rgb="FF000000"/>
      </right>
      <top style="thin">
        <color rgb="FFFFFFFF"/>
      </top>
      <bottom style="thin">
        <color rgb="FF000000"/>
      </bottom>
    </border>
    <border>
      <left style="thin">
        <color rgb="FF000000"/>
      </left>
      <top style="thin">
        <color rgb="FF000000"/>
      </top>
      <bottom style="thin">
        <color rgb="FFB7B7B7"/>
      </bottom>
    </border>
    <border>
      <top style="thin">
        <color rgb="FF000000"/>
      </top>
      <bottom style="thin">
        <color rgb="FFB7B7B7"/>
      </bottom>
    </border>
    <border>
      <right style="thin">
        <color rgb="FF000000"/>
      </right>
      <top style="thin">
        <color rgb="FF000000"/>
      </top>
      <bottom style="thin">
        <color rgb="FFB7B7B7"/>
      </bottom>
    </border>
    <border>
      <right style="thin">
        <color rgb="FF000000"/>
      </right>
      <bottom style="thin">
        <color rgb="FFB7B7B7"/>
      </bottom>
    </border>
    <border>
      <left style="thin">
        <color rgb="FF000000"/>
      </left>
      <top style="thin">
        <color rgb="FFB7B7B7"/>
      </top>
    </border>
    <border>
      <right style="thin">
        <color rgb="FF000000"/>
      </right>
      <top style="thin">
        <color rgb="FFB7B7B7"/>
      </top>
    </border>
    <border>
      <right style="thin">
        <color rgb="FFB7B7B7"/>
      </right>
      <bottom style="thin">
        <color rgb="FF000000"/>
      </bottom>
    </border>
    <border>
      <left style="thin">
        <color rgb="FFB7B7B7"/>
      </left>
      <bottom style="thin">
        <color rgb="FF000000"/>
      </bottom>
    </border>
    <border>
      <right style="thin">
        <color rgb="FFFFFFFF"/>
      </right>
      <top style="thin">
        <color rgb="FFFFFFFF"/>
      </top>
      <bottom style="thin">
        <color rgb="FFFFFFFF"/>
      </bottom>
    </border>
    <border>
      <top style="thin">
        <color rgb="FFD9D9D9"/>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bottom style="thin">
        <color rgb="FFD9D9D9"/>
      </bottom>
    </border>
    <border>
      <left style="thin">
        <color rgb="FFD9D9D9"/>
      </left>
      <top style="thin">
        <color rgb="FFD9D9D9"/>
      </top>
      <bottom style="thin">
        <color rgb="FF000000"/>
      </bottom>
    </border>
    <border>
      <right style="thin">
        <color rgb="FFD9D9D9"/>
      </right>
      <top style="thin">
        <color rgb="FFD9D9D9"/>
      </top>
      <bottom style="thin">
        <color rgb="FF000000"/>
      </bottom>
    </border>
  </borders>
  <cellStyleXfs count="1">
    <xf borderId="0" fillId="0" fontId="0" numFmtId="0" applyAlignment="1" applyFont="1"/>
  </cellStyleXfs>
  <cellXfs count="492">
    <xf borderId="0" fillId="0" fontId="0" numFmtId="0" xfId="0" applyAlignment="1" applyFont="1">
      <alignment readingOrder="0" shrinkToFit="0" vertical="bottom" wrapText="0"/>
    </xf>
    <xf borderId="0" fillId="0" fontId="1" numFmtId="0" xfId="0" applyAlignment="1" applyFont="1">
      <alignment horizontal="left" readingOrder="0" vertical="center"/>
    </xf>
    <xf borderId="0" fillId="0" fontId="1"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3" numFmtId="0" xfId="0" applyAlignment="1" applyFont="1">
      <alignment horizontal="left" readingOrder="0" vertical="center"/>
    </xf>
    <xf borderId="0" fillId="2" fontId="4" numFmtId="0" xfId="0" applyAlignment="1" applyFill="1" applyFont="1">
      <alignment horizontal="left" readingOrder="0" shrinkToFit="0" vertical="center" wrapText="1"/>
    </xf>
    <xf borderId="0" fillId="2" fontId="1" numFmtId="0" xfId="0" applyAlignment="1" applyFill="1" applyFont="1">
      <alignment horizontal="left" readingOrder="0" shrinkToFit="0" vertical="center" wrapText="1"/>
    </xf>
    <xf borderId="0" fillId="0" fontId="2" numFmtId="0" xfId="0" applyAlignment="1" applyFont="1">
      <alignment horizontal="left" readingOrder="0" shrinkToFit="0" vertical="center" wrapText="1"/>
    </xf>
    <xf borderId="0" fillId="3" fontId="1" numFmtId="0" xfId="0" applyAlignment="1" applyFill="1" applyFont="1">
      <alignment horizontal="left" readingOrder="0" shrinkToFit="0" vertical="center" wrapText="1"/>
    </xf>
    <xf borderId="0" fillId="0" fontId="5" numFmtId="0" xfId="0" applyAlignment="1" applyFont="1">
      <alignment horizontal="center" readingOrder="0"/>
    </xf>
    <xf borderId="0" fillId="0" fontId="5" numFmtId="0" xfId="0" applyAlignment="1" applyFont="1">
      <alignment horizontal="center"/>
    </xf>
    <xf borderId="0" fillId="0" fontId="6" numFmtId="0" xfId="0" applyAlignment="1" applyFont="1">
      <alignment horizontal="center" readingOrder="0" shrinkToFit="0" vertical="center" wrapText="1"/>
    </xf>
    <xf borderId="0" fillId="4" fontId="7" numFmtId="0" xfId="0" applyAlignment="1" applyFill="1" applyFont="1">
      <alignment horizontal="center" readingOrder="0" shrinkToFit="0" vertical="center" wrapText="1"/>
    </xf>
    <xf borderId="0" fillId="0" fontId="8" numFmtId="0" xfId="0" applyAlignment="1" applyFont="1">
      <alignment horizontal="center" readingOrder="0" shrinkToFit="0" vertical="center" wrapText="1"/>
    </xf>
    <xf borderId="0" fillId="0" fontId="5" numFmtId="0" xfId="0" applyAlignment="1" applyFont="1">
      <alignment horizontal="center" vertical="center"/>
    </xf>
    <xf borderId="0" fillId="5" fontId="2" numFmtId="0" xfId="0" applyAlignment="1" applyFill="1" applyFont="1">
      <alignment horizontal="left" readingOrder="0" shrinkToFit="0" vertical="center" wrapText="1"/>
    </xf>
    <xf borderId="0" fillId="0" fontId="9" numFmtId="0" xfId="0" applyAlignment="1" applyFont="1">
      <alignment horizontal="left" readingOrder="0" shrinkToFit="0" vertical="center" wrapText="1"/>
    </xf>
    <xf borderId="1" fillId="6" fontId="2" numFmtId="0" xfId="0" applyAlignment="1" applyBorder="1" applyFill="1" applyFont="1">
      <alignment horizontal="left" readingOrder="0" shrinkToFit="0" vertical="center" wrapText="1"/>
    </xf>
    <xf borderId="2" fillId="3" fontId="10" numFmtId="0" xfId="0" applyAlignment="1" applyBorder="1" applyFill="1" applyFont="1">
      <alignment horizontal="left" readingOrder="0" shrinkToFit="0" vertical="center" wrapText="1"/>
    </xf>
    <xf borderId="3" fillId="0" fontId="11" numFmtId="0" xfId="0" applyBorder="1" applyFont="1"/>
    <xf borderId="1" fillId="0" fontId="11" numFmtId="0" xfId="0" applyBorder="1" applyFont="1"/>
    <xf borderId="4" fillId="0" fontId="11" numFmtId="0" xfId="0" applyBorder="1" applyFont="1"/>
    <xf borderId="0" fillId="7" fontId="2" numFmtId="0" xfId="0" applyAlignment="1" applyFill="1" applyFont="1">
      <alignment horizontal="left" readingOrder="0" shrinkToFit="0" vertical="center" wrapText="1"/>
    </xf>
    <xf borderId="0" fillId="0" fontId="12" numFmtId="0" xfId="0" applyAlignment="1" applyFont="1">
      <alignment horizontal="left" readingOrder="0" shrinkToFit="0" vertical="center" wrapText="1"/>
    </xf>
    <xf borderId="3" fillId="0" fontId="13" numFmtId="0" xfId="0" applyAlignment="1" applyBorder="1" applyFont="1">
      <alignment horizontal="center" readingOrder="0" vertical="center"/>
    </xf>
    <xf borderId="5" fillId="8" fontId="2" numFmtId="0" xfId="0" applyAlignment="1" applyBorder="1" applyFill="1" applyFont="1">
      <alignment horizontal="left" readingOrder="0" shrinkToFit="0" vertical="center" wrapText="1"/>
    </xf>
    <xf borderId="0" fillId="3" fontId="14" numFmtId="0" xfId="0" applyAlignment="1" applyFill="1" applyFont="1">
      <alignment horizontal="left" readingOrder="0" shrinkToFit="0" vertical="center" wrapText="1"/>
    </xf>
    <xf borderId="0" fillId="0" fontId="15" numFmtId="0" xfId="0" applyAlignment="1" applyFont="1">
      <alignment readingOrder="0"/>
    </xf>
    <xf borderId="6" fillId="9" fontId="16" numFmtId="0" xfId="0" applyAlignment="1" applyBorder="1" applyFill="1" applyFont="1">
      <alignment horizontal="center" readingOrder="0" vertical="center"/>
    </xf>
    <xf borderId="7" fillId="0" fontId="11" numFmtId="0" xfId="0" applyBorder="1" applyFont="1"/>
    <xf borderId="0" fillId="0" fontId="17" numFmtId="0" xfId="0" applyAlignment="1" applyFont="1">
      <alignment horizontal="left" readingOrder="0" shrinkToFit="0" vertical="center" wrapText="1"/>
    </xf>
    <xf borderId="0" fillId="0" fontId="15" numFmtId="0" xfId="0" applyAlignment="1" applyFont="1">
      <alignment readingOrder="0" shrinkToFit="0" vertical="top" wrapText="1"/>
    </xf>
    <xf borderId="8" fillId="0" fontId="11" numFmtId="0" xfId="0" applyBorder="1" applyFont="1"/>
    <xf borderId="0" fillId="0" fontId="18" numFmtId="0" xfId="0" applyAlignment="1" applyFont="1">
      <alignment horizontal="center" readingOrder="0" shrinkToFit="0" vertical="top" wrapText="1"/>
    </xf>
    <xf borderId="0" fillId="0" fontId="1" numFmtId="0" xfId="0" applyAlignment="1" applyFont="1">
      <alignment horizontal="left" readingOrder="0" shrinkToFit="0" vertical="center" wrapText="0"/>
    </xf>
    <xf borderId="0" fillId="0" fontId="18" numFmtId="0" xfId="0" applyAlignment="1" applyFont="1">
      <alignment horizontal="left" readingOrder="0" shrinkToFit="0" vertical="top" wrapText="0"/>
    </xf>
    <xf borderId="0" fillId="0" fontId="19" numFmtId="0" xfId="0" applyAlignment="1" applyFont="1">
      <alignment readingOrder="0"/>
    </xf>
    <xf borderId="3" fillId="0" fontId="20" numFmtId="0" xfId="0" applyAlignment="1" applyBorder="1" applyFont="1">
      <alignment horizontal="center" readingOrder="0" vertical="center"/>
    </xf>
    <xf borderId="6" fillId="10" fontId="21" numFmtId="0" xfId="0" applyAlignment="1" applyBorder="1" applyFill="1" applyFont="1">
      <alignment horizontal="center" readingOrder="0" vertical="center"/>
    </xf>
    <xf borderId="0" fillId="0" fontId="22" numFmtId="0" xfId="0" applyAlignment="1" applyFont="1">
      <alignment horizontal="left" readingOrder="0" vertical="center"/>
    </xf>
    <xf borderId="9" fillId="0" fontId="11" numFmtId="0" xfId="0" applyBorder="1" applyFont="1"/>
    <xf borderId="10" fillId="0" fontId="11" numFmtId="0" xfId="0" applyBorder="1" applyFont="1"/>
    <xf borderId="11" fillId="0" fontId="11" numFmtId="0" xfId="0" applyBorder="1" applyFont="1"/>
    <xf borderId="12" fillId="0" fontId="11" numFmtId="0" xfId="0" applyBorder="1" applyFont="1"/>
    <xf borderId="13" fillId="0" fontId="11" numFmtId="0" xfId="0" applyBorder="1" applyFont="1"/>
    <xf borderId="9" fillId="3" fontId="10" numFmtId="0" xfId="0" applyAlignment="1" applyBorder="1" applyFill="1" applyFont="1">
      <alignment horizontal="left" readingOrder="0" shrinkToFit="0" vertical="center" wrapText="1"/>
    </xf>
    <xf borderId="0" fillId="0" fontId="23" numFmtId="0" xfId="0" applyAlignment="1" applyFont="1">
      <alignment horizontal="center" readingOrder="0" vertical="center"/>
    </xf>
    <xf borderId="2" fillId="0" fontId="20" numFmtId="0" xfId="0" applyAlignment="1" applyBorder="1" applyFont="1">
      <alignment horizontal="center" readingOrder="0" vertical="center"/>
    </xf>
    <xf borderId="0" fillId="0" fontId="18" numFmtId="0" xfId="0" applyAlignment="1" applyFont="1">
      <alignment horizontal="center" readingOrder="0" vertical="top"/>
    </xf>
    <xf borderId="0" fillId="0" fontId="18" numFmtId="0" xfId="0" applyAlignment="1" applyFont="1">
      <alignment horizontal="center" vertical="top"/>
    </xf>
    <xf borderId="0" fillId="0" fontId="24" numFmtId="0" xfId="0" applyAlignment="1" applyFont="1">
      <alignment horizontal="center" vertical="top"/>
    </xf>
    <xf borderId="0" fillId="0" fontId="18" numFmtId="0" xfId="0" applyAlignment="1" applyFont="1">
      <alignment horizontal="center" vertical="top"/>
    </xf>
    <xf borderId="14" fillId="0" fontId="18" numFmtId="0" xfId="0" applyAlignment="1" applyBorder="1" applyFont="1">
      <alignment horizontal="center" shrinkToFit="0" vertical="top" wrapText="0"/>
    </xf>
    <xf borderId="0" fillId="0" fontId="18" numFmtId="0" xfId="0" applyAlignment="1" applyFont="1">
      <alignment horizontal="center" readingOrder="0" shrinkToFit="0" vertical="top" wrapText="0"/>
    </xf>
    <xf borderId="0" fillId="8" fontId="25" numFmtId="0" xfId="0" applyAlignment="1" applyFill="1" applyFont="1">
      <alignment horizontal="left" readingOrder="0" textRotation="0" vertical="bottom"/>
    </xf>
    <xf borderId="12" fillId="0" fontId="18" numFmtId="0" xfId="0" applyAlignment="1" applyBorder="1" applyFont="1">
      <alignment horizontal="center" readingOrder="0" vertical="top"/>
    </xf>
    <xf borderId="14" fillId="0" fontId="26" numFmtId="0" xfId="0" applyAlignment="1" applyBorder="1" applyFont="1">
      <alignment horizontal="center" vertical="top"/>
    </xf>
    <xf borderId="0" fillId="8" fontId="27" numFmtId="0" xfId="0" applyAlignment="1" applyFill="1" applyFont="1">
      <alignment horizontal="left" readingOrder="0"/>
    </xf>
    <xf borderId="15" fillId="0" fontId="18" numFmtId="0" xfId="0" applyAlignment="1" applyBorder="1" applyFont="1">
      <alignment horizontal="center" readingOrder="0" shrinkToFit="0" vertical="top" wrapText="0"/>
    </xf>
    <xf borderId="0" fillId="0" fontId="26" numFmtId="0" xfId="0" applyAlignment="1" applyFont="1">
      <alignment horizontal="center" vertical="top"/>
    </xf>
    <xf borderId="0" fillId="8" fontId="28" numFmtId="0" xfId="0" applyAlignment="1" applyFill="1" applyFont="1">
      <alignment horizontal="left" readingOrder="0" textRotation="0" vertical="bottom"/>
    </xf>
    <xf borderId="16" fillId="0" fontId="18" numFmtId="0" xfId="0" applyAlignment="1" applyBorder="1" applyFont="1">
      <alignment horizontal="center" readingOrder="0" shrinkToFit="0" vertical="top" wrapText="0"/>
    </xf>
    <xf borderId="12" fillId="0" fontId="1" numFmtId="0" xfId="0" applyAlignment="1" applyBorder="1" applyFont="1">
      <alignment horizontal="center" readingOrder="0"/>
    </xf>
    <xf borderId="0" fillId="7" fontId="29" numFmtId="0" xfId="0" applyAlignment="1" applyFill="1" applyFont="1">
      <alignment horizontal="center" readingOrder="0" vertical="center"/>
    </xf>
    <xf borderId="0" fillId="0" fontId="15" numFmtId="0" xfId="0" applyAlignment="1" applyFont="1">
      <alignment vertical="center"/>
    </xf>
    <xf borderId="0" fillId="7" fontId="15" numFmtId="0" xfId="0" applyAlignment="1" applyFill="1" applyFont="1">
      <alignment horizontal="center" readingOrder="0" vertical="center"/>
    </xf>
    <xf borderId="0" fillId="0" fontId="20" numFmtId="0" xfId="0" applyAlignment="1" applyFont="1">
      <alignment horizontal="center" readingOrder="0" vertical="center"/>
    </xf>
    <xf borderId="0" fillId="0" fontId="30" numFmtId="0" xfId="0" applyAlignment="1" applyFont="1">
      <alignment readingOrder="0"/>
    </xf>
    <xf borderId="0" fillId="0" fontId="31" numFmtId="0" xfId="0" applyAlignment="1" applyFont="1">
      <alignment readingOrder="0" shrinkToFit="0" wrapText="0"/>
    </xf>
    <xf borderId="0" fillId="8" fontId="32" numFmtId="0" xfId="0" applyAlignment="1" applyFill="1" applyFont="1">
      <alignment horizontal="left" readingOrder="0" textRotation="0" vertical="bottom"/>
    </xf>
    <xf borderId="0" fillId="0" fontId="33" numFmtId="0" xfId="0" applyAlignment="1" applyFont="1">
      <alignment readingOrder="0"/>
    </xf>
    <xf borderId="5" fillId="0" fontId="29" numFmtId="0" xfId="0" applyAlignment="1" applyBorder="1" applyFont="1">
      <alignment horizontal="center" readingOrder="0" vertical="center"/>
    </xf>
    <xf borderId="10" fillId="0" fontId="29" numFmtId="0" xfId="0" applyAlignment="1" applyBorder="1" applyFont="1">
      <alignment horizontal="center" readingOrder="0" vertical="center"/>
    </xf>
    <xf borderId="12" fillId="0" fontId="34" numFmtId="0" xfId="0" applyAlignment="1" applyBorder="1" applyFont="1">
      <alignment horizontal="center" readingOrder="0"/>
    </xf>
    <xf quotePrefix="1" borderId="0" fillId="0" fontId="29" numFmtId="0" xfId="0" applyAlignment="1" applyFont="1">
      <alignment horizontal="center" readingOrder="0" vertical="center"/>
    </xf>
    <xf borderId="0" fillId="0" fontId="35" numFmtId="0" xfId="0" applyAlignment="1" applyFont="1">
      <alignment horizontal="center" readingOrder="0" shrinkToFit="0" vertical="center" wrapText="0"/>
    </xf>
    <xf borderId="0" fillId="0" fontId="35" numFmtId="0" xfId="0" applyAlignment="1" applyFont="1">
      <alignment horizontal="center" shrinkToFit="0" vertical="center" wrapText="0"/>
    </xf>
    <xf borderId="0" fillId="0" fontId="5" numFmtId="0" xfId="0" applyAlignment="1" applyFont="1">
      <alignment horizontal="center" shrinkToFit="0" vertical="center" wrapText="0"/>
    </xf>
    <xf borderId="0" fillId="0" fontId="31" numFmtId="0" xfId="0" applyAlignment="1" applyFont="1">
      <alignment horizontal="center" readingOrder="0" vertical="center"/>
    </xf>
    <xf borderId="0" fillId="3" fontId="10" numFmtId="0" xfId="0" applyAlignment="1" applyFill="1" applyFont="1">
      <alignment horizontal="left" readingOrder="0" shrinkToFit="0" vertical="center" wrapText="1"/>
    </xf>
    <xf borderId="0" fillId="6" fontId="29" numFmtId="0" xfId="0" applyAlignment="1" applyFill="1" applyFont="1">
      <alignment horizontal="center" vertical="center"/>
    </xf>
    <xf borderId="0" fillId="0" fontId="20" numFmtId="0" xfId="0" applyAlignment="1" applyFont="1">
      <alignment horizontal="right" readingOrder="0" vertical="center"/>
    </xf>
    <xf borderId="0" fillId="0" fontId="20" numFmtId="0" xfId="0" applyAlignment="1" applyFont="1">
      <alignment horizontal="left" readingOrder="0" vertical="center"/>
    </xf>
    <xf borderId="0" fillId="0" fontId="15" numFmtId="0" xfId="0" applyAlignment="1" applyFont="1">
      <alignment horizontal="center"/>
    </xf>
    <xf borderId="0" fillId="0" fontId="5" numFmtId="0" xfId="0" applyAlignment="1" applyFont="1">
      <alignment horizontal="left" readingOrder="0" shrinkToFit="0" vertical="bottom" wrapText="1"/>
    </xf>
    <xf borderId="0" fillId="0" fontId="26" numFmtId="0" xfId="0" applyAlignment="1" applyFont="1">
      <alignment horizontal="center"/>
    </xf>
    <xf borderId="12" fillId="0" fontId="5" numFmtId="0" xfId="0" applyAlignment="1" applyBorder="1" applyFont="1">
      <alignment horizontal="center" readingOrder="0"/>
    </xf>
    <xf borderId="12" fillId="0" fontId="15" numFmtId="0" xfId="0" applyBorder="1" applyFont="1"/>
    <xf borderId="6" fillId="10" fontId="16" numFmtId="0" xfId="0" applyAlignment="1" applyBorder="1" applyFill="1" applyFont="1">
      <alignment horizontal="center" readingOrder="0" vertical="center"/>
    </xf>
    <xf borderId="0" fillId="0" fontId="16" numFmtId="0" xfId="0" applyAlignment="1" applyFont="1">
      <alignment horizontal="center" readingOrder="0" vertical="center"/>
    </xf>
    <xf borderId="0" fillId="0" fontId="21" numFmtId="0" xfId="0" applyAlignment="1" applyFont="1">
      <alignment horizontal="center" readingOrder="0" vertical="center"/>
    </xf>
    <xf borderId="14" fillId="0" fontId="18" numFmtId="0" xfId="0" applyAlignment="1" applyBorder="1" applyFont="1">
      <alignment horizontal="center" vertical="top"/>
    </xf>
    <xf borderId="0" fillId="0" fontId="29" numFmtId="0" xfId="0" applyAlignment="1" applyFont="1">
      <alignment readingOrder="0" shrinkToFit="0" vertical="bottom" wrapText="0"/>
    </xf>
    <xf borderId="6" fillId="10" fontId="36" numFmtId="0" xfId="0" applyAlignment="1" applyBorder="1" applyFill="1" applyFont="1">
      <alignment horizontal="center" readingOrder="0" vertical="center"/>
    </xf>
    <xf borderId="0" fillId="0" fontId="37" numFmtId="0" xfId="0" applyAlignment="1" applyFont="1">
      <alignment horizontal="center" readingOrder="0" vertical="center"/>
    </xf>
    <xf borderId="2" fillId="0" fontId="38" numFmtId="0" xfId="0" applyAlignment="1" applyBorder="1" applyFont="1">
      <alignment horizontal="center" readingOrder="0" vertical="center"/>
    </xf>
    <xf borderId="2" fillId="0" fontId="1" numFmtId="0" xfId="0" applyAlignment="1" applyBorder="1" applyFont="1">
      <alignment horizontal="center" readingOrder="0" shrinkToFit="0" vertical="bottom" wrapText="1"/>
    </xf>
    <xf borderId="2" fillId="0" fontId="15" numFmtId="0" xfId="0" applyAlignment="1" applyBorder="1" applyFont="1">
      <alignment horizontal="center" readingOrder="0" vertical="top"/>
    </xf>
    <xf borderId="0" fillId="0" fontId="15" numFmtId="0" xfId="0" applyAlignment="1" applyFont="1">
      <alignment vertical="top"/>
    </xf>
    <xf borderId="0" fillId="6" fontId="29" numFmtId="0" xfId="0" applyAlignment="1" applyFill="1" applyFont="1">
      <alignment horizontal="center" readingOrder="0" vertical="center"/>
    </xf>
    <xf borderId="0" fillId="0" fontId="24" numFmtId="0" xfId="0" applyAlignment="1" applyFont="1">
      <alignment vertical="top"/>
    </xf>
    <xf borderId="0" fillId="0" fontId="1" numFmtId="0" xfId="0" applyAlignment="1" applyFont="1">
      <alignment horizontal="center" readingOrder="0" vertical="center"/>
    </xf>
    <xf borderId="0" fillId="7" fontId="39" numFmtId="0" xfId="0" applyAlignment="1" applyFill="1" applyFont="1">
      <alignment horizontal="center" readingOrder="0" vertical="center"/>
    </xf>
    <xf borderId="0" fillId="5" fontId="40" numFmtId="0" xfId="0" applyAlignment="1" applyFill="1" applyFont="1">
      <alignment horizontal="center" vertical="center"/>
    </xf>
    <xf quotePrefix="1" borderId="0" fillId="0" fontId="5" numFmtId="0" xfId="0" applyAlignment="1" applyFont="1">
      <alignment horizontal="center" readingOrder="0" vertical="center"/>
    </xf>
    <xf borderId="6" fillId="9" fontId="16" numFmtId="0" xfId="0" applyAlignment="1" applyBorder="1" applyFill="1" applyFont="1">
      <alignment horizontal="center" vertical="center"/>
    </xf>
    <xf borderId="0" fillId="8" fontId="41" numFmtId="0" xfId="0" applyFill="1" applyFont="1"/>
    <xf borderId="0" fillId="0" fontId="18" numFmtId="0" xfId="0" applyAlignment="1" applyFont="1">
      <alignment horizontal="center" readingOrder="0" vertical="top"/>
    </xf>
    <xf borderId="0" fillId="0" fontId="42" numFmtId="0" xfId="0" applyAlignment="1" applyFont="1">
      <alignment vertical="bottom"/>
    </xf>
    <xf borderId="7" fillId="0" fontId="18" numFmtId="0" xfId="0" applyAlignment="1" applyBorder="1" applyFont="1">
      <alignment horizontal="center" vertical="top"/>
    </xf>
    <xf borderId="6" fillId="0" fontId="15" numFmtId="0" xfId="0" applyAlignment="1" applyBorder="1" applyFont="1">
      <alignment horizontal="center" vertical="center"/>
    </xf>
    <xf borderId="10" fillId="6" fontId="5" numFmtId="0" xfId="0" applyAlignment="1" applyBorder="1" applyFill="1" applyFont="1">
      <alignment horizontal="center" vertical="center"/>
    </xf>
    <xf borderId="17" fillId="6" fontId="5" numFmtId="0" xfId="0" applyAlignment="1" applyBorder="1" applyFill="1" applyFont="1">
      <alignment horizontal="center" vertical="center"/>
    </xf>
    <xf borderId="9" fillId="6" fontId="5" numFmtId="0" xfId="0" applyAlignment="1" applyBorder="1" applyFill="1" applyFont="1">
      <alignment horizontal="center" vertical="center"/>
    </xf>
    <xf borderId="0" fillId="0" fontId="35" numFmtId="0" xfId="0" applyAlignment="1" applyFont="1">
      <alignment vertical="top"/>
    </xf>
    <xf borderId="9" fillId="6" fontId="2" numFmtId="0" xfId="0" applyAlignment="1" applyBorder="1" applyFill="1" applyFont="1">
      <alignment horizontal="center" readingOrder="0" vertical="center"/>
    </xf>
    <xf borderId="2" fillId="0" fontId="4" numFmtId="0" xfId="0" applyAlignment="1" applyBorder="1" applyFont="1">
      <alignment horizontal="center" vertical="center"/>
    </xf>
    <xf quotePrefix="1" borderId="0" fillId="0" fontId="28" numFmtId="0" xfId="0" applyAlignment="1" applyFont="1">
      <alignment horizontal="center" vertical="bottom"/>
    </xf>
    <xf borderId="0" fillId="5" fontId="40" numFmtId="0" xfId="0" applyAlignment="1" applyFill="1" applyFont="1">
      <alignment horizontal="center" readingOrder="0" vertical="center"/>
    </xf>
    <xf quotePrefix="1" borderId="0" fillId="0" fontId="38" numFmtId="0" xfId="0" applyAlignment="1" applyFont="1">
      <alignment horizontal="center" vertical="center"/>
    </xf>
    <xf borderId="0" fillId="7" fontId="29" numFmtId="0" xfId="0" applyAlignment="1" applyFill="1" applyFont="1">
      <alignment horizontal="center" vertical="center"/>
    </xf>
    <xf borderId="0" fillId="0" fontId="4" numFmtId="0" xfId="0" applyAlignment="1" applyFont="1">
      <alignment horizontal="center" vertical="center"/>
    </xf>
    <xf borderId="12" fillId="0" fontId="29" numFmtId="0" xfId="0" applyAlignment="1" applyBorder="1" applyFont="1">
      <alignment horizontal="center" readingOrder="0" vertical="bottom"/>
    </xf>
    <xf borderId="10" fillId="0" fontId="42" numFmtId="0" xfId="0" applyAlignment="1" applyBorder="1" applyFont="1">
      <alignment vertical="center"/>
    </xf>
    <xf borderId="12" fillId="0" fontId="43" numFmtId="0" xfId="0" applyAlignment="1" applyBorder="1" applyFont="1">
      <alignment horizontal="center" readingOrder="0" vertical="center"/>
    </xf>
    <xf borderId="11" fillId="0" fontId="43" numFmtId="0" xfId="0" applyAlignment="1" applyBorder="1" applyFont="1">
      <alignment horizontal="center" readingOrder="0"/>
    </xf>
    <xf borderId="9" fillId="7" fontId="4" numFmtId="0" xfId="0" applyAlignment="1" applyBorder="1" applyFill="1" applyFont="1">
      <alignment horizontal="center" readingOrder="0" vertical="center"/>
    </xf>
    <xf borderId="0" fillId="0" fontId="5" numFmtId="0" xfId="0" applyAlignment="1" applyFont="1">
      <alignment horizontal="center" vertical="top"/>
    </xf>
    <xf borderId="9" fillId="0" fontId="1" numFmtId="0" xfId="0" applyAlignment="1" applyBorder="1" applyFont="1">
      <alignment horizontal="center" readingOrder="0" vertical="center"/>
    </xf>
    <xf borderId="10" fillId="0" fontId="1" numFmtId="0" xfId="0" applyAlignment="1" applyBorder="1" applyFont="1">
      <alignment horizontal="center" readingOrder="0" vertical="center"/>
    </xf>
    <xf borderId="0" fillId="0" fontId="44" numFmtId="0" xfId="0" applyAlignment="1" applyFont="1">
      <alignment horizontal="center" readingOrder="0" vertical="center"/>
    </xf>
    <xf borderId="0" fillId="0" fontId="18" numFmtId="0" xfId="0" applyAlignment="1" applyFont="1">
      <alignment horizontal="center" readingOrder="0" vertical="center"/>
    </xf>
    <xf borderId="0" fillId="0" fontId="45" numFmtId="0" xfId="0" applyAlignment="1" applyFont="1">
      <alignment horizontal="center" vertical="top"/>
    </xf>
    <xf borderId="0" fillId="0" fontId="24" numFmtId="0" xfId="0" applyAlignment="1" applyFont="1">
      <alignment horizontal="center" readingOrder="0" vertical="top"/>
    </xf>
    <xf borderId="14" fillId="0" fontId="45" numFmtId="0" xfId="0" applyAlignment="1" applyBorder="1" applyFont="1">
      <alignment horizontal="center" vertical="top"/>
    </xf>
    <xf borderId="14" fillId="0" fontId="18" numFmtId="0" xfId="0" applyAlignment="1" applyBorder="1" applyFont="1">
      <alignment horizontal="center" shrinkToFit="0" vertical="top" wrapText="0"/>
    </xf>
    <xf borderId="0" fillId="0" fontId="45" numFmtId="0" xfId="0" applyAlignment="1" applyFont="1">
      <alignment vertical="top"/>
    </xf>
    <xf borderId="12" fillId="0" fontId="5" numFmtId="0" xfId="0" applyAlignment="1" applyBorder="1" applyFont="1">
      <alignment horizontal="center" readingOrder="0" vertical="top"/>
    </xf>
    <xf borderId="12" fillId="0" fontId="18" numFmtId="0" xfId="0" applyAlignment="1" applyBorder="1" applyFont="1">
      <alignment horizontal="center" vertical="top"/>
    </xf>
    <xf borderId="12" fillId="0" fontId="18" numFmtId="0" xfId="0" applyAlignment="1" applyBorder="1" applyFont="1">
      <alignment horizontal="center" vertical="top"/>
    </xf>
    <xf borderId="11" fillId="0" fontId="5" numFmtId="0" xfId="0" applyAlignment="1" applyBorder="1" applyFont="1">
      <alignment horizontal="center" readingOrder="0" vertical="top"/>
    </xf>
    <xf borderId="0" fillId="0" fontId="26" numFmtId="0" xfId="0" applyFont="1"/>
    <xf borderId="10" fillId="0" fontId="18" numFmtId="0" xfId="0" applyAlignment="1" applyBorder="1" applyFont="1">
      <alignment horizontal="center" vertical="top"/>
    </xf>
    <xf borderId="0" fillId="0" fontId="15" numFmtId="0" xfId="0" applyAlignment="1" applyFont="1">
      <alignment horizontal="center" readingOrder="0" vertical="center"/>
    </xf>
    <xf borderId="0" fillId="0" fontId="46" numFmtId="0" xfId="0" applyAlignment="1" applyFont="1">
      <alignment horizontal="center" readingOrder="0" vertical="top"/>
    </xf>
    <xf borderId="0" fillId="0" fontId="46" numFmtId="0" xfId="0" applyAlignment="1" applyFont="1">
      <alignment horizontal="center" vertical="top"/>
    </xf>
    <xf quotePrefix="1" borderId="0" fillId="0" fontId="42" numFmtId="0" xfId="0" applyAlignment="1" applyFont="1">
      <alignment horizontal="center" readingOrder="0" vertical="center"/>
    </xf>
    <xf quotePrefix="1" borderId="0" fillId="0" fontId="15" numFmtId="0" xfId="0" applyAlignment="1" applyFont="1">
      <alignment horizontal="center" readingOrder="0" vertical="center"/>
    </xf>
    <xf borderId="0" fillId="0" fontId="38" numFmtId="0" xfId="0" applyAlignment="1" applyFont="1">
      <alignment horizontal="center" readingOrder="0" vertical="center"/>
    </xf>
    <xf quotePrefix="1" borderId="0" fillId="0" fontId="15" numFmtId="0" xfId="0" applyAlignment="1" applyFont="1">
      <alignment horizontal="left" readingOrder="0" vertical="center"/>
    </xf>
    <xf quotePrefix="1" borderId="0" fillId="0" fontId="42" numFmtId="0" xfId="0" applyAlignment="1" applyFont="1">
      <alignment horizontal="center" vertical="center"/>
    </xf>
    <xf borderId="0" fillId="7" fontId="42" numFmtId="0" xfId="0" applyAlignment="1" applyFill="1" applyFont="1">
      <alignment horizontal="center" readingOrder="0" vertical="center"/>
    </xf>
    <xf borderId="0" fillId="0" fontId="42" numFmtId="0" xfId="0" applyFont="1"/>
    <xf borderId="0" fillId="0" fontId="47" numFmtId="0" xfId="0" applyAlignment="1" applyFont="1">
      <alignment horizontal="center" readingOrder="0" vertical="top"/>
    </xf>
    <xf borderId="6" fillId="0" fontId="43" numFmtId="0" xfId="0" applyAlignment="1" applyBorder="1" applyFont="1">
      <alignment horizontal="center" readingOrder="0"/>
    </xf>
    <xf borderId="10" fillId="0" fontId="47" numFmtId="0" xfId="0" applyAlignment="1" applyBorder="1" applyFont="1">
      <alignment horizontal="center" readingOrder="0" vertical="top"/>
    </xf>
    <xf borderId="11" fillId="0" fontId="43" numFmtId="0" xfId="0" applyAlignment="1" applyBorder="1" applyFont="1">
      <alignment horizontal="center"/>
    </xf>
    <xf borderId="0" fillId="0" fontId="48" numFmtId="0" xfId="0" applyAlignment="1" applyFont="1">
      <alignment vertical="top"/>
    </xf>
    <xf borderId="5" fillId="0" fontId="42" numFmtId="0" xfId="0" applyAlignment="1" applyBorder="1" applyFont="1">
      <alignment vertical="center"/>
    </xf>
    <xf borderId="6" fillId="0" fontId="29" numFmtId="0" xfId="0" applyAlignment="1" applyBorder="1" applyFont="1">
      <alignment horizontal="center" readingOrder="0" vertical="center"/>
    </xf>
    <xf borderId="0" fillId="0" fontId="43" numFmtId="0" xfId="0" applyAlignment="1" applyFont="1">
      <alignment horizontal="center" vertical="top"/>
    </xf>
    <xf borderId="0" fillId="0" fontId="37" numFmtId="0" xfId="0" applyAlignment="1" applyFont="1">
      <alignment horizontal="center" readingOrder="0" vertical="top"/>
    </xf>
    <xf borderId="0" fillId="0" fontId="1" numFmtId="0" xfId="0" applyAlignment="1" applyFont="1">
      <alignment horizontal="center" readingOrder="0" shrinkToFit="0" vertical="center" wrapText="0"/>
    </xf>
    <xf borderId="6" fillId="10" fontId="49" numFmtId="0" xfId="0" applyAlignment="1" applyBorder="1" applyFill="1" applyFont="1">
      <alignment horizontal="center" readingOrder="0" vertical="center"/>
    </xf>
    <xf borderId="7" fillId="9" fontId="50" numFmtId="0" xfId="0" applyAlignment="1" applyBorder="1" applyFill="1" applyFont="1">
      <alignment horizontal="center" readingOrder="0" vertical="center"/>
    </xf>
    <xf borderId="0" fillId="0" fontId="5" numFmtId="0" xfId="0" applyAlignment="1" applyFont="1">
      <alignment horizontal="left" readingOrder="0" shrinkToFit="0" textRotation="0" vertical="center" wrapText="0"/>
    </xf>
    <xf borderId="0" fillId="0" fontId="49" numFmtId="0" xfId="0" applyAlignment="1" applyFont="1">
      <alignment horizontal="center" readingOrder="0" vertical="center"/>
    </xf>
    <xf borderId="6" fillId="9" fontId="50" numFmtId="0" xfId="0" applyAlignment="1" applyBorder="1" applyFill="1" applyFont="1">
      <alignment horizontal="center" readingOrder="0" vertical="center"/>
    </xf>
    <xf borderId="0" fillId="11" fontId="1" numFmtId="0" xfId="0" applyAlignment="1" applyFill="1" applyFont="1">
      <alignment horizontal="center" readingOrder="0" shrinkToFit="0" vertical="center" wrapText="0"/>
    </xf>
    <xf borderId="0" fillId="11" fontId="5" numFmtId="0" xfId="0" applyAlignment="1" applyFill="1" applyFont="1">
      <alignment horizontal="left" readingOrder="0" shrinkToFit="0" textRotation="0" vertical="center" wrapText="0"/>
    </xf>
    <xf borderId="0" fillId="0" fontId="2" numFmtId="0" xfId="0" applyAlignment="1" applyFont="1">
      <alignment horizontal="center"/>
    </xf>
    <xf borderId="0" fillId="0" fontId="1" numFmtId="0" xfId="0" applyAlignment="1" applyFont="1">
      <alignment horizontal="right" readingOrder="0" vertical="center"/>
    </xf>
    <xf borderId="0" fillId="0" fontId="29" numFmtId="0" xfId="0" applyAlignment="1" applyFont="1">
      <alignment horizontal="center" readingOrder="0" vertical="center"/>
    </xf>
    <xf borderId="0" fillId="0" fontId="18" numFmtId="0" xfId="0" applyAlignment="1" applyFont="1">
      <alignment readingOrder="0" vertical="top"/>
    </xf>
    <xf borderId="6" fillId="0" fontId="15" numFmtId="0" xfId="0" applyAlignment="1" applyBorder="1" applyFont="1">
      <alignment horizontal="center" readingOrder="0"/>
    </xf>
    <xf borderId="0" fillId="12" fontId="15" numFmtId="0" xfId="0" applyAlignment="1" applyFill="1" applyFont="1">
      <alignment horizontal="center" readingOrder="0"/>
    </xf>
    <xf borderId="0" fillId="8" fontId="47" numFmtId="0" xfId="0" applyAlignment="1" applyFill="1" applyFont="1">
      <alignment horizontal="center" readingOrder="0" vertical="top"/>
    </xf>
    <xf borderId="0" fillId="12" fontId="51" numFmtId="0" xfId="0" applyAlignment="1" applyFill="1" applyFont="1">
      <alignment horizontal="center" readingOrder="0" shrinkToFit="0" vertical="top" wrapText="0"/>
    </xf>
    <xf quotePrefix="1" borderId="0" fillId="0" fontId="5" numFmtId="0" xfId="0" applyAlignment="1" applyFont="1">
      <alignment horizontal="left" readingOrder="0" vertical="center"/>
    </xf>
    <xf borderId="5" fillId="0" fontId="29" numFmtId="0" xfId="0" applyAlignment="1" applyBorder="1" applyFont="1">
      <alignment horizontal="center" readingOrder="0" shrinkToFit="0" vertical="center" wrapText="0"/>
    </xf>
    <xf borderId="6" fillId="0" fontId="15" numFmtId="0" xfId="0" applyBorder="1" applyFont="1"/>
    <xf borderId="6" fillId="0" fontId="29" numFmtId="0" xfId="0" applyAlignment="1" applyBorder="1" applyFont="1">
      <alignment horizontal="center" vertical="center"/>
    </xf>
    <xf borderId="0" fillId="7" fontId="5" numFmtId="0" xfId="0" applyAlignment="1" applyFill="1" applyFont="1">
      <alignment horizontal="center" readingOrder="0" vertical="center"/>
    </xf>
    <xf borderId="0" fillId="0" fontId="2" numFmtId="0" xfId="0" applyAlignment="1" applyFont="1">
      <alignment horizontal="center" vertical="top"/>
    </xf>
    <xf borderId="2" fillId="0" fontId="52" numFmtId="0" xfId="0" applyAlignment="1" applyBorder="1" applyFont="1">
      <alignment readingOrder="0" vertical="center"/>
    </xf>
    <xf quotePrefix="1" borderId="0" fillId="8" fontId="47" numFmtId="0" xfId="0" applyAlignment="1" applyFill="1" applyFont="1">
      <alignment horizontal="center" readingOrder="0" vertical="top"/>
    </xf>
    <xf borderId="0" fillId="0" fontId="18" numFmtId="0" xfId="0" applyAlignment="1" applyFont="1">
      <alignment horizontal="left" vertical="top"/>
    </xf>
    <xf borderId="0" fillId="0" fontId="51" numFmtId="0" xfId="0" applyAlignment="1" applyFont="1">
      <alignment vertical="center"/>
    </xf>
    <xf borderId="0" fillId="0" fontId="2" numFmtId="0" xfId="0" applyAlignment="1" applyFont="1">
      <alignment horizontal="center" vertical="center"/>
    </xf>
    <xf borderId="0" fillId="0" fontId="5" numFmtId="0" xfId="0" applyAlignment="1" applyFont="1">
      <alignment horizontal="left" vertical="top"/>
    </xf>
    <xf borderId="0" fillId="0" fontId="26" numFmtId="0" xfId="0" applyAlignment="1" applyFont="1">
      <alignment vertical="top"/>
    </xf>
    <xf borderId="7" fillId="0" fontId="29" numFmtId="0" xfId="0" applyAlignment="1" applyBorder="1" applyFont="1">
      <alignment horizontal="center" readingOrder="0" vertical="center"/>
    </xf>
    <xf borderId="0" fillId="0" fontId="5" numFmtId="0" xfId="0" applyAlignment="1" applyFont="1">
      <alignment horizontal="center" readingOrder="0" vertical="center"/>
    </xf>
    <xf borderId="12" fillId="0" fontId="53" numFmtId="0" xfId="0" applyAlignment="1" applyBorder="1" applyFont="1">
      <alignment readingOrder="0" shrinkToFit="0" vertical="top" wrapText="1"/>
    </xf>
    <xf borderId="12" fillId="0" fontId="35" numFmtId="0" xfId="0" applyAlignment="1" applyBorder="1" applyFont="1">
      <alignment readingOrder="0" shrinkToFit="0" vertical="top" wrapText="1"/>
    </xf>
    <xf quotePrefix="1" borderId="0" fillId="0" fontId="15" numFmtId="0" xfId="0" applyAlignment="1" applyFont="1">
      <alignment readingOrder="0" vertical="center"/>
    </xf>
    <xf borderId="2" fillId="0" fontId="5" numFmtId="0" xfId="0" applyAlignment="1" applyBorder="1" applyFont="1">
      <alignment horizontal="left" readingOrder="0" shrinkToFit="0" vertical="top" wrapText="1"/>
    </xf>
    <xf borderId="0" fillId="0" fontId="26" numFmtId="0" xfId="0" applyAlignment="1" applyFont="1">
      <alignment vertical="center"/>
    </xf>
    <xf borderId="18" fillId="0" fontId="53" numFmtId="0" xfId="0" applyAlignment="1" applyBorder="1" applyFont="1">
      <alignment readingOrder="0" shrinkToFit="0" wrapText="1"/>
    </xf>
    <xf borderId="19" fillId="0" fontId="11" numFmtId="0" xfId="0" applyBorder="1" applyFont="1"/>
    <xf borderId="20" fillId="0" fontId="11" numFmtId="0" xfId="0" applyBorder="1" applyFont="1"/>
    <xf borderId="0" fillId="0" fontId="53" numFmtId="0" xfId="0" applyAlignment="1" applyFont="1">
      <alignment readingOrder="0" shrinkToFit="0" vertical="bottom" wrapText="1"/>
    </xf>
    <xf borderId="0" fillId="0" fontId="15" numFmtId="0" xfId="0" applyAlignment="1" applyFont="1">
      <alignment vertical="bottom"/>
    </xf>
    <xf borderId="0" fillId="0" fontId="31" numFmtId="0" xfId="0" applyAlignment="1" applyFont="1">
      <alignment readingOrder="0" shrinkToFit="0" vertical="center" wrapText="0"/>
    </xf>
    <xf borderId="0" fillId="0" fontId="54" numFmtId="0" xfId="0" applyAlignment="1" applyFont="1">
      <alignment horizontal="center" readingOrder="0" shrinkToFit="0" vertical="bottom" wrapText="0"/>
    </xf>
    <xf borderId="0" fillId="0" fontId="35" numFmtId="0" xfId="0" applyAlignment="1" applyFont="1">
      <alignment readingOrder="0" shrinkToFit="0" vertical="bottom" wrapText="1"/>
    </xf>
    <xf borderId="0" fillId="0" fontId="55" numFmtId="0" xfId="0" applyAlignment="1" applyFont="1">
      <alignment vertical="bottom"/>
    </xf>
    <xf borderId="6" fillId="0" fontId="5" numFmtId="0" xfId="0" applyAlignment="1" applyBorder="1" applyFont="1">
      <alignment horizontal="center" vertical="center"/>
    </xf>
    <xf borderId="2" fillId="0" fontId="29" numFmtId="0" xfId="0" applyAlignment="1" applyBorder="1" applyFont="1">
      <alignment readingOrder="0" shrinkToFit="0" vertical="center" wrapText="1"/>
    </xf>
    <xf borderId="6" fillId="0" fontId="5" numFmtId="0" xfId="0" applyAlignment="1" applyBorder="1" applyFont="1">
      <alignment horizontal="center" readingOrder="0" vertical="center"/>
    </xf>
    <xf borderId="21" fillId="0" fontId="11" numFmtId="0" xfId="0" applyBorder="1" applyFont="1"/>
    <xf borderId="22" fillId="0" fontId="11" numFmtId="0" xfId="0" applyBorder="1" applyFont="1"/>
    <xf borderId="0" fillId="0" fontId="26" numFmtId="0" xfId="0" applyAlignment="1" applyFont="1">
      <alignment vertical="top"/>
    </xf>
    <xf borderId="2" fillId="0" fontId="31" numFmtId="0" xfId="0" applyAlignment="1" applyBorder="1" applyFont="1">
      <alignment horizontal="center" readingOrder="0" shrinkToFit="0" vertical="center" wrapText="0"/>
    </xf>
    <xf borderId="5" fillId="8" fontId="41" numFmtId="0" xfId="0" applyAlignment="1" applyBorder="1" applyFill="1" applyFont="1">
      <alignment horizontal="center"/>
    </xf>
    <xf borderId="0" fillId="0" fontId="2" numFmtId="0" xfId="0" applyAlignment="1" applyFont="1">
      <alignment vertical="top"/>
    </xf>
    <xf borderId="0" fillId="0" fontId="47" numFmtId="0" xfId="0" applyAlignment="1" applyFont="1">
      <alignment horizontal="center" vertical="top"/>
    </xf>
    <xf borderId="0" fillId="0" fontId="47" numFmtId="0" xfId="0" applyAlignment="1" applyFont="1">
      <alignment horizontal="center" readingOrder="0" vertical="top"/>
    </xf>
    <xf borderId="0" fillId="0" fontId="2" numFmtId="0" xfId="0" applyFont="1"/>
    <xf borderId="12" fillId="0" fontId="47" numFmtId="0" xfId="0" applyAlignment="1" applyBorder="1" applyFont="1">
      <alignment horizontal="center" readingOrder="0" vertical="top"/>
    </xf>
    <xf borderId="0" fillId="0" fontId="18" numFmtId="0" xfId="0" applyAlignment="1" applyFont="1">
      <alignment vertical="top"/>
    </xf>
    <xf borderId="23" fillId="0" fontId="11" numFmtId="0" xfId="0" applyBorder="1" applyFont="1"/>
    <xf borderId="24" fillId="0" fontId="11" numFmtId="0" xfId="0" applyBorder="1" applyFont="1"/>
    <xf borderId="0" fillId="8" fontId="47" numFmtId="0" xfId="0" applyAlignment="1" applyFill="1" applyFont="1">
      <alignment horizontal="center" readingOrder="0" vertical="bottom"/>
    </xf>
    <xf borderId="25" fillId="0" fontId="11" numFmtId="0" xfId="0" applyBorder="1" applyFont="1"/>
    <xf borderId="0" fillId="0" fontId="47" numFmtId="0" xfId="0" applyAlignment="1" applyFont="1">
      <alignment horizontal="center" readingOrder="0" vertical="bottom"/>
    </xf>
    <xf borderId="0" fillId="0" fontId="47" numFmtId="0" xfId="0" applyAlignment="1" applyFont="1">
      <alignment horizontal="center" vertical="bottom"/>
    </xf>
    <xf borderId="0" fillId="0" fontId="2" numFmtId="0" xfId="0" applyAlignment="1" applyFont="1">
      <alignment vertical="top"/>
    </xf>
    <xf borderId="0" fillId="0" fontId="2" numFmtId="0" xfId="0" applyAlignment="1" applyFont="1">
      <alignment vertical="center"/>
    </xf>
    <xf borderId="0" fillId="0" fontId="5" numFmtId="0" xfId="0" applyAlignment="1" applyFont="1">
      <alignment horizontal="center" readingOrder="0" vertical="top"/>
    </xf>
    <xf borderId="0" fillId="0" fontId="26" numFmtId="0" xfId="0" applyAlignment="1" applyFont="1">
      <alignment vertical="bottom"/>
    </xf>
    <xf borderId="0" fillId="0" fontId="18" numFmtId="0" xfId="0" applyAlignment="1" applyFont="1">
      <alignment horizontal="center" vertical="bottom"/>
    </xf>
    <xf borderId="2" fillId="0" fontId="31" numFmtId="1" xfId="0" applyAlignment="1" applyBorder="1" applyFont="1" applyNumberFormat="1">
      <alignment horizontal="center" readingOrder="0" shrinkToFit="0" vertical="center" wrapText="0"/>
    </xf>
    <xf borderId="0" fillId="0" fontId="5" numFmtId="0" xfId="0" applyAlignment="1" applyFont="1">
      <alignment horizontal="center" vertical="bottom"/>
    </xf>
    <xf borderId="0" fillId="0" fontId="2" numFmtId="0" xfId="0" applyAlignment="1" applyFont="1">
      <alignment horizontal="center" readingOrder="0" vertical="top"/>
    </xf>
    <xf borderId="2" fillId="8" fontId="56" numFmtId="0" xfId="0" applyAlignment="1" applyBorder="1" applyFill="1" applyFont="1">
      <alignment readingOrder="0"/>
    </xf>
    <xf borderId="6" fillId="0" fontId="29" numFmtId="0" xfId="0" applyAlignment="1" applyBorder="1" applyFont="1">
      <alignment horizontal="center" readingOrder="0" shrinkToFit="0" vertical="center" wrapText="0"/>
    </xf>
    <xf borderId="0" fillId="0" fontId="18" numFmtId="0" xfId="0" applyAlignment="1" applyFont="1">
      <alignment horizontal="left" readingOrder="0" vertical="top"/>
    </xf>
    <xf borderId="6" fillId="8" fontId="29" numFmtId="0" xfId="0" applyAlignment="1" applyBorder="1" applyFill="1" applyFont="1">
      <alignment horizontal="center" readingOrder="0" vertical="center"/>
    </xf>
    <xf borderId="12" fillId="0" fontId="1" numFmtId="0" xfId="0" applyAlignment="1" applyBorder="1" applyFont="1">
      <alignment horizontal="right" readingOrder="0"/>
    </xf>
    <xf borderId="0" fillId="0" fontId="1" numFmtId="0" xfId="0" applyAlignment="1" applyFont="1">
      <alignment horizontal="right" readingOrder="0"/>
    </xf>
    <xf borderId="26" fillId="0" fontId="18" numFmtId="0" xfId="0" applyAlignment="1" applyBorder="1" applyFont="1">
      <alignment horizontal="left" readingOrder="0" shrinkToFit="0" vertical="top" wrapText="0"/>
    </xf>
    <xf borderId="27" fillId="0" fontId="11" numFmtId="0" xfId="0" applyBorder="1" applyFont="1"/>
    <xf borderId="28" fillId="0" fontId="11" numFmtId="0" xfId="0" applyBorder="1" applyFont="1"/>
    <xf borderId="14" fillId="0" fontId="18" numFmtId="0" xfId="0" applyAlignment="1" applyBorder="1" applyFont="1">
      <alignment horizontal="center" readingOrder="0" shrinkToFit="0" vertical="top" wrapText="0"/>
    </xf>
    <xf borderId="0" fillId="0" fontId="1" numFmtId="0" xfId="0" applyAlignment="1" applyFont="1">
      <alignment horizontal="right" vertical="top"/>
    </xf>
    <xf borderId="0" fillId="0" fontId="2" numFmtId="0" xfId="0" applyAlignment="1" applyFont="1">
      <alignment horizontal="right" vertical="top"/>
    </xf>
    <xf borderId="14" fillId="0" fontId="11" numFmtId="0" xfId="0" applyBorder="1" applyFont="1"/>
    <xf borderId="12" fillId="0" fontId="1" numFmtId="0" xfId="0" applyAlignment="1" applyBorder="1" applyFont="1">
      <alignment horizontal="right"/>
    </xf>
    <xf borderId="9" fillId="0" fontId="53" numFmtId="0" xfId="0" applyAlignment="1" applyBorder="1" applyFont="1">
      <alignment readingOrder="0" shrinkToFit="0" vertical="center" wrapText="1"/>
    </xf>
    <xf borderId="3" fillId="0" fontId="5" numFmtId="0" xfId="0" applyAlignment="1" applyBorder="1" applyFont="1">
      <alignment horizontal="left" readingOrder="0" shrinkToFit="0" vertical="top" wrapText="1"/>
    </xf>
    <xf borderId="29" fillId="0" fontId="5" numFmtId="0" xfId="0" applyAlignment="1" applyBorder="1" applyFont="1">
      <alignment horizontal="left" readingOrder="0" shrinkToFit="0" vertical="top" wrapText="1"/>
    </xf>
    <xf borderId="30" fillId="0" fontId="5" numFmtId="0" xfId="0" applyAlignment="1" applyBorder="1" applyFont="1">
      <alignment horizontal="left" readingOrder="0" shrinkToFit="0" vertical="top" wrapText="1"/>
    </xf>
    <xf borderId="9" fillId="0" fontId="29" numFmtId="0" xfId="0" applyAlignment="1" applyBorder="1" applyFont="1">
      <alignment horizontal="center" readingOrder="0" vertical="center"/>
    </xf>
    <xf borderId="0" fillId="0" fontId="29" numFmtId="0" xfId="0" applyAlignment="1" applyFont="1">
      <alignment horizontal="left" readingOrder="0" shrinkToFit="0" vertical="bottom" wrapText="1"/>
    </xf>
    <xf borderId="0" fillId="8" fontId="2" numFmtId="0" xfId="0" applyAlignment="1" applyFill="1" applyFont="1">
      <alignment horizontal="center" readingOrder="0" vertical="center"/>
    </xf>
    <xf borderId="0" fillId="5" fontId="57" numFmtId="0" xfId="0" applyAlignment="1" applyFill="1" applyFont="1">
      <alignment horizontal="center" vertical="center"/>
    </xf>
    <xf borderId="6" fillId="10" fontId="58" numFmtId="0" xfId="0" applyAlignment="1" applyBorder="1" applyFill="1" applyFont="1">
      <alignment horizontal="center" readingOrder="0" vertical="center"/>
    </xf>
    <xf borderId="9" fillId="5" fontId="57" numFmtId="0" xfId="0" applyAlignment="1" applyBorder="1" applyFill="1" applyFont="1">
      <alignment horizontal="center" vertical="center"/>
    </xf>
    <xf borderId="6" fillId="0" fontId="53" numFmtId="0" xfId="0" applyAlignment="1" applyBorder="1" applyFont="1">
      <alignment horizontal="center" readingOrder="0" vertical="center"/>
    </xf>
    <xf borderId="6" fillId="0" fontId="5" numFmtId="0" xfId="0" applyAlignment="1" applyBorder="1" applyFont="1">
      <alignment horizontal="center" vertical="center"/>
    </xf>
    <xf borderId="8" fillId="0" fontId="5" numFmtId="0" xfId="0" applyAlignment="1" applyBorder="1" applyFont="1">
      <alignment horizontal="center" vertical="center"/>
    </xf>
    <xf borderId="7" fillId="0" fontId="5" numFmtId="0" xfId="0" applyAlignment="1" applyBorder="1" applyFont="1">
      <alignment horizontal="center" vertical="center"/>
    </xf>
    <xf borderId="6" fillId="0" fontId="53" numFmtId="0" xfId="0" applyAlignment="1" applyBorder="1" applyFont="1">
      <alignment horizontal="center" vertical="center"/>
    </xf>
    <xf borderId="31" fillId="0" fontId="5" numFmtId="0" xfId="0" applyAlignment="1" applyBorder="1" applyFont="1">
      <alignment horizontal="left" readingOrder="0" shrinkToFit="0" vertical="bottom" wrapText="1"/>
    </xf>
    <xf borderId="32" fillId="0" fontId="5" numFmtId="0" xfId="0" applyAlignment="1" applyBorder="1" applyFont="1">
      <alignment horizontal="center" shrinkToFit="0" vertical="center" wrapText="1"/>
    </xf>
    <xf borderId="33" fillId="0" fontId="11" numFmtId="0" xfId="0" applyBorder="1" applyFont="1"/>
    <xf borderId="0" fillId="0" fontId="18" numFmtId="0" xfId="0" applyAlignment="1" applyFont="1">
      <alignment horizontal="left" readingOrder="0" vertical="bottom"/>
    </xf>
    <xf borderId="0" fillId="0" fontId="18" numFmtId="0" xfId="0" applyAlignment="1" applyFont="1">
      <alignment horizontal="center" readingOrder="0" shrinkToFit="0" vertical="bottom" wrapText="0"/>
    </xf>
    <xf borderId="0" fillId="0" fontId="18" numFmtId="0" xfId="0" applyAlignment="1" applyFont="1">
      <alignment horizontal="center" readingOrder="0" vertical="bottom"/>
    </xf>
    <xf borderId="0" fillId="0" fontId="5" numFmtId="0" xfId="0" applyAlignment="1" applyFont="1">
      <alignment horizontal="center" readingOrder="0" vertical="bottom"/>
    </xf>
    <xf borderId="14" fillId="0" fontId="18" numFmtId="0" xfId="0" applyAlignment="1" applyBorder="1" applyFont="1">
      <alignment horizontal="left" shrinkToFit="0" vertical="bottom" wrapText="0"/>
    </xf>
    <xf borderId="0" fillId="0" fontId="18" numFmtId="0" xfId="0" applyAlignment="1" applyFont="1">
      <alignment vertical="bottom"/>
    </xf>
    <xf borderId="14" fillId="0" fontId="18" numFmtId="0" xfId="0" applyAlignment="1" applyBorder="1" applyFont="1">
      <alignment vertical="bottom"/>
    </xf>
    <xf borderId="14" fillId="0" fontId="18" numFmtId="0" xfId="0" applyAlignment="1" applyBorder="1" applyFont="1">
      <alignment horizontal="center" shrinkToFit="0" vertical="bottom" wrapText="0"/>
    </xf>
    <xf borderId="0" fillId="0" fontId="18" numFmtId="0" xfId="0" applyAlignment="1" applyFont="1">
      <alignment horizontal="right" shrinkToFit="0" vertical="bottom" wrapText="0"/>
    </xf>
    <xf borderId="9" fillId="0" fontId="15" numFmtId="0" xfId="0" applyBorder="1" applyFont="1"/>
    <xf borderId="10" fillId="0" fontId="15" numFmtId="0" xfId="0" applyBorder="1" applyFont="1"/>
    <xf borderId="0" fillId="0" fontId="18" numFmtId="0" xfId="0" applyAlignment="1" applyFont="1">
      <alignment horizontal="left" readingOrder="0"/>
    </xf>
    <xf borderId="0" fillId="0" fontId="18" numFmtId="0" xfId="0" applyAlignment="1" applyFont="1">
      <alignment horizontal="center"/>
    </xf>
    <xf borderId="0" fillId="0" fontId="18" numFmtId="0" xfId="0" applyAlignment="1" applyFont="1">
      <alignment horizontal="center" readingOrder="0"/>
    </xf>
    <xf borderId="0" fillId="0" fontId="18" numFmtId="0" xfId="0" applyAlignment="1" applyFont="1">
      <alignment horizontal="left" readingOrder="0" shrinkToFit="0" vertical="bottom" wrapText="0"/>
    </xf>
    <xf borderId="34" fillId="0" fontId="5" numFmtId="0" xfId="0" applyAlignment="1" applyBorder="1" applyFont="1">
      <alignment horizontal="left" readingOrder="0" shrinkToFit="0" vertical="top" wrapText="1"/>
    </xf>
    <xf borderId="35" fillId="0" fontId="11" numFmtId="0" xfId="0" applyBorder="1" applyFont="1"/>
    <xf borderId="36" fillId="0" fontId="5" numFmtId="0" xfId="0" applyAlignment="1" applyBorder="1" applyFont="1">
      <alignment horizontal="center" readingOrder="0" shrinkToFit="0" vertical="center" wrapText="1"/>
    </xf>
    <xf borderId="37" fillId="0" fontId="11" numFmtId="0" xfId="0" applyBorder="1" applyFont="1"/>
    <xf borderId="2" fillId="0" fontId="5" numFmtId="0" xfId="0" applyAlignment="1" applyBorder="1" applyFont="1">
      <alignment readingOrder="0"/>
    </xf>
    <xf borderId="0" fillId="0" fontId="18" numFmtId="0" xfId="0" applyAlignment="1" applyFont="1">
      <alignment horizontal="center" vertical="bottom"/>
    </xf>
    <xf borderId="0" fillId="0" fontId="18" numFmtId="0" xfId="0" applyFont="1"/>
    <xf borderId="34" fillId="0" fontId="5" numFmtId="0" xfId="0" applyAlignment="1" applyBorder="1" applyFont="1">
      <alignment horizontal="left" readingOrder="0" shrinkToFit="0" vertical="bottom" wrapText="1"/>
    </xf>
    <xf borderId="38" fillId="0" fontId="5" numFmtId="0" xfId="0" applyAlignment="1" applyBorder="1" applyFont="1">
      <alignment horizontal="center" readingOrder="0" shrinkToFit="0" vertical="center" wrapText="1"/>
    </xf>
    <xf borderId="39" fillId="0" fontId="11" numFmtId="0" xfId="0" applyBorder="1" applyFont="1"/>
    <xf borderId="0" fillId="0" fontId="34" numFmtId="0" xfId="0" applyAlignment="1" applyFont="1">
      <alignment horizontal="left" readingOrder="0" shrinkToFit="0" wrapText="1"/>
    </xf>
    <xf borderId="0" fillId="0" fontId="34" numFmtId="0" xfId="0" applyAlignment="1" applyFont="1">
      <alignment horizontal="left" readingOrder="0"/>
    </xf>
    <xf borderId="0" fillId="0" fontId="52" numFmtId="0" xfId="0" applyAlignment="1" applyFont="1">
      <alignment horizontal="left" readingOrder="0" shrinkToFit="0" vertical="center" wrapText="0"/>
    </xf>
    <xf borderId="0" fillId="0" fontId="15" numFmtId="0" xfId="0" applyAlignment="1" applyFont="1">
      <alignment horizontal="left" readingOrder="0" shrinkToFit="0" wrapText="1"/>
    </xf>
    <xf borderId="0" fillId="0" fontId="16" numFmtId="0" xfId="0" applyAlignment="1" applyFont="1">
      <alignment horizontal="center"/>
    </xf>
    <xf borderId="0" fillId="13" fontId="15" numFmtId="0" xfId="0" applyAlignment="1" applyFill="1" applyFont="1">
      <alignment horizontal="left" readingOrder="0"/>
    </xf>
    <xf borderId="0" fillId="0" fontId="15" numFmtId="0" xfId="0" applyAlignment="1" applyFont="1">
      <alignment horizontal="left" readingOrder="0"/>
    </xf>
    <xf borderId="0" fillId="0" fontId="52" numFmtId="0" xfId="0" applyAlignment="1" applyFont="1">
      <alignment horizontal="left" readingOrder="0" shrinkToFit="0" wrapText="1"/>
    </xf>
    <xf borderId="0" fillId="0" fontId="29" numFmtId="0" xfId="0" applyAlignment="1" applyFont="1">
      <alignment horizontal="right" readingOrder="0"/>
    </xf>
    <xf borderId="0" fillId="0" fontId="15" numFmtId="0" xfId="0" applyAlignment="1" applyFont="1">
      <alignment horizontal="left" readingOrder="0" shrinkToFit="0" wrapText="0"/>
    </xf>
    <xf borderId="11" fillId="0" fontId="5" numFmtId="0" xfId="0" applyAlignment="1" applyBorder="1" applyFont="1">
      <alignment horizontal="left" readingOrder="0" shrinkToFit="0" vertical="bottom" wrapText="1"/>
    </xf>
    <xf borderId="0" fillId="0" fontId="15" numFmtId="0" xfId="0" applyAlignment="1" applyFont="1">
      <alignment shrinkToFit="0" wrapText="1"/>
    </xf>
    <xf borderId="40" fillId="0" fontId="5" numFmtId="0" xfId="0" applyAlignment="1" applyBorder="1" applyFont="1">
      <alignment horizontal="center" shrinkToFit="0" vertical="center" wrapText="1"/>
    </xf>
    <xf borderId="41" fillId="0" fontId="11" numFmtId="0" xfId="0" applyBorder="1" applyFont="1"/>
    <xf borderId="42" fillId="0" fontId="18" numFmtId="0" xfId="0" applyAlignment="1" applyBorder="1" applyFont="1">
      <alignment horizontal="left" readingOrder="0" vertical="top"/>
    </xf>
    <xf borderId="43" fillId="0" fontId="11" numFmtId="0" xfId="0" applyBorder="1" applyFont="1"/>
    <xf borderId="44" fillId="0" fontId="11" numFmtId="0" xfId="0" applyBorder="1" applyFont="1"/>
    <xf borderId="11" fillId="0" fontId="52" numFmtId="0" xfId="0" applyAlignment="1" applyBorder="1" applyFont="1">
      <alignment horizontal="left" readingOrder="0" shrinkToFit="0" vertical="center" wrapText="1"/>
    </xf>
    <xf borderId="11" fillId="0" fontId="47" numFmtId="0" xfId="0" applyAlignment="1" applyBorder="1" applyFont="1">
      <alignment horizontal="left" readingOrder="0" shrinkToFit="0" vertical="top" wrapText="1"/>
    </xf>
    <xf borderId="31" fillId="0" fontId="52" numFmtId="0" xfId="0" applyAlignment="1" applyBorder="1" applyFont="1">
      <alignment horizontal="left" readingOrder="0" shrinkToFit="0" vertical="center" wrapText="1"/>
    </xf>
    <xf borderId="24" fillId="0" fontId="52" numFmtId="0" xfId="0" applyAlignment="1" applyBorder="1" applyFont="1">
      <alignment horizontal="left" readingOrder="0" shrinkToFit="0" vertical="center" wrapText="1"/>
    </xf>
    <xf borderId="45" fillId="0" fontId="52" numFmtId="0" xfId="0" applyAlignment="1" applyBorder="1" applyFont="1">
      <alignment horizontal="left" readingOrder="0" shrinkToFit="0" vertical="center" wrapText="1"/>
    </xf>
    <xf borderId="10" fillId="0" fontId="42" numFmtId="0" xfId="0" applyAlignment="1" applyBorder="1" applyFont="1">
      <alignment vertical="top"/>
    </xf>
    <xf borderId="31" fillId="0" fontId="18" numFmtId="0" xfId="0" applyAlignment="1" applyBorder="1" applyFont="1">
      <alignment horizontal="left" readingOrder="0" vertical="top"/>
    </xf>
    <xf borderId="45" fillId="0" fontId="11" numFmtId="0" xfId="0" applyBorder="1" applyFont="1"/>
    <xf borderId="9" fillId="0" fontId="52" numFmtId="0" xfId="0" applyAlignment="1" applyBorder="1" applyFont="1">
      <alignment horizontal="left" readingOrder="0" shrinkToFit="0" vertical="center" wrapText="1"/>
    </xf>
    <xf borderId="21" fillId="0" fontId="52" numFmtId="0" xfId="0" applyAlignment="1" applyBorder="1" applyFont="1">
      <alignment horizontal="left" readingOrder="0" shrinkToFit="0" vertical="center" wrapText="1"/>
    </xf>
    <xf borderId="10" fillId="0" fontId="42" numFmtId="0" xfId="0" applyAlignment="1" applyBorder="1" applyFont="1">
      <alignment vertical="bottom"/>
    </xf>
    <xf borderId="9" fillId="0" fontId="5" numFmtId="0" xfId="0" applyAlignment="1" applyBorder="1" applyFont="1">
      <alignment horizontal="left" readingOrder="0" shrinkToFit="0" vertical="top" wrapText="1"/>
    </xf>
    <xf borderId="31" fillId="0" fontId="11" numFmtId="0" xfId="0" applyBorder="1" applyFont="1"/>
    <xf borderId="46" fillId="0" fontId="52" numFmtId="0" xfId="0" applyAlignment="1" applyBorder="1" applyFont="1">
      <alignment horizontal="left" readingOrder="0" shrinkToFit="0" vertical="center" wrapText="1"/>
    </xf>
    <xf borderId="2" fillId="10" fontId="49" numFmtId="0" xfId="0" applyAlignment="1" applyBorder="1" applyFill="1" applyFont="1">
      <alignment horizontal="center" readingOrder="0" vertical="center"/>
    </xf>
    <xf borderId="18" fillId="0" fontId="52" numFmtId="0" xfId="0" applyAlignment="1" applyBorder="1" applyFont="1">
      <alignment horizontal="left" readingOrder="0" shrinkToFit="0" vertical="center" wrapText="1"/>
    </xf>
    <xf borderId="47" fillId="0" fontId="11" numFmtId="0" xfId="0" applyBorder="1" applyFont="1"/>
    <xf borderId="12" fillId="0" fontId="52" numFmtId="0" xfId="0" applyAlignment="1" applyBorder="1" applyFont="1">
      <alignment readingOrder="0"/>
    </xf>
    <xf borderId="48" fillId="0" fontId="11" numFmtId="0" xfId="0" applyBorder="1" applyFont="1"/>
    <xf borderId="49" fillId="0" fontId="11" numFmtId="0" xfId="0" applyBorder="1" applyFont="1"/>
    <xf borderId="42" fillId="14" fontId="18" numFmtId="0" xfId="0" applyAlignment="1" applyBorder="1" applyFill="1" applyFont="1">
      <alignment horizontal="left" readingOrder="0" vertical="top"/>
    </xf>
    <xf borderId="0" fillId="14" fontId="15" numFmtId="0" xfId="0" applyAlignment="1" applyFill="1" applyFont="1">
      <alignment horizontal="center"/>
    </xf>
    <xf borderId="9" fillId="14" fontId="15" numFmtId="0" xfId="0" applyAlignment="1" applyBorder="1" applyFill="1" applyFont="1">
      <alignment horizontal="center" shrinkToFit="0" wrapText="0"/>
    </xf>
    <xf borderId="11" fillId="14" fontId="52" numFmtId="0" xfId="0" applyAlignment="1" applyBorder="1" applyFill="1" applyFont="1">
      <alignment horizontal="left" readingOrder="0" shrinkToFit="0" vertical="center" wrapText="1"/>
    </xf>
    <xf borderId="11" fillId="14" fontId="47" numFmtId="0" xfId="0" applyAlignment="1" applyBorder="1" applyFill="1" applyFont="1">
      <alignment horizontal="left" readingOrder="0" shrinkToFit="0" vertical="top" wrapText="1"/>
    </xf>
    <xf borderId="0" fillId="0" fontId="42" numFmtId="0" xfId="0" applyAlignment="1" applyFont="1">
      <alignment vertical="top"/>
    </xf>
    <xf borderId="31" fillId="14" fontId="18" numFmtId="0" xfId="0" applyAlignment="1" applyBorder="1" applyFill="1" applyFont="1">
      <alignment horizontal="left" readingOrder="0" vertical="top"/>
    </xf>
    <xf borderId="9" fillId="14" fontId="5" numFmtId="0" xfId="0" applyAlignment="1" applyBorder="1" applyFill="1" applyFont="1">
      <alignment horizontal="left" readingOrder="0" shrinkToFit="0" vertical="top" wrapText="1"/>
    </xf>
    <xf borderId="9" fillId="0" fontId="15" numFmtId="0" xfId="0" applyAlignment="1" applyBorder="1" applyFont="1">
      <alignment horizontal="center" shrinkToFit="0" wrapText="0"/>
    </xf>
    <xf borderId="3" fillId="14" fontId="15" numFmtId="0" xfId="0" applyAlignment="1" applyBorder="1" applyFill="1" applyFont="1">
      <alignment horizontal="center"/>
    </xf>
    <xf borderId="2" fillId="14" fontId="15" numFmtId="0" xfId="0" applyAlignment="1" applyBorder="1" applyFill="1" applyFont="1">
      <alignment horizontal="center" shrinkToFit="0" wrapText="0"/>
    </xf>
    <xf borderId="0" fillId="0" fontId="54" numFmtId="0" xfId="0" applyAlignment="1" applyFont="1">
      <alignment horizontal="center" readingOrder="0" shrinkToFit="0" vertical="top" wrapText="0"/>
    </xf>
    <xf borderId="12" fillId="0" fontId="15" numFmtId="0" xfId="0" applyAlignment="1" applyBorder="1" applyFont="1">
      <alignment horizontal="left" readingOrder="0" shrinkToFit="0" wrapText="1"/>
    </xf>
    <xf borderId="12" fillId="13" fontId="15" numFmtId="0" xfId="0" applyAlignment="1" applyBorder="1" applyFill="1" applyFont="1">
      <alignment horizontal="left" readingOrder="0"/>
    </xf>
    <xf borderId="12" fillId="0" fontId="15" numFmtId="0" xfId="0" applyAlignment="1" applyBorder="1" applyFont="1">
      <alignment horizontal="left" readingOrder="0"/>
    </xf>
    <xf borderId="12" fillId="0" fontId="15" numFmtId="0" xfId="0" applyAlignment="1" applyBorder="1" applyFont="1">
      <alignment horizontal="left" readingOrder="0" shrinkToFit="0" wrapText="0"/>
    </xf>
    <xf borderId="3" fillId="0" fontId="31" numFmtId="0" xfId="0" applyAlignment="1" applyBorder="1" applyFont="1">
      <alignment horizontal="center" readingOrder="0" vertical="center"/>
    </xf>
    <xf borderId="2" fillId="0" fontId="55" numFmtId="0" xfId="0" applyAlignment="1" applyBorder="1" applyFont="1">
      <alignment horizontal="center" readingOrder="0" vertical="center"/>
    </xf>
    <xf borderId="0" fillId="0" fontId="4" numFmtId="0" xfId="0" applyAlignment="1" applyFont="1">
      <alignment horizontal="center" readingOrder="0" vertical="center"/>
    </xf>
    <xf borderId="0" fillId="0" fontId="4" numFmtId="0" xfId="0" applyAlignment="1" applyFont="1">
      <alignment horizontal="center" readingOrder="0" shrinkToFit="0" vertical="center" wrapText="1"/>
    </xf>
    <xf borderId="0" fillId="6" fontId="4" numFmtId="0" xfId="0" applyAlignment="1" applyFill="1" applyFont="1">
      <alignment horizontal="center" readingOrder="0" vertical="center"/>
    </xf>
    <xf borderId="9" fillId="0" fontId="16" numFmtId="0" xfId="0" applyAlignment="1" applyBorder="1" applyFont="1">
      <alignment horizontal="center" readingOrder="0" vertical="center"/>
    </xf>
    <xf borderId="2" fillId="0" fontId="15" numFmtId="0" xfId="0" applyAlignment="1" applyBorder="1" applyFont="1">
      <alignment horizontal="center" vertical="top"/>
    </xf>
    <xf borderId="9" fillId="0" fontId="15" numFmtId="0" xfId="0" applyAlignment="1" applyBorder="1" applyFont="1">
      <alignment horizontal="center" vertical="top"/>
    </xf>
    <xf borderId="3" fillId="0" fontId="47" numFmtId="0" xfId="0" applyAlignment="1" applyBorder="1" applyFont="1">
      <alignment horizontal="center" readingOrder="0" vertical="top"/>
    </xf>
    <xf borderId="0" fillId="5" fontId="52" numFmtId="0" xfId="0" applyAlignment="1" applyFill="1" applyFont="1">
      <alignment horizontal="center" vertical="center"/>
    </xf>
    <xf borderId="0" fillId="0" fontId="59" numFmtId="0" xfId="0" applyAlignment="1" applyFont="1">
      <alignment horizontal="center" readingOrder="0" vertical="center"/>
    </xf>
    <xf borderId="0" fillId="7" fontId="59" numFmtId="0" xfId="0" applyAlignment="1" applyFill="1" applyFont="1">
      <alignment horizontal="center" readingOrder="0" vertical="center"/>
    </xf>
    <xf borderId="6" fillId="0" fontId="38" numFmtId="0" xfId="0" applyAlignment="1" applyBorder="1" applyFont="1">
      <alignment horizontal="center" readingOrder="0" vertical="center"/>
    </xf>
    <xf borderId="2" fillId="10" fontId="21" numFmtId="0" xfId="0" applyAlignment="1" applyBorder="1" applyFill="1" applyFont="1">
      <alignment horizontal="center" readingOrder="0" vertical="center"/>
    </xf>
    <xf borderId="0" fillId="0" fontId="53" numFmtId="0" xfId="0" applyAlignment="1" applyFont="1">
      <alignment vertical="center"/>
    </xf>
    <xf borderId="0" fillId="7" fontId="40" numFmtId="0" xfId="0" applyAlignment="1" applyFill="1" applyFont="1">
      <alignment horizontal="center" readingOrder="0" vertical="center"/>
    </xf>
    <xf borderId="2" fillId="0" fontId="18" numFmtId="0" xfId="0" applyAlignment="1" applyBorder="1" applyFont="1">
      <alignment horizontal="left" readingOrder="0" vertical="top"/>
    </xf>
    <xf borderId="3" fillId="0" fontId="18" numFmtId="0" xfId="0" applyAlignment="1" applyBorder="1" applyFont="1">
      <alignment horizontal="left" vertical="top"/>
    </xf>
    <xf borderId="4" fillId="0" fontId="18" numFmtId="0" xfId="0" applyAlignment="1" applyBorder="1" applyFont="1">
      <alignment horizontal="left" vertical="top"/>
    </xf>
    <xf borderId="3" fillId="0" fontId="18" numFmtId="0" xfId="0" applyAlignment="1" applyBorder="1" applyFont="1">
      <alignment horizontal="left" readingOrder="0" vertical="top"/>
    </xf>
    <xf borderId="18" fillId="0" fontId="15" numFmtId="0" xfId="0" applyAlignment="1" applyBorder="1" applyFont="1">
      <alignment readingOrder="0"/>
    </xf>
    <xf borderId="11" fillId="0" fontId="29" numFmtId="0" xfId="0" applyAlignment="1" applyBorder="1" applyFont="1">
      <alignment horizontal="left" readingOrder="0" shrinkToFit="0" vertical="center" wrapText="1"/>
    </xf>
    <xf borderId="12" fillId="0" fontId="29" numFmtId="0" xfId="0" applyAlignment="1" applyBorder="1" applyFont="1">
      <alignment horizontal="left" readingOrder="0" shrinkToFit="0" vertical="center" wrapText="1"/>
    </xf>
    <xf borderId="9" fillId="0" fontId="18" numFmtId="0" xfId="0" applyAlignment="1" applyBorder="1" applyFont="1">
      <alignment horizontal="left" readingOrder="0" vertical="top"/>
    </xf>
    <xf borderId="10" fillId="0" fontId="18" numFmtId="0" xfId="0" applyAlignment="1" applyBorder="1" applyFont="1">
      <alignment horizontal="left" vertical="top"/>
    </xf>
    <xf borderId="0" fillId="0" fontId="18" numFmtId="0" xfId="0" applyAlignment="1" applyFont="1">
      <alignment horizontal="center" readingOrder="0" shrinkToFit="0" vertical="center" wrapText="0"/>
    </xf>
    <xf quotePrefix="1" borderId="0" fillId="0" fontId="28" numFmtId="0" xfId="0" applyAlignment="1" applyFont="1">
      <alignment horizontal="center" vertical="center"/>
    </xf>
    <xf borderId="9" fillId="0" fontId="15" numFmtId="0" xfId="0" applyAlignment="1" applyBorder="1" applyFont="1">
      <alignment horizontal="center"/>
    </xf>
    <xf borderId="2" fillId="15" fontId="18" numFmtId="0" xfId="0" applyAlignment="1" applyBorder="1" applyFill="1" applyFont="1">
      <alignment horizontal="left" readingOrder="0" vertical="top"/>
    </xf>
    <xf borderId="3" fillId="15" fontId="18" numFmtId="0" xfId="0" applyAlignment="1" applyBorder="1" applyFill="1" applyFont="1">
      <alignment horizontal="left" vertical="top"/>
    </xf>
    <xf borderId="0" fillId="15" fontId="18" numFmtId="0" xfId="0" applyAlignment="1" applyFill="1" applyFont="1">
      <alignment horizontal="left" vertical="top"/>
    </xf>
    <xf borderId="10" fillId="15" fontId="18" numFmtId="0" xfId="0" applyAlignment="1" applyBorder="1" applyFill="1" applyFont="1">
      <alignment horizontal="left" vertical="top"/>
    </xf>
    <xf borderId="9" fillId="15" fontId="18" numFmtId="0" xfId="0" applyAlignment="1" applyBorder="1" applyFill="1" applyFont="1">
      <alignment horizontal="left" readingOrder="0" vertical="top"/>
    </xf>
    <xf borderId="0" fillId="15" fontId="18" numFmtId="0" xfId="0" applyAlignment="1" applyFill="1" applyFont="1">
      <alignment horizontal="left" readingOrder="0" vertical="top"/>
    </xf>
    <xf borderId="0" fillId="0" fontId="34" numFmtId="0" xfId="0" applyAlignment="1" applyFont="1">
      <alignment horizontal="center" readingOrder="0" vertical="center"/>
    </xf>
    <xf borderId="11" fillId="15" fontId="52" numFmtId="0" xfId="0" applyAlignment="1" applyBorder="1" applyFill="1" applyFont="1">
      <alignment horizontal="left" readingOrder="0" shrinkToFit="0" vertical="center" wrapText="1"/>
    </xf>
    <xf borderId="11" fillId="15" fontId="29" numFmtId="0" xfId="0" applyAlignment="1" applyBorder="1" applyFill="1" applyFont="1">
      <alignment horizontal="left" readingOrder="0" shrinkToFit="0" vertical="center" wrapText="1"/>
    </xf>
    <xf borderId="12" fillId="15" fontId="29" numFmtId="0" xfId="0" applyAlignment="1" applyBorder="1" applyFill="1" applyFont="1">
      <alignment horizontal="left" readingOrder="0" shrinkToFit="0" vertical="center" wrapText="1"/>
    </xf>
    <xf borderId="3" fillId="0" fontId="15" numFmtId="0" xfId="0" applyAlignment="1" applyBorder="1" applyFont="1">
      <alignment horizontal="center" vertical="top"/>
    </xf>
    <xf borderId="0" fillId="0" fontId="15" numFmtId="0" xfId="0" applyAlignment="1" applyFont="1">
      <alignment horizontal="center" vertical="top"/>
    </xf>
    <xf borderId="11" fillId="15" fontId="29" numFmtId="0" xfId="0" applyAlignment="1" applyBorder="1" applyFill="1" applyFont="1">
      <alignment horizontal="center" shrinkToFit="0" vertical="center" wrapText="1"/>
    </xf>
    <xf borderId="0" fillId="0" fontId="39" numFmtId="0" xfId="0" applyAlignment="1" applyFont="1">
      <alignment horizontal="center" vertical="center"/>
    </xf>
    <xf borderId="0" fillId="0" fontId="1" numFmtId="0" xfId="0" applyAlignment="1" applyFont="1">
      <alignment horizontal="center" readingOrder="0" shrinkToFit="0" vertical="bottom" wrapText="0"/>
    </xf>
    <xf borderId="0" fillId="0" fontId="29" numFmtId="0" xfId="0" applyAlignment="1" applyFont="1">
      <alignment horizontal="left" readingOrder="0" shrinkToFit="0" wrapText="1"/>
    </xf>
    <xf borderId="0" fillId="0" fontId="45" numFmtId="0" xfId="0" applyAlignment="1" applyFont="1">
      <alignment vertical="top"/>
    </xf>
    <xf borderId="0" fillId="0" fontId="39" numFmtId="0" xfId="0" applyAlignment="1" applyFont="1">
      <alignment horizontal="center" vertical="top"/>
    </xf>
    <xf borderId="7" fillId="0" fontId="18" numFmtId="0" xfId="0" applyAlignment="1" applyBorder="1" applyFont="1">
      <alignment horizontal="center" readingOrder="0" shrinkToFit="0" vertical="top" wrapText="0"/>
    </xf>
    <xf borderId="0" fillId="0" fontId="39" numFmtId="0" xfId="0" applyAlignment="1" applyFont="1">
      <alignment horizontal="center" readingOrder="0" vertical="center"/>
    </xf>
    <xf borderId="12" fillId="0" fontId="52" numFmtId="0" xfId="0" applyAlignment="1" applyBorder="1" applyFont="1">
      <alignment horizontal="center" readingOrder="0"/>
    </xf>
    <xf borderId="0" fillId="0" fontId="46" numFmtId="0" xfId="0" applyAlignment="1" applyFont="1">
      <alignment horizontal="center" vertical="top"/>
    </xf>
    <xf borderId="9" fillId="6" fontId="2" numFmtId="0" xfId="0" applyAlignment="1" applyBorder="1" applyFill="1" applyFont="1">
      <alignment horizontal="center" vertical="center"/>
    </xf>
    <xf borderId="6" fillId="7" fontId="31" numFmtId="0" xfId="0" applyAlignment="1" applyBorder="1" applyFill="1" applyFont="1">
      <alignment horizontal="center" readingOrder="0" shrinkToFit="0" vertical="center" wrapText="0"/>
    </xf>
    <xf borderId="6" fillId="0" fontId="43" numFmtId="0" xfId="0" applyAlignment="1" applyBorder="1" applyFont="1">
      <alignment horizontal="center" readingOrder="0" vertical="center"/>
    </xf>
    <xf borderId="0" fillId="0" fontId="60" numFmtId="0" xfId="0" applyFont="1"/>
    <xf borderId="11" fillId="16" fontId="31" numFmtId="0" xfId="0" applyAlignment="1" applyBorder="1" applyFill="1" applyFont="1">
      <alignment horizontal="center" readingOrder="0" shrinkToFit="0" vertical="center" wrapText="0"/>
    </xf>
    <xf borderId="0" fillId="0" fontId="42" numFmtId="0" xfId="0" applyAlignment="1" applyFont="1">
      <alignment horizontal="center" vertical="center"/>
    </xf>
    <xf borderId="0" fillId="0" fontId="42" numFmtId="0" xfId="0" applyAlignment="1" applyFont="1">
      <alignment horizontal="center" readingOrder="0" vertical="center"/>
    </xf>
    <xf borderId="0" fillId="0" fontId="61" numFmtId="0" xfId="0" applyAlignment="1" applyFont="1">
      <alignment horizontal="right" vertical="top"/>
    </xf>
    <xf borderId="0" fillId="0" fontId="5" numFmtId="0" xfId="0" applyAlignment="1" applyFont="1">
      <alignment horizontal="left" readingOrder="0" shrinkToFit="0" wrapText="1"/>
    </xf>
    <xf borderId="0" fillId="0" fontId="29" numFmtId="0" xfId="0" applyAlignment="1" applyFont="1">
      <alignment horizontal="left" shrinkToFit="0" vertical="center" wrapText="1"/>
    </xf>
    <xf borderId="0" fillId="0" fontId="29" numFmtId="0" xfId="0" applyAlignment="1" applyFont="1">
      <alignment horizontal="center" vertical="bottom"/>
    </xf>
    <xf borderId="11" fillId="0" fontId="15" numFmtId="0" xfId="0" applyAlignment="1" applyBorder="1" applyFont="1">
      <alignment horizontal="center"/>
    </xf>
    <xf borderId="6" fillId="8" fontId="62" numFmtId="0" xfId="0" applyAlignment="1" applyBorder="1" applyFill="1" applyFont="1">
      <alignment horizontal="center" readingOrder="0" vertical="center"/>
    </xf>
    <xf borderId="2" fillId="0" fontId="31" numFmtId="0" xfId="0" applyAlignment="1" applyBorder="1" applyFont="1">
      <alignment horizontal="left" readingOrder="0" shrinkToFit="0" vertical="center" wrapText="1"/>
    </xf>
    <xf borderId="36" fillId="0" fontId="15" numFmtId="0" xfId="0" applyBorder="1" applyFont="1"/>
    <xf borderId="50" fillId="0" fontId="15" numFmtId="0" xfId="0" applyBorder="1" applyFont="1"/>
    <xf borderId="12" fillId="0" fontId="18" numFmtId="0" xfId="0" applyAlignment="1" applyBorder="1" applyFont="1">
      <alignment horizontal="center" readingOrder="0" shrinkToFit="0" vertical="top" wrapText="0"/>
    </xf>
    <xf borderId="0" fillId="0" fontId="52" numFmtId="0" xfId="0" applyAlignment="1" applyFont="1">
      <alignment horizontal="center" readingOrder="0"/>
    </xf>
    <xf borderId="0" fillId="0" fontId="29" numFmtId="0" xfId="0" applyAlignment="1" applyFont="1">
      <alignment horizontal="center" vertical="top"/>
    </xf>
    <xf borderId="0" fillId="0" fontId="18" numFmtId="0" xfId="0" applyAlignment="1" applyFont="1">
      <alignment horizontal="left" readingOrder="0" shrinkToFit="0" vertical="top" wrapText="0"/>
    </xf>
    <xf borderId="15" fillId="0" fontId="11" numFmtId="0" xfId="0" applyBorder="1" applyFont="1"/>
    <xf borderId="0" fillId="0" fontId="52" numFmtId="0" xfId="0" applyAlignment="1" applyFont="1">
      <alignment horizontal="right" readingOrder="0" shrinkToFit="0" vertical="center" wrapText="0"/>
    </xf>
    <xf borderId="0" fillId="5" fontId="63" numFmtId="0" xfId="0" applyAlignment="1" applyFill="1" applyFont="1">
      <alignment horizontal="center" readingOrder="0" vertical="center"/>
    </xf>
    <xf borderId="0" fillId="6" fontId="59" numFmtId="0" xfId="0" applyAlignment="1" applyFill="1" applyFont="1">
      <alignment horizontal="center" vertical="center"/>
    </xf>
    <xf borderId="0" fillId="0" fontId="18" numFmtId="0" xfId="0" applyAlignment="1" applyFont="1">
      <alignment horizontal="left" readingOrder="0" shrinkToFit="0" vertical="center" wrapText="0"/>
    </xf>
    <xf borderId="0" fillId="5" fontId="63" numFmtId="0" xfId="0" applyAlignment="1" applyFill="1" applyFont="1">
      <alignment horizontal="center" vertical="center"/>
    </xf>
    <xf borderId="6" fillId="0" fontId="18" numFmtId="0" xfId="0" applyAlignment="1" applyBorder="1" applyFont="1">
      <alignment readingOrder="0" shrinkToFit="0" vertical="top" wrapText="0"/>
    </xf>
    <xf borderId="9" fillId="0" fontId="18" numFmtId="0" xfId="0" applyAlignment="1" applyBorder="1" applyFont="1">
      <alignment readingOrder="0" shrinkToFit="0" vertical="top" wrapText="0"/>
    </xf>
    <xf borderId="5" fillId="0" fontId="15" numFmtId="0" xfId="0" applyBorder="1" applyFont="1"/>
    <xf borderId="0" fillId="0" fontId="18" numFmtId="0" xfId="0" applyAlignment="1" applyFont="1">
      <alignment readingOrder="0" shrinkToFit="0" vertical="top" wrapText="0"/>
    </xf>
    <xf borderId="12" fillId="0" fontId="18" numFmtId="0" xfId="0" applyAlignment="1" applyBorder="1" applyFont="1">
      <alignment readingOrder="0" shrinkToFit="0" vertical="top" wrapText="0"/>
    </xf>
    <xf borderId="0" fillId="0" fontId="18" numFmtId="0" xfId="0" applyAlignment="1" applyFont="1">
      <alignment horizontal="left" readingOrder="0" shrinkToFit="0" vertical="bottom" wrapText="0"/>
    </xf>
    <xf borderId="35" fillId="0" fontId="15" numFmtId="0" xfId="0" applyBorder="1" applyFont="1"/>
    <xf borderId="51" fillId="0" fontId="15" numFmtId="0" xfId="0" applyAlignment="1" applyBorder="1" applyFont="1">
      <alignment horizontal="left" readingOrder="0" shrinkToFit="0" wrapText="1"/>
    </xf>
    <xf borderId="51" fillId="0" fontId="15" numFmtId="0" xfId="0" applyAlignment="1" applyBorder="1" applyFont="1">
      <alignment horizontal="left" readingOrder="0"/>
    </xf>
    <xf borderId="51" fillId="0" fontId="15" numFmtId="0" xfId="0" applyAlignment="1" applyBorder="1" applyFont="1">
      <alignment horizontal="left" readingOrder="0" shrinkToFit="0" wrapText="0"/>
    </xf>
    <xf borderId="6" fillId="3" fontId="14" numFmtId="0" xfId="0" applyAlignment="1" applyBorder="1" applyFill="1" applyFont="1">
      <alignment horizontal="left" readingOrder="0" shrinkToFit="0" vertical="center" wrapText="1"/>
    </xf>
    <xf borderId="6" fillId="12" fontId="3" numFmtId="0" xfId="0" applyAlignment="1" applyBorder="1" applyFill="1" applyFont="1">
      <alignment horizontal="left" readingOrder="0" vertical="center"/>
    </xf>
    <xf borderId="6" fillId="12" fontId="64" numFmtId="0" xfId="0" applyAlignment="1" applyBorder="1" applyFill="1" applyFont="1">
      <alignment horizontal="left" readingOrder="0" vertical="center"/>
    </xf>
    <xf borderId="5" fillId="3" fontId="1" numFmtId="0" xfId="0" applyAlignment="1" applyBorder="1" applyFill="1" applyFont="1">
      <alignment horizontal="left" readingOrder="0" shrinkToFit="0" vertical="center" wrapText="1"/>
    </xf>
    <xf borderId="5" fillId="12" fontId="3" numFmtId="0" xfId="0" applyAlignment="1" applyBorder="1" applyFill="1" applyFont="1">
      <alignment horizontal="left" readingOrder="0" vertical="center"/>
    </xf>
    <xf borderId="6" fillId="0" fontId="15" numFmtId="0" xfId="0" applyAlignment="1" applyBorder="1" applyFont="1">
      <alignment readingOrder="0"/>
    </xf>
    <xf borderId="5" fillId="0" fontId="65" numFmtId="0" xfId="0" applyAlignment="1" applyBorder="1" applyFont="1">
      <alignment horizontal="left" readingOrder="0" shrinkToFit="0" vertical="center" wrapText="1"/>
    </xf>
    <xf borderId="5" fillId="0" fontId="2" numFmtId="0" xfId="0" applyAlignment="1" applyBorder="1" applyFont="1">
      <alignment horizontal="left" readingOrder="0" shrinkToFit="0" vertical="center" wrapText="1"/>
    </xf>
    <xf borderId="10" fillId="0" fontId="3" numFmtId="0" xfId="0" applyAlignment="1" applyBorder="1" applyFont="1">
      <alignment horizontal="left" readingOrder="0" vertical="center"/>
    </xf>
    <xf borderId="5" fillId="12" fontId="15" numFmtId="0" xfId="0" applyAlignment="1" applyBorder="1" applyFill="1" applyFont="1">
      <alignment horizontal="left" readingOrder="0"/>
    </xf>
    <xf borderId="5" fillId="0" fontId="2" numFmtId="0" xfId="0" applyAlignment="1" applyBorder="1" applyFont="1">
      <alignment readingOrder="0"/>
    </xf>
    <xf borderId="5" fillId="0" fontId="2" numFmtId="0" xfId="0" applyAlignment="1" applyBorder="1" applyFont="1">
      <alignment horizontal="left" readingOrder="0" vertical="center"/>
    </xf>
    <xf borderId="5" fillId="8" fontId="66" numFmtId="0" xfId="0" applyAlignment="1" applyBorder="1" applyFill="1" applyFont="1">
      <alignment horizontal="left" readingOrder="0"/>
    </xf>
    <xf borderId="0" fillId="0" fontId="2" numFmtId="0" xfId="0" applyAlignment="1" applyFont="1">
      <alignment horizontal="left" vertical="center"/>
    </xf>
    <xf borderId="0" fillId="0" fontId="67" numFmtId="0" xfId="0" applyAlignment="1" applyFont="1">
      <alignment horizontal="left" readingOrder="0" vertical="center"/>
    </xf>
    <xf borderId="5" fillId="12" fontId="2" numFmtId="0" xfId="0" applyAlignment="1" applyBorder="1" applyFill="1" applyFont="1">
      <alignment horizontal="left" readingOrder="0" vertical="center"/>
    </xf>
    <xf borderId="0" fillId="0" fontId="2" numFmtId="0" xfId="0" applyAlignment="1" applyFont="1">
      <alignment horizontal="left" readingOrder="0" vertical="center"/>
    </xf>
    <xf borderId="52" fillId="0" fontId="2" numFmtId="0" xfId="0" applyAlignment="1" applyBorder="1" applyFont="1">
      <alignment horizontal="left" readingOrder="0" shrinkToFit="0" vertical="center" wrapText="1"/>
    </xf>
    <xf borderId="13" fillId="0" fontId="2" numFmtId="0" xfId="0" applyAlignment="1" applyBorder="1" applyFont="1">
      <alignment horizontal="left" readingOrder="0" shrinkToFit="0" vertical="center" wrapText="1"/>
    </xf>
    <xf borderId="0" fillId="0" fontId="26" numFmtId="0" xfId="0" applyAlignment="1" applyFont="1">
      <alignment horizontal="left" shrinkToFit="0" wrapText="1"/>
    </xf>
    <xf borderId="5" fillId="3" fontId="43" numFmtId="0" xfId="0" applyAlignment="1" applyBorder="1" applyFill="1" applyFont="1">
      <alignment horizontal="left" readingOrder="0" shrinkToFit="0" wrapText="1"/>
    </xf>
    <xf borderId="10" fillId="0" fontId="2" numFmtId="0" xfId="0" applyAlignment="1" applyBorder="1" applyFont="1">
      <alignment horizontal="left" readingOrder="0" vertical="center"/>
    </xf>
    <xf borderId="5" fillId="0" fontId="26" numFmtId="0" xfId="0" applyAlignment="1" applyBorder="1" applyFont="1">
      <alignment horizontal="left" readingOrder="0" shrinkToFit="0" wrapText="1"/>
    </xf>
    <xf borderId="12" fillId="0" fontId="3" numFmtId="0" xfId="0" applyAlignment="1" applyBorder="1" applyFont="1">
      <alignment horizontal="left" readingOrder="0" vertical="center"/>
    </xf>
    <xf borderId="12" fillId="0" fontId="2" numFmtId="0" xfId="0" applyAlignment="1" applyBorder="1" applyFont="1">
      <alignment horizontal="left" readingOrder="0" vertical="center"/>
    </xf>
    <xf borderId="13" fillId="0" fontId="2" numFmtId="0" xfId="0" applyAlignment="1" applyBorder="1" applyFont="1">
      <alignment horizontal="left" readingOrder="0" vertical="center"/>
    </xf>
    <xf borderId="10" fillId="0" fontId="15" numFmtId="0" xfId="0" applyAlignment="1" applyBorder="1" applyFont="1">
      <alignment horizontal="left" readingOrder="0"/>
    </xf>
    <xf borderId="0" fillId="0" fontId="51" numFmtId="0" xfId="0" applyAlignment="1" applyFont="1">
      <alignment horizontal="left" readingOrder="0" vertical="center"/>
    </xf>
    <xf borderId="5" fillId="12" fontId="26" numFmtId="0" xfId="0" applyAlignment="1" applyBorder="1" applyFill="1" applyFont="1">
      <alignment horizontal="left" readingOrder="0"/>
    </xf>
    <xf borderId="0" fillId="0" fontId="26" numFmtId="0" xfId="0" applyAlignment="1" applyFont="1">
      <alignment horizontal="left" readingOrder="0"/>
    </xf>
    <xf borderId="0" fillId="0" fontId="68" numFmtId="0" xfId="0" applyAlignment="1" applyFont="1">
      <alignment horizontal="left" readingOrder="0" vertical="center"/>
    </xf>
    <xf borderId="52" fillId="0" fontId="26" numFmtId="0" xfId="0" applyAlignment="1" applyBorder="1" applyFont="1">
      <alignment horizontal="left" readingOrder="0" shrinkToFit="0" wrapText="1"/>
    </xf>
    <xf borderId="10" fillId="0" fontId="51" numFmtId="0" xfId="0" applyAlignment="1" applyBorder="1" applyFont="1">
      <alignment horizontal="left" readingOrder="0" vertical="center"/>
    </xf>
    <xf borderId="12" fillId="0" fontId="51" numFmtId="0" xfId="0" applyAlignment="1" applyBorder="1" applyFont="1">
      <alignment horizontal="left" readingOrder="0" vertical="center"/>
    </xf>
    <xf borderId="13" fillId="0" fontId="15" numFmtId="0" xfId="0" applyAlignment="1" applyBorder="1" applyFont="1">
      <alignment horizontal="left" readingOrder="0"/>
    </xf>
    <xf borderId="12" fillId="0" fontId="26" numFmtId="0" xfId="0" applyAlignment="1" applyBorder="1" applyFont="1">
      <alignment horizontal="left" readingOrder="0"/>
    </xf>
    <xf borderId="13" fillId="0" fontId="3" numFmtId="0" xfId="0" applyAlignment="1" applyBorder="1" applyFont="1">
      <alignment horizontal="left" readingOrder="0" vertical="center"/>
    </xf>
    <xf borderId="6" fillId="12" fontId="51" numFmtId="0" xfId="0" applyAlignment="1" applyBorder="1" applyFill="1" applyFont="1">
      <alignment horizontal="left" readingOrder="0" vertical="center"/>
    </xf>
    <xf borderId="5" fillId="12" fontId="68" numFmtId="0" xfId="0" applyAlignment="1" applyBorder="1" applyFill="1" applyFont="1">
      <alignment horizontal="left" readingOrder="0" vertical="center"/>
    </xf>
    <xf borderId="5" fillId="12" fontId="51" numFmtId="0" xfId="0" applyAlignment="1" applyBorder="1" applyFill="1" applyFont="1">
      <alignment horizontal="left" readingOrder="0" vertical="center"/>
    </xf>
    <xf borderId="0" fillId="0" fontId="69" numFmtId="0" xfId="0" applyAlignment="1" applyFont="1">
      <alignment horizontal="left" readingOrder="0" vertical="center"/>
    </xf>
    <xf borderId="12" fillId="0" fontId="68" numFmtId="0" xfId="0" applyAlignment="1" applyBorder="1" applyFont="1">
      <alignment horizontal="left" readingOrder="0" vertical="center"/>
    </xf>
    <xf borderId="53" fillId="0" fontId="2" numFmtId="0" xfId="0" applyAlignment="1" applyBorder="1" applyFont="1">
      <alignment horizontal="left" readingOrder="0" shrinkToFit="0" vertical="center" wrapText="1"/>
    </xf>
    <xf borderId="53" fillId="0" fontId="26" numFmtId="0" xfId="0" applyAlignment="1" applyBorder="1" applyFont="1">
      <alignment horizontal="left" readingOrder="0" shrinkToFit="0" wrapText="1"/>
    </xf>
    <xf borderId="0" fillId="0" fontId="26" numFmtId="0" xfId="0" applyAlignment="1" applyFont="1">
      <alignment horizontal="left" readingOrder="0" shrinkToFit="0" wrapText="1"/>
    </xf>
    <xf borderId="0" fillId="0" fontId="29" numFmtId="0" xfId="0" applyAlignment="1" applyFont="1">
      <alignment horizontal="center" readingOrder="0" shrinkToFit="0" vertical="center" wrapText="0"/>
    </xf>
    <xf borderId="54" fillId="0" fontId="15" numFmtId="0" xfId="0" applyAlignment="1" applyBorder="1" applyFont="1">
      <alignment horizontal="left" readingOrder="0" shrinkToFit="0" wrapText="1"/>
    </xf>
    <xf borderId="54" fillId="0" fontId="15" numFmtId="0" xfId="0" applyAlignment="1" applyBorder="1" applyFont="1">
      <alignment horizontal="left" readingOrder="0"/>
    </xf>
    <xf borderId="54" fillId="0" fontId="15" numFmtId="0" xfId="0" applyAlignment="1" applyBorder="1" applyFont="1">
      <alignment horizontal="left" readingOrder="0" shrinkToFit="0" wrapText="0"/>
    </xf>
    <xf borderId="55" fillId="0" fontId="15" numFmtId="0" xfId="0" applyAlignment="1" applyBorder="1" applyFont="1">
      <alignment horizontal="left" readingOrder="0" shrinkToFit="0" wrapText="1"/>
    </xf>
    <xf borderId="56" fillId="0" fontId="15" numFmtId="0" xfId="0" applyAlignment="1" applyBorder="1" applyFont="1">
      <alignment horizontal="left" readingOrder="0"/>
    </xf>
    <xf borderId="0" fillId="0" fontId="15" numFmtId="0" xfId="0" applyAlignment="1" applyFont="1">
      <alignment horizontal="left" shrinkToFit="0" wrapText="0"/>
    </xf>
    <xf borderId="12" fillId="0" fontId="15" numFmtId="0" xfId="0" applyAlignment="1" applyBorder="1" applyFont="1">
      <alignment horizontal="left" shrinkToFit="0" wrapText="0"/>
    </xf>
    <xf borderId="0" fillId="0" fontId="15" numFmtId="0" xfId="0" applyAlignment="1" applyFont="1">
      <alignment horizontal="left"/>
    </xf>
    <xf borderId="12" fillId="0" fontId="15" numFmtId="0" xfId="0" applyAlignment="1" applyBorder="1" applyFont="1">
      <alignment horizontal="left"/>
    </xf>
    <xf borderId="3" fillId="0" fontId="15" numFmtId="0" xfId="0" applyAlignment="1" applyBorder="1" applyFont="1">
      <alignment horizontal="left" readingOrder="0" shrinkToFit="0" wrapText="1"/>
    </xf>
    <xf borderId="3" fillId="0" fontId="15" numFmtId="0" xfId="0" applyAlignment="1" applyBorder="1" applyFont="1">
      <alignment horizontal="left" readingOrder="0"/>
    </xf>
    <xf borderId="3" fillId="0" fontId="15" numFmtId="0" xfId="0" applyAlignment="1" applyBorder="1" applyFont="1">
      <alignment horizontal="left"/>
    </xf>
    <xf borderId="3" fillId="0" fontId="15" numFmtId="0" xfId="0" applyAlignment="1" applyBorder="1" applyFont="1">
      <alignment horizontal="left" readingOrder="0" shrinkToFit="0" wrapText="0"/>
    </xf>
    <xf borderId="12" fillId="0" fontId="15" numFmtId="0" xfId="0" applyAlignment="1" applyBorder="1" applyFont="1">
      <alignment readingOrder="0"/>
    </xf>
    <xf borderId="0" fillId="0" fontId="29" numFmtId="0" xfId="0" applyAlignment="1" applyFont="1">
      <alignment readingOrder="0" shrinkToFit="0" vertical="center" wrapText="1"/>
    </xf>
  </cellXfs>
  <cellStyles count="1">
    <cellStyle xfId="0" name="Normal" builtinId="0"/>
  </cellStyles>
  <dxfs count="7">
    <dxf>
      <font/>
      <fill>
        <patternFill patternType="solid">
          <fgColor rgb="FFCC0000"/>
          <bgColor rgb="FFCC0000"/>
        </patternFill>
      </fill>
      <border/>
    </dxf>
    <dxf>
      <font>
        <color rgb="FF000000"/>
      </font>
      <fill>
        <patternFill patternType="solid">
          <fgColor rgb="FFCC0000"/>
          <bgColor rgb="FFCC0000"/>
        </patternFill>
      </fill>
      <border/>
    </dxf>
    <dxf>
      <font>
        <color rgb="FFCCCCCC"/>
      </font>
      <fill>
        <patternFill patternType="solid">
          <fgColor rgb="FFFFFFFF"/>
          <bgColor rgb="FFFFFFFF"/>
        </patternFill>
      </fill>
      <border/>
    </dxf>
    <dxf>
      <font>
        <color rgb="FFFFFFFF"/>
      </font>
      <fill>
        <patternFill patternType="solid">
          <fgColor rgb="FFCC0000"/>
          <bgColor rgb="FFCC0000"/>
        </patternFill>
      </fill>
      <border/>
    </dxf>
    <dxf>
      <font>
        <color rgb="FFFFFFFF"/>
      </font>
      <fill>
        <patternFill patternType="solid">
          <fgColor rgb="FFFFFFFF"/>
          <bgColor rgb="FFFFFFFF"/>
        </patternFill>
      </fill>
      <border/>
    </dxf>
    <dxf>
      <font>
        <color rgb="FF000000"/>
      </font>
      <fill>
        <patternFill patternType="solid">
          <fgColor rgb="FFFFFFFF"/>
          <bgColor rgb="FFFFFFFF"/>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4.png"/><Relationship Id="rId3" Type="http://schemas.openxmlformats.org/officeDocument/2006/relationships/image" Target="../media/image8.png"/><Relationship Id="rId4" Type="http://schemas.openxmlformats.org/officeDocument/2006/relationships/image" Target="../media/image3.png"/><Relationship Id="rId5" Type="http://schemas.openxmlformats.org/officeDocument/2006/relationships/image" Target="../media/image5.png"/><Relationship Id="rId6" Type="http://schemas.openxmlformats.org/officeDocument/2006/relationships/image" Target="../media/image2.png"/><Relationship Id="rId7"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3.png"/><Relationship Id="rId3"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3.png"/><Relationship Id="rId3"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00025" cy="381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8</xdr:row>
      <xdr:rowOff>0</xdr:rowOff>
    </xdr:from>
    <xdr:ext cx="152400" cy="2000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200025" cy="161925"/>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8</xdr:row>
      <xdr:rowOff>0</xdr:rowOff>
    </xdr:from>
    <xdr:ext cx="200025" cy="1143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8</xdr:row>
      <xdr:rowOff>0</xdr:rowOff>
    </xdr:from>
    <xdr:ext cx="152400" cy="20002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8</xdr:row>
      <xdr:rowOff>0</xdr:rowOff>
    </xdr:from>
    <xdr:ext cx="190500" cy="20002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0</xdr:colOff>
      <xdr:row>8</xdr:row>
      <xdr:rowOff>0</xdr:rowOff>
    </xdr:from>
    <xdr:ext cx="200025" cy="14287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58</xdr:col>
      <xdr:colOff>0</xdr:colOff>
      <xdr:row>34</xdr:row>
      <xdr:rowOff>0</xdr:rowOff>
    </xdr:from>
    <xdr:ext cx="152400" cy="2000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58</xdr:col>
      <xdr:colOff>0</xdr:colOff>
      <xdr:row>36</xdr:row>
      <xdr:rowOff>0</xdr:rowOff>
    </xdr:from>
    <xdr:ext cx="152400" cy="2000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58</xdr:col>
      <xdr:colOff>0</xdr:colOff>
      <xdr:row>38</xdr:row>
      <xdr:rowOff>0</xdr:rowOff>
    </xdr:from>
    <xdr:ext cx="152400" cy="2000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58</xdr:col>
      <xdr:colOff>0</xdr:colOff>
      <xdr:row>40</xdr:row>
      <xdr:rowOff>0</xdr:rowOff>
    </xdr:from>
    <xdr:ext cx="200025" cy="161925"/>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58</xdr:col>
      <xdr:colOff>0</xdr:colOff>
      <xdr:row>42</xdr:row>
      <xdr:rowOff>0</xdr:rowOff>
    </xdr:from>
    <xdr:ext cx="152400" cy="2000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58</xdr:col>
      <xdr:colOff>0</xdr:colOff>
      <xdr:row>44</xdr:row>
      <xdr:rowOff>0</xdr:rowOff>
    </xdr:from>
    <xdr:ext cx="152400" cy="2000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58</xdr:col>
      <xdr:colOff>0</xdr:colOff>
      <xdr:row>46</xdr:row>
      <xdr:rowOff>0</xdr:rowOff>
    </xdr:from>
    <xdr:ext cx="152400" cy="20002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58</xdr:col>
      <xdr:colOff>0</xdr:colOff>
      <xdr:row>48</xdr:row>
      <xdr:rowOff>0</xdr:rowOff>
    </xdr:from>
    <xdr:ext cx="200025" cy="161925"/>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51</xdr:row>
      <xdr:rowOff>0</xdr:rowOff>
    </xdr:from>
    <xdr:ext cx="200025" cy="1143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57</xdr:row>
      <xdr:rowOff>0</xdr:rowOff>
    </xdr:from>
    <xdr:ext cx="152400" cy="123825"/>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39</xdr:col>
      <xdr:colOff>0</xdr:colOff>
      <xdr:row>57</xdr:row>
      <xdr:rowOff>0</xdr:rowOff>
    </xdr:from>
    <xdr:ext cx="114300" cy="12382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63</xdr:row>
      <xdr:rowOff>0</xdr:rowOff>
    </xdr:from>
    <xdr:ext cx="95250" cy="1238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39</xdr:col>
      <xdr:colOff>0</xdr:colOff>
      <xdr:row>63</xdr:row>
      <xdr:rowOff>0</xdr:rowOff>
    </xdr:from>
    <xdr:ext cx="114300" cy="12382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69</xdr:row>
      <xdr:rowOff>0</xdr:rowOff>
    </xdr:from>
    <xdr:ext cx="95250" cy="1238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39</xdr:col>
      <xdr:colOff>0</xdr:colOff>
      <xdr:row>69</xdr:row>
      <xdr:rowOff>0</xdr:rowOff>
    </xdr:from>
    <xdr:ext cx="114300" cy="12382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75</xdr:row>
      <xdr:rowOff>0</xdr:rowOff>
    </xdr:from>
    <xdr:ext cx="95250" cy="12382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39</xdr:col>
      <xdr:colOff>0</xdr:colOff>
      <xdr:row>75</xdr:row>
      <xdr:rowOff>0</xdr:rowOff>
    </xdr:from>
    <xdr:ext cx="114300" cy="12382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48</xdr:col>
      <xdr:colOff>180975</xdr:colOff>
      <xdr:row>20</xdr:row>
      <xdr:rowOff>190500</xdr:rowOff>
    </xdr:from>
    <xdr:ext cx="1819275" cy="148590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00025" cy="381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29</xdr:row>
      <xdr:rowOff>0</xdr:rowOff>
    </xdr:from>
    <xdr:ext cx="200025" cy="1143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26</xdr:col>
      <xdr:colOff>0</xdr:colOff>
      <xdr:row>29</xdr:row>
      <xdr:rowOff>0</xdr:rowOff>
    </xdr:from>
    <xdr:ext cx="190500" cy="20002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00025" cy="381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47</xdr:col>
      <xdr:colOff>0</xdr:colOff>
      <xdr:row>12</xdr:row>
      <xdr:rowOff>0</xdr:rowOff>
    </xdr:from>
    <xdr:ext cx="200025" cy="1143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47</xdr:col>
      <xdr:colOff>0</xdr:colOff>
      <xdr:row>16</xdr:row>
      <xdr:rowOff>0</xdr:rowOff>
    </xdr:from>
    <xdr:ext cx="200025" cy="161925"/>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CFE2F3"/>
      </a:accent1>
      <a:accent2>
        <a:srgbClr val="B6D7A8"/>
      </a:accent2>
      <a:accent3>
        <a:srgbClr val="F4CCCC"/>
      </a:accent3>
      <a:accent4>
        <a:srgbClr val="D9D9D9"/>
      </a:accent4>
      <a:accent5>
        <a:srgbClr val="FFFFFF"/>
      </a:accent5>
      <a:accent6>
        <a:srgbClr val="000000"/>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reddit.com/r/Pathfinder2e/comments/cx5dkn/pf2e_simplified_character_sheet_google_sheets/" TargetMode="External"/><Relationship Id="rId2" Type="http://schemas.openxmlformats.org/officeDocument/2006/relationships/hyperlink" Target="https://www.reddit.com/r/Pathfinder2e/comments/efrdp9/pf2e_simplified_character_sheet_google_sheets/" TargetMode="External"/><Relationship Id="rId3" Type="http://schemas.openxmlformats.org/officeDocument/2006/relationships/hyperlink" Target="https://www.reddit.com/r/Pathfinder2e/comments/106v7eu/pf2e_autocalculating_character_sheet/" TargetMode="External"/><Relationship Id="rId4" Type="http://schemas.openxmlformats.org/officeDocument/2006/relationships/hyperlink" Target="https://www.reddit.com/user/AshenCombatant"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8.xml"/><Relationship Id="rId3"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2.75"/>
    <col customWidth="1" min="2" max="3" width="26.13"/>
    <col customWidth="1" min="4" max="4" width="2.75"/>
    <col customWidth="1" min="5" max="6" width="26.13"/>
    <col customWidth="1" min="7" max="7" width="2.75"/>
  </cols>
  <sheetData>
    <row r="1">
      <c r="A1" s="1"/>
      <c r="B1" s="2"/>
      <c r="C1" s="3"/>
      <c r="D1" s="4"/>
      <c r="E1" s="4"/>
      <c r="F1" s="4"/>
      <c r="G1" s="4"/>
    </row>
    <row r="2">
      <c r="A2" s="1"/>
      <c r="B2" s="5" t="s">
        <v>0</v>
      </c>
      <c r="G2" s="4"/>
    </row>
    <row r="3">
      <c r="A3" s="1"/>
      <c r="G3" s="4"/>
    </row>
    <row r="4">
      <c r="A4" s="1"/>
      <c r="B4" s="6" t="s">
        <v>1</v>
      </c>
      <c r="G4" s="4"/>
    </row>
    <row r="5">
      <c r="A5" s="1"/>
      <c r="B5" s="7"/>
      <c r="C5" s="3"/>
      <c r="D5" s="4"/>
      <c r="G5" s="4"/>
    </row>
    <row r="6">
      <c r="A6" s="1"/>
      <c r="B6" s="8" t="s">
        <v>2</v>
      </c>
      <c r="D6" s="4"/>
      <c r="E6" s="8" t="s">
        <v>3</v>
      </c>
      <c r="G6" s="4"/>
    </row>
    <row r="7">
      <c r="A7" s="1"/>
      <c r="B7" s="12" t="str">
        <f>HYPERLINK("https://docs.google.com/spreadsheets/d/1pzthCB-W3bPIQcDa4NM8RQG-VB-sOx90V-dj5Lt8Dg8/copy?usp=sharing","CLICK HERE")</f>
        <v>CLICK HERE</v>
      </c>
      <c r="D7" s="4"/>
      <c r="E7" s="13" t="s">
        <v>4</v>
      </c>
      <c r="G7" s="4"/>
    </row>
    <row r="8">
      <c r="A8" s="1"/>
      <c r="D8" s="4"/>
      <c r="G8" s="4"/>
    </row>
    <row r="9">
      <c r="A9" s="1"/>
      <c r="B9" s="7"/>
      <c r="C9" s="7"/>
      <c r="D9" s="4"/>
      <c r="G9" s="4"/>
    </row>
    <row r="10">
      <c r="A10" s="1"/>
      <c r="D10" s="4"/>
      <c r="G10" s="4"/>
    </row>
    <row r="11">
      <c r="A11" s="1"/>
      <c r="B11" s="8" t="s">
        <v>5</v>
      </c>
      <c r="D11" s="4"/>
      <c r="E11" s="8" t="s">
        <v>6</v>
      </c>
      <c r="G11" s="4"/>
    </row>
    <row r="12">
      <c r="A12" s="1"/>
      <c r="B12" s="15" t="s">
        <v>7</v>
      </c>
      <c r="C12" s="16" t="s">
        <v>8</v>
      </c>
      <c r="D12" s="4"/>
      <c r="E12" s="7" t="s">
        <v>10</v>
      </c>
      <c r="G12" s="4"/>
    </row>
    <row r="13">
      <c r="A13" s="1"/>
      <c r="B13" s="17" t="s">
        <v>11</v>
      </c>
      <c r="C13" s="20"/>
      <c r="D13" s="4"/>
      <c r="E13" s="7" t="s">
        <v>12</v>
      </c>
      <c r="G13" s="4"/>
    </row>
    <row r="14">
      <c r="A14" s="1"/>
      <c r="B14" s="22" t="s">
        <v>13</v>
      </c>
      <c r="C14" s="23" t="s">
        <v>15</v>
      </c>
      <c r="D14" s="4"/>
      <c r="G14" s="4"/>
    </row>
    <row r="15">
      <c r="A15" s="1"/>
      <c r="B15" s="25" t="s">
        <v>16</v>
      </c>
      <c r="D15" s="4"/>
      <c r="E15" s="7" t="s">
        <v>17</v>
      </c>
      <c r="G15" s="4"/>
    </row>
    <row r="16">
      <c r="A16" s="1"/>
      <c r="B16" s="7"/>
      <c r="C16" s="3"/>
      <c r="D16" s="4"/>
      <c r="G16" s="4"/>
    </row>
    <row r="17">
      <c r="A17" s="1"/>
      <c r="B17" s="7"/>
      <c r="C17" s="3"/>
      <c r="D17" s="4"/>
      <c r="E17" s="7" t="s">
        <v>20</v>
      </c>
      <c r="G17" s="4"/>
    </row>
    <row r="18">
      <c r="A18" s="1"/>
      <c r="B18" s="26" t="s">
        <v>21</v>
      </c>
      <c r="D18" s="4"/>
      <c r="E18" s="27" t="s">
        <v>22</v>
      </c>
      <c r="G18" s="4"/>
    </row>
    <row r="19">
      <c r="A19" s="1"/>
      <c r="B19" s="8" t="s">
        <v>23</v>
      </c>
      <c r="C19" s="8" t="s">
        <v>24</v>
      </c>
      <c r="D19" s="4"/>
      <c r="E19" s="27"/>
      <c r="F19" s="27"/>
      <c r="G19" s="4"/>
    </row>
    <row r="20">
      <c r="A20" s="1"/>
      <c r="B20" s="30" t="str">
        <f>HYPERLINK("https://docs.google.com/spreadsheets/d/1V6l7A0kaPkPUjNlwFEqziMnE5NWnCELZ42yW4ePbexE/edit#gid=757414001","Original PF1E AutoSheet")</f>
        <v>Original PF1E AutoSheet</v>
      </c>
      <c r="C20" s="30" t="str">
        <f>HYPERLINK("https://www.reddit.com/user/darthmarth28","/u/darthmarth28")</f>
        <v>/u/darthmarth28</v>
      </c>
      <c r="D20" s="4"/>
      <c r="E20" s="8" t="s">
        <v>25</v>
      </c>
      <c r="G20" s="4"/>
    </row>
    <row r="21">
      <c r="A21" s="1"/>
      <c r="B21" s="30" t="str">
        <f>HYPERLINK("https://www.reddit.com/r/Pathfinder_RPG/comments/944tip/i_made_a_google_sheets_autosheet_for_2e_based_on/","PF2E Playtest AutoSheet")</f>
        <v>PF2E Playtest AutoSheet</v>
      </c>
      <c r="C21" s="30" t="str">
        <f>HYPERLINK("https://www.reddit.com/user/galacticArtificer","/u/galacticArtificer")</f>
        <v>/u/galacticArtificer</v>
      </c>
      <c r="D21" s="4"/>
      <c r="E21" s="31" t="s">
        <v>26</v>
      </c>
      <c r="G21" s="4"/>
    </row>
    <row r="22">
      <c r="A22" s="1"/>
      <c r="B22" s="30" t="str">
        <f>HYPERLINK("http://knowdirectionpodcast.com/2019/08/perrams-landscape-character-sheet-for-pathfinder-second-edition/","PF2E Sheet Design")</f>
        <v>PF2E Sheet Design</v>
      </c>
      <c r="C22" s="30" t="str">
        <f>HYPERLINK("https://www.reddit.com/user/perram","/u/perram")</f>
        <v>/u/perram</v>
      </c>
      <c r="D22" s="4"/>
      <c r="G22" s="4"/>
    </row>
    <row r="23">
      <c r="A23" s="1"/>
      <c r="B23" s="36" t="str">
        <f>HYPERLINK("https://www.reddit.com/r/Pathfinder2e/comments/cpc3yz/pathfinder_2e_autosheet_on_google_docs/","PF2E AutoSheet (Color)")</f>
        <v>PF2E AutoSheet (Color)</v>
      </c>
      <c r="C23" s="30" t="str">
        <f>HYPERLINK("https://www.reddit.com/user/FireandStone/","/u/FireandStone")</f>
        <v>/u/FireandStone</v>
      </c>
      <c r="D23" s="4"/>
      <c r="G23" s="4"/>
    </row>
    <row r="24">
      <c r="A24" s="1"/>
      <c r="B24" s="36" t="str">
        <f>HYPERLINK("https://www.reddit.com/r/Pathfinder2e/comments/cqzg14/autocharacter_sheet_for_players_using_google/","PF2E AutoSheet (B/W)")</f>
        <v>PF2E AutoSheet (B/W)</v>
      </c>
      <c r="C24" s="39" t="str">
        <f>HYPERLINK("https://www.reddit.com/user/selfconfessedcynic","/u/selfconfessedcynic")</f>
        <v>/u/selfconfessedcynic</v>
      </c>
      <c r="D24" s="4"/>
      <c r="G24" s="4"/>
    </row>
    <row r="25">
      <c r="A25" s="1"/>
      <c r="B25" s="57" t="s">
        <v>31</v>
      </c>
      <c r="C25" s="39" t="str">
        <f t="shared" ref="C25:C26" si="1">HYPERLINK("https://www.reddit.com/user/scientificbruno/","/u/scientificbruno")</f>
        <v>/u/scientificbruno</v>
      </c>
      <c r="D25" s="4"/>
      <c r="G25" s="4"/>
    </row>
    <row r="26">
      <c r="A26" s="1"/>
      <c r="B26" s="57" t="s">
        <v>51</v>
      </c>
      <c r="C26" s="39" t="str">
        <f t="shared" si="1"/>
        <v>/u/scientificbruno</v>
      </c>
      <c r="D26" s="4"/>
      <c r="E26" s="31"/>
      <c r="F26" s="31"/>
      <c r="G26" s="4"/>
    </row>
    <row r="27">
      <c r="A27" s="1"/>
      <c r="B27" s="67" t="s">
        <v>54</v>
      </c>
      <c r="C27" s="70" t="s">
        <v>58</v>
      </c>
      <c r="D27" s="4"/>
      <c r="E27" s="31"/>
      <c r="F27" s="31"/>
      <c r="G27" s="4"/>
    </row>
    <row r="28">
      <c r="A28" s="1"/>
      <c r="D28" s="4"/>
      <c r="E28" s="4"/>
      <c r="F28" s="4"/>
      <c r="G28" s="4"/>
    </row>
  </sheetData>
  <mergeCells count="18">
    <mergeCell ref="B11:C11"/>
    <mergeCell ref="C12:C13"/>
    <mergeCell ref="C14:C15"/>
    <mergeCell ref="B18:C18"/>
    <mergeCell ref="E12:F12"/>
    <mergeCell ref="E13:F14"/>
    <mergeCell ref="E15:F16"/>
    <mergeCell ref="E17:F17"/>
    <mergeCell ref="E18:F18"/>
    <mergeCell ref="E20:F20"/>
    <mergeCell ref="E21:F25"/>
    <mergeCell ref="B2:F3"/>
    <mergeCell ref="B4:F4"/>
    <mergeCell ref="B6:C6"/>
    <mergeCell ref="E6:F6"/>
    <mergeCell ref="B7:C8"/>
    <mergeCell ref="E7:F8"/>
    <mergeCell ref="E11:F11"/>
  </mergeCells>
  <hyperlinks>
    <hyperlink r:id="rId1" ref="B25"/>
    <hyperlink r:id="rId2" ref="B26"/>
    <hyperlink r:id="rId3" ref="B27"/>
    <hyperlink r:id="rId4" ref="C27"/>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sheetPr>
  <sheetViews>
    <sheetView showGridLines="0" workbookViewId="0"/>
  </sheetViews>
  <sheetFormatPr customHeight="1" defaultColWidth="12.63" defaultRowHeight="15.75"/>
  <cols>
    <col customWidth="1" min="1" max="61" width="2.63"/>
  </cols>
  <sheetData>
    <row r="1" ht="9.75" customHeight="1">
      <c r="A1" s="9"/>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row>
    <row r="2" ht="9.75" customHeight="1">
      <c r="A2" s="10"/>
      <c r="B2" s="14"/>
      <c r="P2" s="10"/>
      <c r="Q2" s="18" t="s">
        <v>9</v>
      </c>
      <c r="R2" s="19"/>
      <c r="S2" s="19"/>
      <c r="T2" s="21"/>
      <c r="U2" s="24" t="s">
        <v>14</v>
      </c>
      <c r="V2" s="19"/>
      <c r="W2" s="19"/>
      <c r="X2" s="19"/>
      <c r="Y2" s="19"/>
      <c r="Z2" s="19"/>
      <c r="AA2" s="19"/>
      <c r="AB2" s="19"/>
      <c r="AC2" s="19"/>
      <c r="AD2" s="19"/>
      <c r="AE2" s="19"/>
      <c r="AF2" s="19"/>
      <c r="AG2" s="19"/>
      <c r="AH2" s="19"/>
      <c r="AI2" s="19"/>
      <c r="AJ2" s="19"/>
      <c r="AK2" s="19"/>
      <c r="AL2" s="19"/>
      <c r="AM2" s="18" t="s">
        <v>18</v>
      </c>
      <c r="AN2" s="19"/>
      <c r="AO2" s="19"/>
      <c r="AP2" s="21"/>
      <c r="AQ2" s="37" t="s">
        <v>28</v>
      </c>
      <c r="AR2" s="19"/>
      <c r="AS2" s="19"/>
      <c r="AT2" s="19"/>
      <c r="AU2" s="19"/>
      <c r="AV2" s="19"/>
      <c r="AW2" s="19"/>
      <c r="AX2" s="18" t="s">
        <v>29</v>
      </c>
      <c r="AY2" s="19"/>
      <c r="AZ2" s="19"/>
      <c r="BA2" s="21"/>
      <c r="BB2" s="37"/>
      <c r="BC2" s="19"/>
      <c r="BD2" s="19"/>
      <c r="BE2" s="19"/>
      <c r="BF2" s="19"/>
      <c r="BG2" s="19"/>
      <c r="BH2" s="21"/>
      <c r="BI2" s="10"/>
    </row>
    <row r="3" ht="15.75" customHeight="1">
      <c r="A3" s="10"/>
      <c r="P3" s="10"/>
      <c r="Q3" s="40"/>
      <c r="T3" s="41"/>
      <c r="AM3" s="42"/>
      <c r="AN3" s="43"/>
      <c r="AO3" s="43"/>
      <c r="AP3" s="44"/>
      <c r="AQ3" s="43"/>
      <c r="AR3" s="43"/>
      <c r="AS3" s="43"/>
      <c r="AT3" s="43"/>
      <c r="AU3" s="43"/>
      <c r="AV3" s="43"/>
      <c r="AW3" s="43"/>
      <c r="AX3" s="42"/>
      <c r="AY3" s="43"/>
      <c r="AZ3" s="43"/>
      <c r="BA3" s="44"/>
      <c r="BB3" s="43"/>
      <c r="BC3" s="43"/>
      <c r="BD3" s="43"/>
      <c r="BE3" s="43"/>
      <c r="BF3" s="43"/>
      <c r="BG3" s="43"/>
      <c r="BH3" s="44"/>
      <c r="BI3" s="10"/>
    </row>
    <row r="4" ht="9.75" customHeight="1">
      <c r="A4" s="10"/>
      <c r="P4" s="10"/>
      <c r="Q4" s="40"/>
      <c r="T4" s="41"/>
      <c r="AM4" s="45" t="s">
        <v>33</v>
      </c>
      <c r="AP4" s="41"/>
      <c r="AQ4" s="47"/>
      <c r="AR4" s="19"/>
      <c r="AS4" s="19"/>
      <c r="AT4" s="19"/>
      <c r="AU4" s="19"/>
      <c r="AV4" s="19"/>
      <c r="AW4" s="19"/>
      <c r="AX4" s="18" t="s">
        <v>36</v>
      </c>
      <c r="AY4" s="19"/>
      <c r="AZ4" s="19"/>
      <c r="BA4" s="21"/>
      <c r="BB4" s="37"/>
      <c r="BC4" s="19"/>
      <c r="BD4" s="19"/>
      <c r="BE4" s="19"/>
      <c r="BF4" s="19"/>
      <c r="BG4" s="19"/>
      <c r="BH4" s="21"/>
      <c r="BI4" s="10"/>
    </row>
    <row r="5" ht="15.75" customHeight="1">
      <c r="A5" s="10"/>
      <c r="P5" s="10"/>
      <c r="Q5" s="42"/>
      <c r="R5" s="43"/>
      <c r="S5" s="43"/>
      <c r="T5" s="44"/>
      <c r="AM5" s="42"/>
      <c r="AN5" s="43"/>
      <c r="AO5" s="43"/>
      <c r="AP5" s="44"/>
      <c r="AQ5" s="42"/>
      <c r="AR5" s="43"/>
      <c r="AS5" s="43"/>
      <c r="AT5" s="43"/>
      <c r="AU5" s="43"/>
      <c r="AV5" s="43"/>
      <c r="AW5" s="43"/>
      <c r="AX5" s="42"/>
      <c r="AY5" s="43"/>
      <c r="AZ5" s="43"/>
      <c r="BA5" s="44"/>
      <c r="BB5" s="43"/>
      <c r="BC5" s="43"/>
      <c r="BD5" s="43"/>
      <c r="BE5" s="43"/>
      <c r="BF5" s="43"/>
      <c r="BG5" s="43"/>
      <c r="BH5" s="44"/>
      <c r="BI5" s="10"/>
    </row>
    <row r="6" ht="9.75" customHeight="1">
      <c r="A6" s="10"/>
      <c r="P6" s="10"/>
      <c r="Q6" s="45" t="s">
        <v>44</v>
      </c>
      <c r="T6" s="41"/>
      <c r="U6" s="37" t="s">
        <v>46</v>
      </c>
      <c r="V6" s="19"/>
      <c r="W6" s="19"/>
      <c r="X6" s="19"/>
      <c r="Y6" s="19"/>
      <c r="Z6" s="19"/>
      <c r="AA6" s="19"/>
      <c r="AB6" s="19"/>
      <c r="AC6" s="19"/>
      <c r="AD6" s="19"/>
      <c r="AE6" s="19"/>
      <c r="AF6" s="19"/>
      <c r="AG6" s="19"/>
      <c r="AH6" s="19"/>
      <c r="AI6" s="19"/>
      <c r="AJ6" s="19"/>
      <c r="AK6" s="19"/>
      <c r="AL6" s="21"/>
      <c r="AM6" s="45" t="s">
        <v>48</v>
      </c>
      <c r="AP6" s="41"/>
      <c r="AQ6" s="66" t="s">
        <v>55</v>
      </c>
      <c r="AW6" s="41"/>
      <c r="AX6" s="18" t="s">
        <v>56</v>
      </c>
      <c r="AY6" s="19"/>
      <c r="AZ6" s="19"/>
      <c r="BA6" s="21"/>
      <c r="BB6" s="66" t="s">
        <v>59</v>
      </c>
      <c r="BH6" s="41"/>
      <c r="BI6" s="10"/>
    </row>
    <row r="7" ht="15.75" customHeight="1">
      <c r="A7" s="10"/>
      <c r="B7" s="73" t="s">
        <v>60</v>
      </c>
      <c r="C7" s="43"/>
      <c r="D7" s="43"/>
      <c r="E7" s="43"/>
      <c r="F7" s="43"/>
      <c r="G7" s="43"/>
      <c r="H7" s="43"/>
      <c r="I7" s="43"/>
      <c r="J7" s="43"/>
      <c r="K7" s="43"/>
      <c r="L7" s="43"/>
      <c r="M7" s="43"/>
      <c r="N7" s="43"/>
      <c r="O7" s="43"/>
      <c r="P7" s="10"/>
      <c r="Q7" s="42"/>
      <c r="R7" s="43"/>
      <c r="S7" s="43"/>
      <c r="T7" s="44"/>
      <c r="U7" s="43"/>
      <c r="V7" s="43"/>
      <c r="W7" s="43"/>
      <c r="X7" s="43"/>
      <c r="Y7" s="43"/>
      <c r="Z7" s="43"/>
      <c r="AA7" s="43"/>
      <c r="AB7" s="43"/>
      <c r="AC7" s="43"/>
      <c r="AD7" s="43"/>
      <c r="AE7" s="43"/>
      <c r="AF7" s="43"/>
      <c r="AG7" s="43"/>
      <c r="AH7" s="43"/>
      <c r="AI7" s="43"/>
      <c r="AJ7" s="43"/>
      <c r="AK7" s="43"/>
      <c r="AL7" s="44"/>
      <c r="AM7" s="42"/>
      <c r="AN7" s="43"/>
      <c r="AO7" s="43"/>
      <c r="AP7" s="44"/>
      <c r="AQ7" s="43"/>
      <c r="AR7" s="43"/>
      <c r="AS7" s="43"/>
      <c r="AT7" s="43"/>
      <c r="AU7" s="43"/>
      <c r="AV7" s="43"/>
      <c r="AW7" s="44"/>
      <c r="AX7" s="42"/>
      <c r="AY7" s="43"/>
      <c r="AZ7" s="43"/>
      <c r="BA7" s="44"/>
      <c r="BB7" s="43"/>
      <c r="BC7" s="43"/>
      <c r="BD7" s="43"/>
      <c r="BE7" s="43"/>
      <c r="BF7" s="43"/>
      <c r="BG7" s="43"/>
      <c r="BH7" s="44"/>
      <c r="BI7" s="10"/>
    </row>
    <row r="8" ht="9.75" customHeight="1">
      <c r="A8" s="10"/>
      <c r="B8" s="75" t="s">
        <v>63</v>
      </c>
      <c r="G8" s="76"/>
      <c r="H8" s="75" t="s">
        <v>64</v>
      </c>
      <c r="K8" s="75" t="s">
        <v>65</v>
      </c>
      <c r="N8" s="75" t="s">
        <v>66</v>
      </c>
      <c r="P8" s="77"/>
      <c r="Q8" s="45" t="s">
        <v>67</v>
      </c>
      <c r="T8" s="41"/>
      <c r="U8" s="78"/>
      <c r="AA8" s="41"/>
      <c r="AB8" s="79" t="s">
        <v>68</v>
      </c>
      <c r="AE8" s="41"/>
      <c r="AF8" s="78"/>
      <c r="AL8" s="41"/>
      <c r="AM8" s="18" t="s">
        <v>69</v>
      </c>
      <c r="AN8" s="19"/>
      <c r="AO8" s="19"/>
      <c r="AP8" s="21"/>
      <c r="AQ8" s="81"/>
      <c r="AU8" s="82" t="s">
        <v>70</v>
      </c>
      <c r="AX8" s="18" t="s">
        <v>71</v>
      </c>
      <c r="AY8" s="19"/>
      <c r="AZ8" s="19"/>
      <c r="BA8" s="21"/>
      <c r="BB8" s="66" t="s">
        <v>72</v>
      </c>
      <c r="BH8" s="41"/>
      <c r="BI8" s="10"/>
    </row>
    <row r="9" ht="15.75" customHeight="1">
      <c r="A9" s="10"/>
      <c r="B9" s="83"/>
      <c r="C9" s="83"/>
      <c r="E9" s="83"/>
      <c r="H9" s="83"/>
      <c r="K9" s="83"/>
      <c r="N9" s="85"/>
      <c r="P9" s="10"/>
      <c r="Q9" s="42"/>
      <c r="R9" s="43"/>
      <c r="S9" s="43"/>
      <c r="T9" s="44"/>
      <c r="U9" s="43"/>
      <c r="V9" s="43"/>
      <c r="W9" s="43"/>
      <c r="X9" s="43"/>
      <c r="Y9" s="43"/>
      <c r="Z9" s="43"/>
      <c r="AA9" s="44"/>
      <c r="AB9" s="43"/>
      <c r="AC9" s="43"/>
      <c r="AD9" s="43"/>
      <c r="AE9" s="44"/>
      <c r="AF9" s="43"/>
      <c r="AG9" s="43"/>
      <c r="AH9" s="43"/>
      <c r="AI9" s="43"/>
      <c r="AJ9" s="43"/>
      <c r="AK9" s="43"/>
      <c r="AL9" s="44"/>
      <c r="AM9" s="42"/>
      <c r="AN9" s="43"/>
      <c r="AO9" s="43"/>
      <c r="AP9" s="44"/>
      <c r="AQ9" s="43"/>
      <c r="AR9" s="43"/>
      <c r="AS9" s="43"/>
      <c r="AT9" s="43"/>
      <c r="AU9" s="43"/>
      <c r="AV9" s="43"/>
      <c r="AW9" s="43"/>
      <c r="AX9" s="42"/>
      <c r="AY9" s="43"/>
      <c r="AZ9" s="43"/>
      <c r="BA9" s="44"/>
      <c r="BB9" s="43"/>
      <c r="BC9" s="43"/>
      <c r="BD9" s="43"/>
      <c r="BE9" s="43"/>
      <c r="BF9" s="43"/>
      <c r="BG9" s="43"/>
      <c r="BH9" s="44"/>
      <c r="BI9" s="10"/>
    </row>
    <row r="10" ht="15.75" customHeight="1">
      <c r="A10" s="10"/>
      <c r="B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row>
    <row r="11" ht="15.75" customHeight="1">
      <c r="A11" s="14"/>
      <c r="B11" s="88" t="s">
        <v>80</v>
      </c>
      <c r="C11" s="29"/>
      <c r="D11" s="29"/>
      <c r="E11" s="29"/>
      <c r="F11" s="29"/>
      <c r="G11" s="29"/>
      <c r="H11" s="29"/>
      <c r="I11" s="29"/>
      <c r="J11" s="32"/>
      <c r="K11" s="89"/>
      <c r="L11" s="38" t="s">
        <v>81</v>
      </c>
      <c r="M11" s="29"/>
      <c r="N11" s="29"/>
      <c r="O11" s="29"/>
      <c r="P11" s="29"/>
      <c r="Q11" s="29"/>
      <c r="R11" s="29"/>
      <c r="S11" s="29"/>
      <c r="T11" s="29"/>
      <c r="U11" s="29"/>
      <c r="V11" s="29"/>
      <c r="W11" s="29"/>
      <c r="X11" s="29"/>
      <c r="Y11" s="32"/>
      <c r="Z11" s="90"/>
      <c r="AA11" s="38" t="s">
        <v>83</v>
      </c>
      <c r="AB11" s="29"/>
      <c r="AC11" s="29"/>
      <c r="AD11" s="29"/>
      <c r="AE11" s="29"/>
      <c r="AF11" s="29"/>
      <c r="AG11" s="29"/>
      <c r="AH11" s="29"/>
      <c r="AI11" s="29"/>
      <c r="AJ11" s="29"/>
      <c r="AK11" s="29"/>
      <c r="AL11" s="29"/>
      <c r="AM11" s="29"/>
      <c r="AN11" s="29"/>
      <c r="AO11" s="29"/>
      <c r="AP11" s="29"/>
      <c r="AQ11" s="32"/>
      <c r="AR11" s="64"/>
      <c r="AS11" s="93" t="s">
        <v>87</v>
      </c>
      <c r="AT11" s="29"/>
      <c r="AU11" s="29"/>
      <c r="AV11" s="29"/>
      <c r="AW11" s="29"/>
      <c r="AX11" s="32"/>
      <c r="AY11" s="94"/>
      <c r="AZ11" s="95" t="s">
        <v>88</v>
      </c>
      <c r="BA11" s="19"/>
      <c r="BB11" s="21"/>
      <c r="BC11" s="10"/>
      <c r="BD11" s="96" t="s">
        <v>89</v>
      </c>
      <c r="BE11" s="19"/>
      <c r="BF11" s="21"/>
      <c r="BG11" s="10"/>
      <c r="BH11" s="10"/>
      <c r="BI11" s="10"/>
    </row>
    <row r="12" ht="9.75" customHeight="1">
      <c r="A12" s="49"/>
      <c r="B12" s="97" t="s">
        <v>90</v>
      </c>
      <c r="C12" s="19"/>
      <c r="D12" s="19"/>
      <c r="E12" s="19"/>
      <c r="F12" s="19"/>
      <c r="G12" s="19"/>
      <c r="H12" s="19"/>
      <c r="I12" s="19"/>
      <c r="J12" s="21"/>
      <c r="K12" s="98"/>
      <c r="L12" s="49"/>
      <c r="M12" s="49"/>
      <c r="N12" s="48" t="s">
        <v>91</v>
      </c>
      <c r="P12" s="48" t="s">
        <v>92</v>
      </c>
      <c r="R12" s="49"/>
      <c r="S12" s="49"/>
      <c r="T12" s="49"/>
      <c r="U12" s="48" t="s">
        <v>91</v>
      </c>
      <c r="W12" s="48" t="s">
        <v>92</v>
      </c>
      <c r="Z12" s="49"/>
      <c r="AA12" s="48" t="s">
        <v>37</v>
      </c>
      <c r="AC12" s="49"/>
      <c r="AD12" s="48" t="s">
        <v>93</v>
      </c>
      <c r="AE12" s="49"/>
      <c r="AF12" s="48" t="s">
        <v>94</v>
      </c>
      <c r="AG12" s="49"/>
      <c r="AH12" s="48" t="s">
        <v>35</v>
      </c>
      <c r="AI12" s="85"/>
      <c r="AJ12" s="48" t="s">
        <v>97</v>
      </c>
      <c r="AL12" s="49"/>
      <c r="AM12" s="48" t="s">
        <v>99</v>
      </c>
      <c r="AO12" s="48" t="s">
        <v>100</v>
      </c>
      <c r="AP12" s="48" t="s">
        <v>98</v>
      </c>
      <c r="AQ12" s="48" t="s">
        <v>101</v>
      </c>
      <c r="AR12" s="100"/>
      <c r="AS12" s="48" t="s">
        <v>102</v>
      </c>
      <c r="AV12" s="100"/>
      <c r="AW12" s="48" t="s">
        <v>101</v>
      </c>
      <c r="AY12" s="49"/>
      <c r="AZ12" s="42"/>
      <c r="BA12" s="43"/>
      <c r="BB12" s="44"/>
      <c r="BC12" s="10"/>
      <c r="BD12" s="42"/>
      <c r="BE12" s="43"/>
      <c r="BF12" s="44"/>
      <c r="BG12" s="10"/>
      <c r="BH12" s="10"/>
      <c r="BI12" s="10"/>
    </row>
    <row r="13" ht="15.75" customHeight="1">
      <c r="A13" s="10"/>
      <c r="B13" s="40"/>
      <c r="J13" s="41"/>
      <c r="M13" s="101" t="s">
        <v>103</v>
      </c>
      <c r="O13" s="102">
        <v>10.0</v>
      </c>
      <c r="P13" s="103" t="str">
        <f>MODIFIER(ROUNDDOWN((O13-10)/2,0))</f>
        <v>+0</v>
      </c>
      <c r="R13" s="14"/>
      <c r="T13" s="101" t="s">
        <v>105</v>
      </c>
      <c r="V13" s="102">
        <v>10.0</v>
      </c>
      <c r="W13" s="103" t="str">
        <f>MODIFIER(ROUNDDOWN((V13-10)/2,0))</f>
        <v>+0</v>
      </c>
      <c r="Z13" s="10"/>
      <c r="AA13" s="103">
        <f>10+AD13+AH13+AF13</f>
        <v>14</v>
      </c>
      <c r="AC13" s="104" t="s">
        <v>62</v>
      </c>
      <c r="AD13" s="99">
        <f>MIN(vlookup(AD12,Data!$B$14:$C$19,2,0), Inventory!$P$6)</f>
        <v>0</v>
      </c>
      <c r="AE13" s="104" t="s">
        <v>106</v>
      </c>
      <c r="AF13" s="99">
        <f>SWITCH(Inventory!$B$8, AA15, if(AD17,8+Level,if(AC17,6+Level,if(AB17,4+Level,if(AA17,2+Level,0)))), AE15, if(AH17,8+Level,if(AG17,6+Level,if(AF17,4+Level,if(AE17,2+Level,0)))), AJ15, if(AM17,8+Level,if(AL17,6+Level,if(AK17,4+Level,if(AJ17,2+Level,0)))), AN15, if(AQ17,8+Level,if(AP17,6+Level,if(AO17,4+Level,if(AN17,2+Level,0)))))</f>
        <v>3</v>
      </c>
      <c r="AG13" s="104" t="s">
        <v>106</v>
      </c>
      <c r="AH13" s="99">
        <f>Inventory!$M$6+Inventory!$M$8</f>
        <v>1</v>
      </c>
      <c r="AJ13" s="103" t="str">
        <f>MODIFIER(Inventory!$M$12)</f>
        <v>+1</v>
      </c>
      <c r="AM13" s="110"/>
      <c r="AN13" s="32"/>
      <c r="AO13" s="111">
        <f>Inventory!$S$12</f>
        <v>3</v>
      </c>
      <c r="AP13" s="112">
        <f>Inventory!$Y$12</f>
        <v>3</v>
      </c>
      <c r="AQ13" s="113">
        <f>Inventory!$V$12</f>
        <v>6</v>
      </c>
      <c r="AR13" s="114"/>
      <c r="AS13" s="116"/>
      <c r="AT13" s="19"/>
      <c r="AU13" s="21"/>
      <c r="AV13" s="117" t="s">
        <v>113</v>
      </c>
      <c r="AW13" s="118">
        <f>VLOOKUP($AQ$2,Data!B23:C33,2, FALSE) + (VLOOKUP($AQ$6,Data!B37:C58,2, FALSE) + VLOOKUP("Con", Data!$B$14:$C$19, 2, FALSE)) * $AZ$13 + $AW$15</f>
        <v>16</v>
      </c>
      <c r="AY13" s="10"/>
      <c r="AZ13" s="126">
        <v>1.0</v>
      </c>
      <c r="BB13" s="41"/>
      <c r="BC13" s="127"/>
      <c r="BD13" s="128" t="b">
        <v>0</v>
      </c>
      <c r="BE13" s="101" t="b">
        <v>0</v>
      </c>
      <c r="BF13" s="129" t="b">
        <v>0</v>
      </c>
      <c r="BG13" s="10"/>
      <c r="BH13" s="10"/>
      <c r="BI13" s="10"/>
    </row>
    <row r="14" ht="9.75" customHeight="1">
      <c r="A14" s="49"/>
      <c r="B14" s="40"/>
      <c r="J14" s="41"/>
      <c r="K14" s="98"/>
      <c r="M14" s="49"/>
      <c r="N14" s="49"/>
      <c r="O14" s="130"/>
      <c r="P14" s="131"/>
      <c r="R14" s="49"/>
      <c r="T14" s="49"/>
      <c r="U14" s="49"/>
      <c r="V14" s="130"/>
      <c r="W14" s="131"/>
      <c r="Z14" s="49"/>
      <c r="AQ14" s="98"/>
      <c r="AR14" s="98"/>
      <c r="AS14" s="40"/>
      <c r="AU14" s="41"/>
      <c r="AV14" s="98"/>
      <c r="AW14" s="48" t="s">
        <v>114</v>
      </c>
      <c r="AY14" s="49"/>
      <c r="AZ14" s="42"/>
      <c r="BA14" s="43"/>
      <c r="BB14" s="44"/>
      <c r="BC14" s="10"/>
      <c r="BD14" s="42"/>
      <c r="BE14" s="43"/>
      <c r="BF14" s="44"/>
      <c r="BG14" s="10"/>
      <c r="BH14" s="10"/>
      <c r="BI14" s="10"/>
    </row>
    <row r="15" ht="15.75" customHeight="1">
      <c r="A15" s="10"/>
      <c r="B15" s="40"/>
      <c r="J15" s="41"/>
      <c r="M15" s="101" t="s">
        <v>117</v>
      </c>
      <c r="O15" s="102">
        <v>10.0</v>
      </c>
      <c r="P15" s="103" t="str">
        <f>MODIFIER(ROUNDDOWN((O15-10)/2,0))</f>
        <v>+0</v>
      </c>
      <c r="R15" s="14"/>
      <c r="T15" s="101" t="s">
        <v>118</v>
      </c>
      <c r="V15" s="102">
        <v>10.0</v>
      </c>
      <c r="W15" s="103" t="str">
        <f>MODIFIER(ROUNDDOWN((V15-10)/2,0))</f>
        <v>+0</v>
      </c>
      <c r="Z15" s="10"/>
      <c r="AA15" s="137" t="s">
        <v>121</v>
      </c>
      <c r="AB15" s="43"/>
      <c r="AC15" s="43"/>
      <c r="AD15" s="43"/>
      <c r="AE15" s="140" t="s">
        <v>79</v>
      </c>
      <c r="AF15" s="43"/>
      <c r="AG15" s="43"/>
      <c r="AH15" s="43"/>
      <c r="AI15" s="141"/>
      <c r="AJ15" s="137" t="s">
        <v>124</v>
      </c>
      <c r="AK15" s="43"/>
      <c r="AL15" s="43"/>
      <c r="AM15" s="43"/>
      <c r="AN15" s="140" t="s">
        <v>125</v>
      </c>
      <c r="AO15" s="43"/>
      <c r="AP15" s="43"/>
      <c r="AQ15" s="43"/>
      <c r="AS15" s="42"/>
      <c r="AT15" s="43"/>
      <c r="AU15" s="44"/>
      <c r="AW15" s="63">
        <v>0.0</v>
      </c>
      <c r="AY15" s="10"/>
      <c r="AZ15" s="10"/>
      <c r="BA15" s="10"/>
      <c r="BB15" s="10"/>
      <c r="BC15" s="10"/>
      <c r="BD15" s="10"/>
      <c r="BE15" s="10"/>
      <c r="BF15" s="10"/>
      <c r="BG15" s="10"/>
      <c r="BH15" s="10"/>
      <c r="BI15" s="10"/>
    </row>
    <row r="16" ht="9.75" customHeight="1">
      <c r="A16" s="49"/>
      <c r="B16" s="40"/>
      <c r="J16" s="41"/>
      <c r="K16" s="98"/>
      <c r="M16" s="49"/>
      <c r="N16" s="49"/>
      <c r="O16" s="130"/>
      <c r="P16" s="131"/>
      <c r="R16" s="49"/>
      <c r="T16" s="49"/>
      <c r="U16" s="49"/>
      <c r="V16" s="130"/>
      <c r="W16" s="131"/>
      <c r="Z16" s="49"/>
      <c r="AA16" s="49" t="s">
        <v>126</v>
      </c>
      <c r="AB16" s="49" t="s">
        <v>127</v>
      </c>
      <c r="AC16" s="49" t="s">
        <v>128</v>
      </c>
      <c r="AD16" s="142" t="s">
        <v>57</v>
      </c>
      <c r="AE16" s="49" t="s">
        <v>126</v>
      </c>
      <c r="AF16" s="49" t="s">
        <v>127</v>
      </c>
      <c r="AG16" s="49" t="s">
        <v>128</v>
      </c>
      <c r="AH16" s="49" t="s">
        <v>57</v>
      </c>
      <c r="AI16" s="98"/>
      <c r="AJ16" s="49" t="s">
        <v>126</v>
      </c>
      <c r="AK16" s="49" t="s">
        <v>127</v>
      </c>
      <c r="AL16" s="49" t="s">
        <v>128</v>
      </c>
      <c r="AM16" s="142" t="s">
        <v>57</v>
      </c>
      <c r="AN16" s="49" t="s">
        <v>126</v>
      </c>
      <c r="AO16" s="49" t="s">
        <v>127</v>
      </c>
      <c r="AP16" s="49" t="s">
        <v>128</v>
      </c>
      <c r="AQ16" s="49" t="s">
        <v>57</v>
      </c>
      <c r="AR16" s="98"/>
      <c r="AS16" s="144" t="s">
        <v>130</v>
      </c>
      <c r="AT16" s="145"/>
      <c r="AU16" s="144" t="s">
        <v>131</v>
      </c>
      <c r="AV16" s="98"/>
      <c r="AW16" s="48" t="s">
        <v>132</v>
      </c>
      <c r="AY16" s="49"/>
      <c r="BA16" s="148" t="s">
        <v>134</v>
      </c>
      <c r="BG16" s="10"/>
      <c r="BH16" s="10"/>
      <c r="BI16" s="10"/>
    </row>
    <row r="17" ht="15.75" customHeight="1">
      <c r="A17" s="10"/>
      <c r="B17" s="40"/>
      <c r="J17" s="41"/>
      <c r="M17" s="101" t="s">
        <v>135</v>
      </c>
      <c r="O17" s="102">
        <v>10.0</v>
      </c>
      <c r="P17" s="103" t="str">
        <f>MODIFIER(ROUNDDOWN((O17-10)/2,0))</f>
        <v>+0</v>
      </c>
      <c r="R17" s="14"/>
      <c r="T17" s="101" t="s">
        <v>136</v>
      </c>
      <c r="V17" s="102">
        <v>10.0</v>
      </c>
      <c r="W17" s="103" t="str">
        <f>MODIFIER(ROUNDDOWN((V17-10)/2,0))</f>
        <v>+0</v>
      </c>
      <c r="Z17" s="127"/>
      <c r="AA17" s="153" t="b">
        <v>1</v>
      </c>
      <c r="AB17" s="153" t="b">
        <v>0</v>
      </c>
      <c r="AC17" s="153" t="b">
        <v>0</v>
      </c>
      <c r="AD17" s="155" t="b">
        <v>0</v>
      </c>
      <c r="AE17" s="153" t="b">
        <v>1</v>
      </c>
      <c r="AF17" s="153" t="b">
        <v>0</v>
      </c>
      <c r="AG17" s="153" t="b">
        <v>0</v>
      </c>
      <c r="AH17" s="153" t="b">
        <v>0</v>
      </c>
      <c r="AI17" s="157"/>
      <c r="AJ17" s="153" t="b">
        <v>0</v>
      </c>
      <c r="AK17" s="153" t="b">
        <v>0</v>
      </c>
      <c r="AL17" s="153" t="b">
        <v>0</v>
      </c>
      <c r="AM17" s="155" t="b">
        <v>0</v>
      </c>
      <c r="AN17" s="153" t="b">
        <v>0</v>
      </c>
      <c r="AO17" s="153" t="b">
        <v>0</v>
      </c>
      <c r="AP17" s="153" t="b">
        <v>0</v>
      </c>
      <c r="AQ17" s="153" t="b">
        <v>0</v>
      </c>
      <c r="AR17" s="98"/>
      <c r="AS17" s="158"/>
      <c r="AT17" s="117" t="s">
        <v>113</v>
      </c>
      <c r="AU17" s="158"/>
      <c r="AW17" s="159"/>
      <c r="AX17" s="32"/>
      <c r="AY17" s="10"/>
      <c r="BG17" s="10"/>
      <c r="BH17" s="10"/>
      <c r="BI17" s="10"/>
    </row>
    <row r="18" ht="9.75" customHeight="1">
      <c r="A18" s="127"/>
      <c r="B18" s="40"/>
      <c r="J18" s="41"/>
      <c r="K18" s="98"/>
      <c r="L18" s="127"/>
      <c r="M18" s="127"/>
      <c r="N18" s="127"/>
      <c r="O18" s="127"/>
      <c r="P18" s="127"/>
      <c r="Q18" s="127"/>
      <c r="R18" s="127"/>
      <c r="S18" s="127"/>
      <c r="T18" s="127"/>
      <c r="U18" s="127"/>
      <c r="V18" s="127"/>
      <c r="W18" s="127"/>
      <c r="X18" s="127"/>
      <c r="Y18" s="127"/>
      <c r="Z18" s="127"/>
      <c r="AR18" s="98"/>
      <c r="AS18" s="160"/>
      <c r="AT18" s="160"/>
      <c r="AU18" s="160"/>
      <c r="AV18" s="98"/>
      <c r="AW18" s="161"/>
      <c r="AX18" s="161"/>
      <c r="BA18" s="162" t="b">
        <v>0</v>
      </c>
      <c r="BB18" s="165" t="s">
        <v>139</v>
      </c>
      <c r="BG18" s="10"/>
      <c r="BH18" s="10"/>
      <c r="BI18" s="10"/>
    </row>
    <row r="19" ht="15.75" customHeight="1">
      <c r="A19" s="10"/>
      <c r="B19" s="40"/>
      <c r="J19" s="41"/>
      <c r="L19" s="163" t="s">
        <v>140</v>
      </c>
      <c r="M19" s="29"/>
      <c r="N19" s="29"/>
      <c r="O19" s="29"/>
      <c r="P19" s="29"/>
      <c r="Q19" s="29"/>
      <c r="R19" s="29"/>
      <c r="S19" s="29"/>
      <c r="T19" s="29"/>
      <c r="U19" s="29"/>
      <c r="V19" s="29"/>
      <c r="W19" s="29"/>
      <c r="X19" s="29"/>
      <c r="Y19" s="32"/>
      <c r="Z19" s="166"/>
      <c r="AA19" s="163" t="s">
        <v>143</v>
      </c>
      <c r="AB19" s="29"/>
      <c r="AC19" s="29"/>
      <c r="AD19" s="29"/>
      <c r="AE19" s="29"/>
      <c r="AF19" s="29"/>
      <c r="AG19" s="29"/>
      <c r="AH19" s="29"/>
      <c r="AI19" s="29"/>
      <c r="AJ19" s="29"/>
      <c r="AK19" s="29"/>
      <c r="AL19" s="29"/>
      <c r="AM19" s="29"/>
      <c r="AN19" s="29"/>
      <c r="AO19" s="29"/>
      <c r="AP19" s="29"/>
      <c r="AQ19" s="32"/>
      <c r="AS19" s="88" t="s">
        <v>145</v>
      </c>
      <c r="AT19" s="29"/>
      <c r="AU19" s="29"/>
      <c r="AV19" s="29"/>
      <c r="AW19" s="29"/>
      <c r="AX19" s="32"/>
      <c r="AY19" s="10"/>
      <c r="AZ19" s="10"/>
      <c r="BG19" s="10"/>
      <c r="BH19" s="10"/>
      <c r="BI19" s="10"/>
    </row>
    <row r="20" ht="9.75" customHeight="1">
      <c r="A20" s="49"/>
      <c r="B20" s="40"/>
      <c r="J20" s="41"/>
      <c r="K20" s="98"/>
      <c r="L20" s="98"/>
      <c r="M20" s="48" t="s">
        <v>142</v>
      </c>
      <c r="O20" s="49"/>
      <c r="P20" s="48" t="s">
        <v>116</v>
      </c>
      <c r="Q20" s="49"/>
      <c r="R20" s="48" t="str">
        <f>BB6</f>
        <v>Wis</v>
      </c>
      <c r="S20" s="49"/>
      <c r="T20" s="48" t="s">
        <v>146</v>
      </c>
      <c r="U20" s="48" t="s">
        <v>126</v>
      </c>
      <c r="V20" s="48" t="s">
        <v>127</v>
      </c>
      <c r="W20" s="48" t="s">
        <v>128</v>
      </c>
      <c r="X20" s="48" t="s">
        <v>57</v>
      </c>
      <c r="Y20" s="49"/>
      <c r="Z20" s="49"/>
      <c r="AA20" s="49"/>
      <c r="AB20" s="49"/>
      <c r="AC20" s="49"/>
      <c r="AD20" s="49"/>
      <c r="AE20" s="49"/>
      <c r="AF20" s="48" t="s">
        <v>142</v>
      </c>
      <c r="AH20" s="49"/>
      <c r="AI20" s="48" t="s">
        <v>151</v>
      </c>
      <c r="AJ20" s="49"/>
      <c r="AK20" s="48" t="s">
        <v>146</v>
      </c>
      <c r="AL20" s="48" t="s">
        <v>126</v>
      </c>
      <c r="AM20" s="48" t="s">
        <v>127</v>
      </c>
      <c r="AN20" s="48" t="s">
        <v>128</v>
      </c>
      <c r="AO20" s="48" t="s">
        <v>57</v>
      </c>
      <c r="AP20" s="49"/>
      <c r="AQ20" s="48" t="s">
        <v>35</v>
      </c>
      <c r="AR20" s="98"/>
      <c r="AS20" s="48" t="s">
        <v>142</v>
      </c>
      <c r="AU20" s="48"/>
      <c r="AV20" s="48" t="s">
        <v>59</v>
      </c>
      <c r="AW20" s="49"/>
      <c r="AX20" s="48" t="s">
        <v>35</v>
      </c>
      <c r="AY20" s="98"/>
      <c r="AZ20" s="10"/>
      <c r="BA20" s="162" t="b">
        <v>0</v>
      </c>
      <c r="BB20" s="165" t="s">
        <v>154</v>
      </c>
      <c r="BG20" s="10"/>
      <c r="BH20" s="10"/>
      <c r="BI20" s="10"/>
    </row>
    <row r="21" ht="15.75" customHeight="1">
      <c r="A21" s="10"/>
      <c r="B21" s="40"/>
      <c r="J21" s="41"/>
      <c r="M21" s="103">
        <f>P21+R21+T21</f>
        <v>13</v>
      </c>
      <c r="O21" s="104" t="s">
        <v>62</v>
      </c>
      <c r="P21" s="172">
        <v>10.0</v>
      </c>
      <c r="Q21" s="104" t="s">
        <v>106</v>
      </c>
      <c r="R21" s="99">
        <f>vlookup(R20,Data!$B$14:$C$19,2,0)</f>
        <v>0</v>
      </c>
      <c r="S21" s="104" t="s">
        <v>106</v>
      </c>
      <c r="T21" s="99">
        <f>if(X21,8+$AZ$13,if(W21,6+$AZ$13,if(V21,4+$AZ$13,if(U21,2+$AZ$13,0))))</f>
        <v>3</v>
      </c>
      <c r="U21" s="176" t="b">
        <v>1</v>
      </c>
      <c r="V21" s="153" t="b">
        <v>0</v>
      </c>
      <c r="W21" s="153" t="b">
        <v>0</v>
      </c>
      <c r="X21" s="153" t="b">
        <v>0</v>
      </c>
      <c r="Y21" s="14"/>
      <c r="Z21" s="10"/>
      <c r="AA21" s="171" t="s">
        <v>173</v>
      </c>
      <c r="AF21" s="103" t="str">
        <f>MODIFIER(AI21+AK21+AQ21)</f>
        <v>+3</v>
      </c>
      <c r="AH21" s="104" t="s">
        <v>62</v>
      </c>
      <c r="AI21" s="99">
        <f>vlookup(AI20,Data!$B$14:$C$19,2,0)</f>
        <v>0</v>
      </c>
      <c r="AJ21" s="104" t="s">
        <v>106</v>
      </c>
      <c r="AK21" s="99">
        <f>if(AO21,8+Level,if(AN21,6+Level,if(AM21,4+Level,if(AL21,2+Level,0))))</f>
        <v>3</v>
      </c>
      <c r="AL21" s="176" t="b">
        <v>1</v>
      </c>
      <c r="AM21" s="153" t="b">
        <v>0</v>
      </c>
      <c r="AN21" s="153" t="b">
        <v>0</v>
      </c>
      <c r="AO21" s="153" t="b">
        <v>0</v>
      </c>
      <c r="AP21" s="178" t="s">
        <v>106</v>
      </c>
      <c r="AQ21" s="182">
        <v>0.0</v>
      </c>
      <c r="AS21" s="103" t="str">
        <f>MODIFIER(AT23+AV21+AX21)</f>
        <v>+3</v>
      </c>
      <c r="AU21" s="185" t="s">
        <v>62</v>
      </c>
      <c r="AV21" s="99">
        <f>vlookup(AV20,Data!$B$14:$C$19,2,0)</f>
        <v>0</v>
      </c>
      <c r="AW21" s="104" t="s">
        <v>106</v>
      </c>
      <c r="AX21" s="182">
        <v>0.0</v>
      </c>
      <c r="AZ21" s="10"/>
      <c r="BG21" s="10"/>
      <c r="BH21" s="10"/>
      <c r="BI21" s="10"/>
    </row>
    <row r="22" ht="9.75" customHeight="1">
      <c r="A22" s="127"/>
      <c r="B22" s="40"/>
      <c r="J22" s="41"/>
      <c r="K22" s="98"/>
      <c r="L22" s="127"/>
      <c r="M22" s="127"/>
      <c r="N22" s="127"/>
      <c r="O22" s="127"/>
      <c r="P22" s="127"/>
      <c r="Q22" s="127"/>
      <c r="R22" s="127"/>
      <c r="S22" s="127"/>
      <c r="T22" s="127"/>
      <c r="U22" s="127"/>
      <c r="V22" s="127"/>
      <c r="W22" s="127"/>
      <c r="X22" s="127"/>
      <c r="Y22" s="127"/>
      <c r="Z22" s="127"/>
      <c r="AA22" s="187"/>
      <c r="AB22" s="188"/>
      <c r="AC22" s="188"/>
      <c r="AD22" s="188"/>
      <c r="AE22" s="188"/>
      <c r="AF22" s="48" t="s">
        <v>142</v>
      </c>
      <c r="AH22" s="127"/>
      <c r="AI22" s="48" t="s">
        <v>93</v>
      </c>
      <c r="AJ22" s="127"/>
      <c r="AK22" s="48" t="s">
        <v>146</v>
      </c>
      <c r="AL22" s="48" t="s">
        <v>126</v>
      </c>
      <c r="AM22" s="48" t="s">
        <v>127</v>
      </c>
      <c r="AN22" s="48" t="s">
        <v>128</v>
      </c>
      <c r="AO22" s="48" t="s">
        <v>57</v>
      </c>
      <c r="AP22" s="189"/>
      <c r="AQ22" s="48" t="s">
        <v>35</v>
      </c>
      <c r="AR22" s="98"/>
      <c r="AS22" s="98"/>
      <c r="AT22" s="48" t="s">
        <v>146</v>
      </c>
      <c r="AU22" s="48" t="s">
        <v>126</v>
      </c>
      <c r="AV22" s="48" t="s">
        <v>127</v>
      </c>
      <c r="AW22" s="48" t="s">
        <v>128</v>
      </c>
      <c r="AX22" s="48" t="s">
        <v>57</v>
      </c>
      <c r="AY22" s="190"/>
      <c r="AZ22" s="10"/>
      <c r="BA22" s="168" t="b">
        <v>0</v>
      </c>
      <c r="BB22" s="169" t="s">
        <v>153</v>
      </c>
      <c r="BG22" s="10"/>
      <c r="BH22" s="10"/>
      <c r="BI22" s="10"/>
    </row>
    <row r="23" ht="15.75" customHeight="1">
      <c r="A23" s="10"/>
      <c r="B23" s="40"/>
      <c r="J23" s="41"/>
      <c r="L23" s="163" t="s">
        <v>179</v>
      </c>
      <c r="M23" s="29"/>
      <c r="N23" s="29"/>
      <c r="O23" s="29"/>
      <c r="P23" s="29"/>
      <c r="Q23" s="29"/>
      <c r="R23" s="29"/>
      <c r="S23" s="29"/>
      <c r="T23" s="29"/>
      <c r="U23" s="29"/>
      <c r="V23" s="29"/>
      <c r="W23" s="29"/>
      <c r="X23" s="29"/>
      <c r="Y23" s="32"/>
      <c r="Z23" s="166"/>
      <c r="AA23" s="171" t="s">
        <v>180</v>
      </c>
      <c r="AF23" s="103" t="str">
        <f>MODIFIER(AI23+AK23+AQ23)</f>
        <v>+3</v>
      </c>
      <c r="AH23" s="104" t="s">
        <v>62</v>
      </c>
      <c r="AI23" s="99">
        <f>vlookup(AI22,Data!$B$14:$C$19,2,0)</f>
        <v>0</v>
      </c>
      <c r="AJ23" s="104" t="s">
        <v>106</v>
      </c>
      <c r="AK23" s="99">
        <f>if(AO23,8+$AZ$13,if(AN23,6+$AZ$13,if(AM23,4+$AZ$13,if(AL23,2+$AZ$13,0))))</f>
        <v>3</v>
      </c>
      <c r="AL23" s="176" t="b">
        <v>1</v>
      </c>
      <c r="AM23" s="153" t="b">
        <v>0</v>
      </c>
      <c r="AN23" s="153" t="b">
        <v>0</v>
      </c>
      <c r="AO23" s="153" t="b">
        <v>0</v>
      </c>
      <c r="AP23" s="178" t="s">
        <v>106</v>
      </c>
      <c r="AQ23" s="182">
        <v>0.0</v>
      </c>
      <c r="AS23" s="195" t="s">
        <v>106</v>
      </c>
      <c r="AT23" s="99">
        <f>if(AX23,8+$AZ$13,if(AW23,6+$AZ$13,if(AV23,4+$AZ$13,if(AU23,2+$AZ$13,0))))</f>
        <v>3</v>
      </c>
      <c r="AU23" s="176" t="b">
        <v>1</v>
      </c>
      <c r="AV23" s="153" t="b">
        <v>0</v>
      </c>
      <c r="AW23" s="153" t="b">
        <v>0</v>
      </c>
      <c r="AX23" s="153" t="b">
        <v>0</v>
      </c>
      <c r="AY23" s="197"/>
      <c r="AZ23" s="10"/>
      <c r="BG23" s="10"/>
      <c r="BH23" s="10"/>
      <c r="BI23" s="10"/>
    </row>
    <row r="24" ht="9.75" customHeight="1">
      <c r="A24" s="127"/>
      <c r="B24" s="40"/>
      <c r="J24" s="41"/>
      <c r="K24" s="98"/>
      <c r="L24" s="98"/>
      <c r="M24" s="48" t="s">
        <v>186</v>
      </c>
      <c r="O24" s="49"/>
      <c r="P24" s="48" t="s">
        <v>116</v>
      </c>
      <c r="Q24" s="49"/>
      <c r="R24" s="48" t="s">
        <v>187</v>
      </c>
      <c r="S24" s="48"/>
      <c r="T24" s="48" t="s">
        <v>188</v>
      </c>
      <c r="Y24" s="48"/>
      <c r="Z24" s="48"/>
      <c r="AA24" s="187"/>
      <c r="AB24" s="188"/>
      <c r="AC24" s="188"/>
      <c r="AD24" s="188"/>
      <c r="AE24" s="188"/>
      <c r="AF24" s="48" t="s">
        <v>142</v>
      </c>
      <c r="AH24" s="127"/>
      <c r="AI24" s="48" t="s">
        <v>59</v>
      </c>
      <c r="AJ24" s="127"/>
      <c r="AK24" s="48" t="s">
        <v>146</v>
      </c>
      <c r="AL24" s="48" t="s">
        <v>126</v>
      </c>
      <c r="AM24" s="48" t="s">
        <v>127</v>
      </c>
      <c r="AN24" s="48" t="s">
        <v>128</v>
      </c>
      <c r="AO24" s="48" t="s">
        <v>57</v>
      </c>
      <c r="AP24" s="189"/>
      <c r="AQ24" s="48" t="s">
        <v>35</v>
      </c>
      <c r="AR24" s="98"/>
      <c r="AS24" s="48" t="s">
        <v>110</v>
      </c>
      <c r="AY24" s="48"/>
      <c r="AZ24" s="10"/>
      <c r="BA24" s="10"/>
      <c r="BB24" s="10"/>
      <c r="BC24" s="10"/>
      <c r="BD24" s="10"/>
      <c r="BE24" s="10"/>
      <c r="BF24" s="10"/>
      <c r="BG24" s="10"/>
      <c r="BH24" s="10"/>
      <c r="BI24" s="10"/>
    </row>
    <row r="25" ht="15.75" customHeight="1">
      <c r="A25" s="10"/>
      <c r="B25" s="42"/>
      <c r="C25" s="43"/>
      <c r="D25" s="43"/>
      <c r="E25" s="43"/>
      <c r="F25" s="43"/>
      <c r="G25" s="43"/>
      <c r="H25" s="43"/>
      <c r="I25" s="43"/>
      <c r="J25" s="44"/>
      <c r="M25" s="103">
        <f>P25-R25</f>
        <v>25</v>
      </c>
      <c r="O25" s="104" t="s">
        <v>62</v>
      </c>
      <c r="P25" s="63">
        <v>25.0</v>
      </c>
      <c r="Q25" s="192" t="s">
        <v>174</v>
      </c>
      <c r="R25" s="80">
        <f>ABS(if(Inventory!$Y$6&gt;$O$13,Inventory!$V$6,max(Inventory!$V$6-5,0))) + ABS(Inventory!$P$12)</f>
        <v>0</v>
      </c>
      <c r="S25" s="14"/>
      <c r="T25" s="207"/>
      <c r="U25" s="29"/>
      <c r="V25" s="29"/>
      <c r="W25" s="29"/>
      <c r="X25" s="32"/>
      <c r="Y25" s="14"/>
      <c r="Z25" s="14"/>
      <c r="AA25" s="171" t="s">
        <v>192</v>
      </c>
      <c r="AF25" s="103" t="str">
        <f>MODIFIER(AI25+AK25+AQ25)</f>
        <v>+3</v>
      </c>
      <c r="AH25" s="104" t="s">
        <v>62</v>
      </c>
      <c r="AI25" s="99">
        <f>vlookup(AI24,Data!$B$14:$C$19,2,0)</f>
        <v>0</v>
      </c>
      <c r="AJ25" s="104" t="s">
        <v>106</v>
      </c>
      <c r="AK25" s="99">
        <f>if(AO25,8+$AZ$13,if(AN25,6+$AZ$13,if(AM25,4+$AZ$13,if(AL25,2+$AZ$13,0))))</f>
        <v>3</v>
      </c>
      <c r="AL25" s="176" t="b">
        <v>1</v>
      </c>
      <c r="AM25" s="153" t="b">
        <v>0</v>
      </c>
      <c r="AN25" s="153" t="b">
        <v>0</v>
      </c>
      <c r="AO25" s="153" t="b">
        <v>0</v>
      </c>
      <c r="AP25" s="178" t="s">
        <v>106</v>
      </c>
      <c r="AQ25" s="182">
        <v>0.0</v>
      </c>
      <c r="AS25" s="209"/>
      <c r="AT25" s="29"/>
      <c r="AU25" s="29"/>
      <c r="AV25" s="29"/>
      <c r="AW25" s="29"/>
      <c r="AX25" s="32"/>
      <c r="AY25" s="10"/>
      <c r="AZ25" s="38" t="s">
        <v>194</v>
      </c>
      <c r="BA25" s="29"/>
      <c r="BB25" s="29"/>
      <c r="BC25" s="29"/>
      <c r="BD25" s="29"/>
      <c r="BE25" s="29"/>
      <c r="BF25" s="29"/>
      <c r="BG25" s="29"/>
      <c r="BH25" s="32"/>
      <c r="BI25" s="10"/>
    </row>
    <row r="26" ht="9.75" customHeight="1">
      <c r="A26" s="49"/>
      <c r="B26" s="166"/>
      <c r="C26" s="166"/>
      <c r="D26" s="166"/>
      <c r="E26" s="166"/>
      <c r="F26" s="166"/>
      <c r="G26" s="166"/>
      <c r="H26" s="166"/>
      <c r="I26" s="166"/>
      <c r="J26" s="166"/>
      <c r="K26" s="166"/>
      <c r="L26" s="166"/>
      <c r="M26" s="166"/>
      <c r="N26" s="166"/>
      <c r="O26" s="166"/>
      <c r="P26" s="166"/>
      <c r="Q26" s="166"/>
      <c r="R26" s="166"/>
      <c r="S26" s="166"/>
      <c r="T26" s="166"/>
      <c r="U26" s="166"/>
      <c r="V26" s="166"/>
      <c r="W26" s="166"/>
      <c r="X26" s="166"/>
      <c r="Y26" s="166"/>
      <c r="Z26" s="10"/>
      <c r="AA26" s="166"/>
      <c r="AB26" s="166"/>
      <c r="AC26" s="166"/>
      <c r="AD26" s="166"/>
      <c r="AE26" s="166"/>
      <c r="AF26" s="166"/>
      <c r="AG26" s="166"/>
      <c r="AH26" s="166"/>
      <c r="AI26" s="166"/>
      <c r="AJ26" s="166"/>
      <c r="AK26" s="166"/>
      <c r="AL26" s="166"/>
      <c r="AM26" s="166"/>
      <c r="AN26" s="166"/>
      <c r="AO26" s="166"/>
      <c r="AP26" s="166"/>
      <c r="AQ26" s="166"/>
      <c r="AR26" s="166"/>
      <c r="AS26" s="166"/>
      <c r="AT26" s="166"/>
      <c r="AU26" s="166"/>
      <c r="AV26" s="166"/>
      <c r="AW26" s="166"/>
      <c r="AX26" s="166"/>
      <c r="AY26" s="212"/>
      <c r="AZ26" s="196" t="s">
        <v>195</v>
      </c>
      <c r="BA26" s="19"/>
      <c r="BB26" s="19"/>
      <c r="BC26" s="19"/>
      <c r="BD26" s="19"/>
      <c r="BE26" s="19"/>
      <c r="BF26" s="19"/>
      <c r="BG26" s="19"/>
      <c r="BH26" s="21"/>
      <c r="BI26" s="10"/>
    </row>
    <row r="27" ht="15.75" customHeight="1">
      <c r="A27" s="10"/>
      <c r="B27" s="163" t="s">
        <v>197</v>
      </c>
      <c r="C27" s="29"/>
      <c r="D27" s="29"/>
      <c r="E27" s="29"/>
      <c r="F27" s="29"/>
      <c r="G27" s="29"/>
      <c r="H27" s="29"/>
      <c r="I27" s="29"/>
      <c r="J27" s="29"/>
      <c r="K27" s="29"/>
      <c r="L27" s="29"/>
      <c r="M27" s="29"/>
      <c r="N27" s="29"/>
      <c r="O27" s="29"/>
      <c r="P27" s="29"/>
      <c r="Q27" s="29"/>
      <c r="R27" s="29"/>
      <c r="S27" s="29"/>
      <c r="T27" s="29"/>
      <c r="U27" s="29"/>
      <c r="V27" s="29"/>
      <c r="W27" s="29"/>
      <c r="X27" s="29"/>
      <c r="Y27" s="32"/>
      <c r="Z27" s="10"/>
      <c r="AA27" s="38" t="s">
        <v>198</v>
      </c>
      <c r="AB27" s="29"/>
      <c r="AC27" s="29"/>
      <c r="AD27" s="29"/>
      <c r="AE27" s="29"/>
      <c r="AF27" s="29"/>
      <c r="AG27" s="29"/>
      <c r="AH27" s="29"/>
      <c r="AI27" s="29"/>
      <c r="AJ27" s="29"/>
      <c r="AK27" s="29"/>
      <c r="AL27" s="29"/>
      <c r="AM27" s="29"/>
      <c r="AN27" s="29"/>
      <c r="AO27" s="29"/>
      <c r="AP27" s="29"/>
      <c r="AQ27" s="29"/>
      <c r="AR27" s="29"/>
      <c r="AS27" s="29"/>
      <c r="AT27" s="29"/>
      <c r="AU27" s="29"/>
      <c r="AV27" s="29"/>
      <c r="AW27" s="29"/>
      <c r="AX27" s="32"/>
      <c r="AZ27" s="40"/>
      <c r="BH27" s="41"/>
      <c r="BI27" s="10"/>
    </row>
    <row r="28" ht="9.75" customHeight="1">
      <c r="A28" s="49"/>
      <c r="B28" s="153" t="s">
        <v>200</v>
      </c>
      <c r="F28" s="216"/>
      <c r="G28" s="217" t="s">
        <v>201</v>
      </c>
      <c r="K28" s="216"/>
      <c r="L28" s="219"/>
      <c r="M28" s="43"/>
      <c r="N28" s="43"/>
      <c r="O28" s="43"/>
      <c r="P28" s="216"/>
      <c r="Q28" s="219"/>
      <c r="R28" s="43"/>
      <c r="S28" s="43"/>
      <c r="T28" s="43"/>
      <c r="U28" s="216"/>
      <c r="V28" s="219"/>
      <c r="W28" s="43"/>
      <c r="X28" s="43"/>
      <c r="Y28" s="43"/>
      <c r="Z28" s="49"/>
      <c r="AA28" s="49"/>
      <c r="AB28" s="48" t="s">
        <v>203</v>
      </c>
      <c r="AD28" s="49"/>
      <c r="AE28" s="48" t="str">
        <f>IF(OR($BB$6 = "Int", $BB$6 = "Wis"), $BB$6, "Cha")</f>
        <v>Wis</v>
      </c>
      <c r="AF28" s="127"/>
      <c r="AG28" s="48" t="s">
        <v>146</v>
      </c>
      <c r="AH28" s="48" t="s">
        <v>126</v>
      </c>
      <c r="AI28" s="48" t="s">
        <v>127</v>
      </c>
      <c r="AJ28" s="48" t="s">
        <v>128</v>
      </c>
      <c r="AK28" s="48" t="s">
        <v>57</v>
      </c>
      <c r="AL28" s="127"/>
      <c r="AM28" s="48" t="s">
        <v>35</v>
      </c>
      <c r="AN28" s="49"/>
      <c r="AO28" s="49"/>
      <c r="AP28" s="48" t="s">
        <v>204</v>
      </c>
      <c r="AR28" s="49"/>
      <c r="AS28" s="48" t="s">
        <v>116</v>
      </c>
      <c r="AT28" s="48"/>
      <c r="AU28" s="48" t="str">
        <f>AE28</f>
        <v>Wis</v>
      </c>
      <c r="AV28" s="127"/>
      <c r="AW28" s="48" t="s">
        <v>146</v>
      </c>
      <c r="AX28" s="48"/>
      <c r="AY28" s="220"/>
      <c r="AZ28" s="40"/>
      <c r="BH28" s="41"/>
      <c r="BI28" s="10"/>
    </row>
    <row r="29" ht="15.75" customHeight="1">
      <c r="A29" s="10"/>
      <c r="B29" s="223" t="b">
        <v>1</v>
      </c>
      <c r="C29" s="225" t="b">
        <v>0</v>
      </c>
      <c r="D29" s="225" t="b">
        <v>0</v>
      </c>
      <c r="E29" s="225" t="b">
        <v>0</v>
      </c>
      <c r="F29" s="226"/>
      <c r="G29" s="223" t="b">
        <v>0</v>
      </c>
      <c r="H29" s="225" t="b">
        <v>0</v>
      </c>
      <c r="I29" s="225" t="b">
        <v>0</v>
      </c>
      <c r="J29" s="225" t="b">
        <v>0</v>
      </c>
      <c r="K29" s="226"/>
      <c r="L29" s="223" t="b">
        <v>0</v>
      </c>
      <c r="M29" s="225" t="b">
        <v>0</v>
      </c>
      <c r="N29" s="225" t="b">
        <v>0</v>
      </c>
      <c r="O29" s="225" t="b">
        <v>0</v>
      </c>
      <c r="P29" s="226"/>
      <c r="Q29" s="223" t="b">
        <v>0</v>
      </c>
      <c r="R29" s="225" t="b">
        <v>0</v>
      </c>
      <c r="S29" s="225" t="b">
        <v>0</v>
      </c>
      <c r="T29" s="225" t="b">
        <v>0</v>
      </c>
      <c r="U29" s="226"/>
      <c r="V29" s="223" t="b">
        <v>0</v>
      </c>
      <c r="W29" s="225" t="b">
        <v>0</v>
      </c>
      <c r="X29" s="225" t="b">
        <v>0</v>
      </c>
      <c r="Y29" s="225" t="b">
        <v>0</v>
      </c>
      <c r="Z29" s="10"/>
      <c r="AA29" s="10"/>
      <c r="AB29" s="103" t="str">
        <f>MODIFIER(AE29+AG29+AM29)</f>
        <v>+0</v>
      </c>
      <c r="AD29" s="104" t="s">
        <v>62</v>
      </c>
      <c r="AE29" s="99">
        <f>vlookup(AE28,Data!$B$14:$C$19,2,0)</f>
        <v>0</v>
      </c>
      <c r="AF29" s="104" t="s">
        <v>106</v>
      </c>
      <c r="AG29" s="99">
        <f>if(AK29,8+$AZ$13,if(AJ29,6+$AZ$13,if(AI29,4+$AZ$13,if(AH29,2+$AZ$13,0))))</f>
        <v>0</v>
      </c>
      <c r="AH29" s="176" t="b">
        <v>0</v>
      </c>
      <c r="AI29" s="153" t="b">
        <v>0</v>
      </c>
      <c r="AJ29" s="153" t="b">
        <v>0</v>
      </c>
      <c r="AK29" s="153" t="b">
        <v>0</v>
      </c>
      <c r="AL29" s="178" t="s">
        <v>106</v>
      </c>
      <c r="AM29" s="63">
        <v>0.0</v>
      </c>
      <c r="AN29" s="229"/>
      <c r="AO29" s="229"/>
      <c r="AP29" s="103">
        <f>AS29+AU29+AW29</f>
        <v>10</v>
      </c>
      <c r="AR29" s="104" t="s">
        <v>62</v>
      </c>
      <c r="AS29" s="172">
        <v>10.0</v>
      </c>
      <c r="AT29" s="104" t="s">
        <v>106</v>
      </c>
      <c r="AU29" s="99">
        <f>vlookup(AU28,Data!$B$14:$C$19,2,0)</f>
        <v>0</v>
      </c>
      <c r="AV29" s="104" t="s">
        <v>106</v>
      </c>
      <c r="AW29" s="99">
        <f>AG29</f>
        <v>0</v>
      </c>
      <c r="AX29" s="153"/>
      <c r="AY29" s="230"/>
      <c r="AZ29" s="40"/>
      <c r="BH29" s="41"/>
      <c r="BI29" s="10"/>
    </row>
    <row r="30" ht="9.75" customHeight="1">
      <c r="A30" s="127"/>
      <c r="B30" s="231" t="s">
        <v>126</v>
      </c>
      <c r="C30" s="231" t="s">
        <v>127</v>
      </c>
      <c r="D30" s="231" t="s">
        <v>128</v>
      </c>
      <c r="E30" s="231" t="s">
        <v>57</v>
      </c>
      <c r="F30" s="233"/>
      <c r="G30" s="231" t="s">
        <v>126</v>
      </c>
      <c r="H30" s="231" t="s">
        <v>127</v>
      </c>
      <c r="I30" s="231" t="s">
        <v>128</v>
      </c>
      <c r="J30" s="231" t="s">
        <v>57</v>
      </c>
      <c r="K30" s="233"/>
      <c r="L30" s="231" t="s">
        <v>126</v>
      </c>
      <c r="M30" s="231" t="s">
        <v>127</v>
      </c>
      <c r="N30" s="231" t="s">
        <v>128</v>
      </c>
      <c r="O30" s="231" t="s">
        <v>57</v>
      </c>
      <c r="P30" s="233"/>
      <c r="Q30" s="231" t="s">
        <v>126</v>
      </c>
      <c r="R30" s="231" t="s">
        <v>127</v>
      </c>
      <c r="S30" s="231" t="s">
        <v>128</v>
      </c>
      <c r="T30" s="231" t="s">
        <v>57</v>
      </c>
      <c r="U30" s="233"/>
      <c r="V30" s="231" t="s">
        <v>126</v>
      </c>
      <c r="W30" s="231" t="s">
        <v>127</v>
      </c>
      <c r="X30" s="231" t="s">
        <v>128</v>
      </c>
      <c r="Y30" s="231" t="s">
        <v>57</v>
      </c>
      <c r="Z30" s="127"/>
      <c r="AA30" s="48"/>
      <c r="AN30" s="127"/>
      <c r="AO30" s="48"/>
      <c r="AS30" s="48"/>
      <c r="AT30" s="49"/>
      <c r="AU30" s="49"/>
      <c r="AV30" s="49"/>
      <c r="AW30" s="49"/>
      <c r="AX30" s="127"/>
      <c r="AY30" s="220"/>
      <c r="AZ30" s="40"/>
      <c r="BH30" s="41"/>
      <c r="BI30" s="10"/>
    </row>
    <row r="31" ht="15.75" customHeight="1">
      <c r="A31" s="10"/>
      <c r="B31" s="163" t="s">
        <v>214</v>
      </c>
      <c r="C31" s="29"/>
      <c r="D31" s="29"/>
      <c r="E31" s="29"/>
      <c r="F31" s="29"/>
      <c r="G31" s="29"/>
      <c r="H31" s="29"/>
      <c r="I31" s="29"/>
      <c r="J31" s="29"/>
      <c r="K31" s="29"/>
      <c r="L31" s="29"/>
      <c r="M31" s="29"/>
      <c r="N31" s="29"/>
      <c r="O31" s="29"/>
      <c r="P31" s="29"/>
      <c r="Q31" s="29"/>
      <c r="R31" s="29"/>
      <c r="S31" s="29"/>
      <c r="T31" s="29"/>
      <c r="U31" s="29"/>
      <c r="V31" s="29"/>
      <c r="W31" s="29"/>
      <c r="X31" s="29"/>
      <c r="Y31" s="32"/>
      <c r="Z31" s="10"/>
      <c r="AA31" s="163" t="s">
        <v>215</v>
      </c>
      <c r="AB31" s="29"/>
      <c r="AC31" s="29"/>
      <c r="AD31" s="29"/>
      <c r="AE31" s="29"/>
      <c r="AF31" s="29"/>
      <c r="AG31" s="29"/>
      <c r="AH31" s="29"/>
      <c r="AI31" s="29"/>
      <c r="AJ31" s="29"/>
      <c r="AK31" s="29"/>
      <c r="AL31" s="29"/>
      <c r="AM31" s="29"/>
      <c r="AN31" s="29"/>
      <c r="AO31" s="29"/>
      <c r="AP31" s="29"/>
      <c r="AQ31" s="29"/>
      <c r="AR31" s="29"/>
      <c r="AS31" s="29"/>
      <c r="AT31" s="29"/>
      <c r="AU31" s="29"/>
      <c r="AV31" s="29"/>
      <c r="AW31" s="29"/>
      <c r="AX31" s="32"/>
      <c r="AY31" s="108"/>
      <c r="AZ31" s="42"/>
      <c r="BA31" s="43"/>
      <c r="BB31" s="43"/>
      <c r="BC31" s="43"/>
      <c r="BD31" s="43"/>
      <c r="BE31" s="43"/>
      <c r="BF31" s="43"/>
      <c r="BG31" s="43"/>
      <c r="BH31" s="44"/>
      <c r="BI31" s="10"/>
    </row>
    <row r="32" ht="9.75" customHeight="1">
      <c r="A32" s="127"/>
      <c r="B32" s="237" t="s">
        <v>216</v>
      </c>
      <c r="M32" s="98"/>
      <c r="N32" s="48" t="s">
        <v>203</v>
      </c>
      <c r="P32" s="49"/>
      <c r="Q32" s="48" t="str">
        <f>IF(K35,"Dex","Str")</f>
        <v>Str</v>
      </c>
      <c r="R32" s="49"/>
      <c r="S32" s="48" t="s">
        <v>146</v>
      </c>
      <c r="T32" s="48" t="s">
        <v>126</v>
      </c>
      <c r="U32" s="48" t="s">
        <v>127</v>
      </c>
      <c r="V32" s="48" t="s">
        <v>128</v>
      </c>
      <c r="W32" s="48" t="s">
        <v>57</v>
      </c>
      <c r="X32" s="49"/>
      <c r="Y32" s="48" t="s">
        <v>35</v>
      </c>
      <c r="Z32" s="49"/>
      <c r="AA32" s="237" t="s">
        <v>216</v>
      </c>
      <c r="AL32" s="98"/>
      <c r="AM32" s="48" t="s">
        <v>203</v>
      </c>
      <c r="AO32" s="49"/>
      <c r="AP32" s="48" t="s">
        <v>93</v>
      </c>
      <c r="AQ32" s="49"/>
      <c r="AR32" s="48" t="s">
        <v>146</v>
      </c>
      <c r="AS32" s="48" t="s">
        <v>126</v>
      </c>
      <c r="AT32" s="48" t="s">
        <v>127</v>
      </c>
      <c r="AU32" s="48" t="s">
        <v>128</v>
      </c>
      <c r="AV32" s="48" t="s">
        <v>57</v>
      </c>
      <c r="AW32" s="49"/>
      <c r="AX32" s="48" t="s">
        <v>35</v>
      </c>
      <c r="AY32" s="127"/>
      <c r="AZ32" s="10"/>
      <c r="BA32" s="10"/>
      <c r="BB32" s="10"/>
      <c r="BC32" s="10"/>
      <c r="BD32" s="10"/>
      <c r="BE32" s="10"/>
      <c r="BF32" s="10"/>
      <c r="BG32" s="10"/>
      <c r="BH32" s="10"/>
      <c r="BI32" s="10"/>
    </row>
    <row r="33" ht="15.75" customHeight="1">
      <c r="A33" s="10"/>
      <c r="B33" s="238"/>
      <c r="C33" s="29"/>
      <c r="D33" s="29"/>
      <c r="E33" s="29"/>
      <c r="F33" s="29"/>
      <c r="G33" s="29"/>
      <c r="H33" s="29"/>
      <c r="I33" s="29"/>
      <c r="J33" s="29"/>
      <c r="K33" s="29"/>
      <c r="L33" s="32"/>
      <c r="N33" s="103" t="str">
        <f>MODIFIER(Q33+S33+Y33)</f>
        <v>+0</v>
      </c>
      <c r="P33" s="104" t="s">
        <v>62</v>
      </c>
      <c r="Q33" s="99">
        <f>vlookup(Q32,Data!$B$14:$C$19,2,0)</f>
        <v>0</v>
      </c>
      <c r="R33" s="104" t="s">
        <v>106</v>
      </c>
      <c r="S33" s="99">
        <f>if(W33,8+$AZ$13,if(V33,6+$AZ$13,if(U33,4+$AZ$13,if(T33,2+$AZ$13,0))))</f>
        <v>0</v>
      </c>
      <c r="T33" s="176" t="b">
        <v>0</v>
      </c>
      <c r="U33" s="153" t="b">
        <v>0</v>
      </c>
      <c r="V33" s="153" t="b">
        <v>0</v>
      </c>
      <c r="W33" s="153" t="b">
        <v>0</v>
      </c>
      <c r="X33" s="178" t="s">
        <v>106</v>
      </c>
      <c r="Y33" s="63">
        <v>0.0</v>
      </c>
      <c r="Z33" s="14"/>
      <c r="AA33" s="238"/>
      <c r="AB33" s="29"/>
      <c r="AC33" s="29"/>
      <c r="AD33" s="29"/>
      <c r="AE33" s="29"/>
      <c r="AF33" s="29"/>
      <c r="AG33" s="29"/>
      <c r="AH33" s="29"/>
      <c r="AI33" s="29"/>
      <c r="AJ33" s="29"/>
      <c r="AK33" s="32"/>
      <c r="AM33" s="103" t="str">
        <f>MODIFIER(AP33+AR33+AX33)</f>
        <v>+0</v>
      </c>
      <c r="AO33" s="104" t="s">
        <v>62</v>
      </c>
      <c r="AP33" s="99">
        <f>vlookup(AP32,Data!$B$14:$C$19,2,0)</f>
        <v>0</v>
      </c>
      <c r="AQ33" s="104" t="s">
        <v>106</v>
      </c>
      <c r="AR33" s="99">
        <f>if(AV33,8+$AZ$13,if(AU33,6+$AZ$13,if(AT33,4+$AZ$13,if(AS33,2+$AZ$13,0))))</f>
        <v>0</v>
      </c>
      <c r="AS33" s="176" t="b">
        <v>0</v>
      </c>
      <c r="AT33" s="153" t="b">
        <v>0</v>
      </c>
      <c r="AU33" s="153" t="b">
        <v>0</v>
      </c>
      <c r="AV33" s="153" t="b">
        <v>0</v>
      </c>
      <c r="AW33" s="178" t="s">
        <v>106</v>
      </c>
      <c r="AX33" s="63">
        <v>0.0</v>
      </c>
      <c r="AY33" s="10"/>
      <c r="AZ33" s="38" t="s">
        <v>224</v>
      </c>
      <c r="BA33" s="29"/>
      <c r="BB33" s="29"/>
      <c r="BC33" s="29"/>
      <c r="BD33" s="29"/>
      <c r="BE33" s="29"/>
      <c r="BF33" s="29"/>
      <c r="BG33" s="29"/>
      <c r="BH33" s="32"/>
      <c r="BI33" s="10"/>
    </row>
    <row r="34" ht="9.75" customHeight="1">
      <c r="A34" s="127"/>
      <c r="Z34" s="49"/>
      <c r="AY34" s="127"/>
      <c r="AZ34" s="196"/>
      <c r="BA34" s="250"/>
      <c r="BB34" s="250"/>
      <c r="BC34" s="250"/>
      <c r="BD34" s="250"/>
      <c r="BE34" s="250"/>
      <c r="BF34" s="250"/>
      <c r="BG34" s="251"/>
      <c r="BH34" s="252"/>
      <c r="BI34" s="10"/>
    </row>
    <row r="35" ht="15.75" customHeight="1">
      <c r="A35" s="10"/>
      <c r="B35" s="209"/>
      <c r="C35" s="29"/>
      <c r="D35" s="29"/>
      <c r="E35" s="29"/>
      <c r="F35" s="29"/>
      <c r="G35" s="29"/>
      <c r="H35" s="29"/>
      <c r="I35" s="29"/>
      <c r="J35" s="253"/>
      <c r="K35" s="255" t="b">
        <v>0</v>
      </c>
      <c r="L35" s="255" t="b">
        <v>0</v>
      </c>
      <c r="N35" s="256" t="str">
        <f>MODIFIER(Q33+S33+Y33-ABS(Q35))</f>
        <v>–5</v>
      </c>
      <c r="O35" s="258" t="str">
        <f>MODIFIER(Q33+S33+Y33-2*ABS(Q35))</f>
        <v>–10</v>
      </c>
      <c r="P35" s="192"/>
      <c r="Q35" s="63">
        <f>IF(L35,-4,-5)</f>
        <v>-5</v>
      </c>
      <c r="S35" s="259"/>
      <c r="T35" s="29"/>
      <c r="U35" s="32"/>
      <c r="V35" s="178" t="s">
        <v>106</v>
      </c>
      <c r="W35" s="99">
        <f>vlookup(W36,Data!$B$14:$C$19,2,0)</f>
        <v>0</v>
      </c>
      <c r="X35" s="104" t="s">
        <v>106</v>
      </c>
      <c r="Y35" s="99">
        <f>if($BA$20, if(W33,4, if(V33,3 ,if(U33,2, 0))), 0)</f>
        <v>0</v>
      </c>
      <c r="Z35" s="14"/>
      <c r="AA35" s="260"/>
      <c r="AB35" s="29"/>
      <c r="AC35" s="29"/>
      <c r="AD35" s="29"/>
      <c r="AE35" s="29"/>
      <c r="AF35" s="32"/>
      <c r="AG35" s="261"/>
      <c r="AH35" s="262"/>
      <c r="AI35" s="32"/>
      <c r="AJ35" s="255"/>
      <c r="AK35" s="255" t="b">
        <v>0</v>
      </c>
      <c r="AM35" s="256" t="str">
        <f>MODIFIER(AP33+AR33+AX33-ABS(AP35))</f>
        <v>–5</v>
      </c>
      <c r="AN35" s="258" t="str">
        <f>MODIFIER(AP33+AR33+AX33-2*ABS(AP35))</f>
        <v>–10</v>
      </c>
      <c r="AO35" s="192"/>
      <c r="AP35" s="63">
        <f>IF(AK35,-4,-5)</f>
        <v>-5</v>
      </c>
      <c r="AR35" s="263"/>
      <c r="AS35" s="29"/>
      <c r="AT35" s="32"/>
      <c r="AU35" s="178" t="s">
        <v>106</v>
      </c>
      <c r="AV35" s="63">
        <v>0.0</v>
      </c>
      <c r="AW35" s="104" t="s">
        <v>106</v>
      </c>
      <c r="AX35" s="99">
        <f>if($BA$20, if(AV33,4, if(AU33,3 ,if(AT33,2, 0))), 0)</f>
        <v>0</v>
      </c>
      <c r="AY35" s="10"/>
      <c r="AZ35" s="264" t="s">
        <v>226</v>
      </c>
      <c r="BA35" s="222"/>
      <c r="BB35" s="222"/>
      <c r="BC35" s="222"/>
      <c r="BD35" s="222"/>
      <c r="BE35" s="222"/>
      <c r="BF35" s="222"/>
      <c r="BG35" s="265"/>
      <c r="BH35" s="266"/>
      <c r="BI35" s="10"/>
    </row>
    <row r="36" ht="9.75" customHeight="1">
      <c r="A36" s="127"/>
      <c r="B36" s="267" t="s">
        <v>227</v>
      </c>
      <c r="K36" s="268" t="s">
        <v>228</v>
      </c>
      <c r="L36" s="269" t="s">
        <v>229</v>
      </c>
      <c r="M36" s="202"/>
      <c r="N36" s="269" t="s">
        <v>230</v>
      </c>
      <c r="P36" s="269"/>
      <c r="Q36" s="269" t="s">
        <v>231</v>
      </c>
      <c r="R36" s="202"/>
      <c r="S36" s="269" t="s">
        <v>232</v>
      </c>
      <c r="V36" s="231"/>
      <c r="W36" s="269" t="s">
        <v>119</v>
      </c>
      <c r="X36" s="231"/>
      <c r="Y36" s="269" t="s">
        <v>233</v>
      </c>
      <c r="Z36" s="270"/>
      <c r="AA36" s="271" t="s">
        <v>227</v>
      </c>
      <c r="AB36" s="272"/>
      <c r="AC36" s="272"/>
      <c r="AD36" s="272"/>
      <c r="AE36" s="272"/>
      <c r="AF36" s="273"/>
      <c r="AG36" s="274" t="s">
        <v>234</v>
      </c>
      <c r="AH36" s="273"/>
      <c r="AI36" s="275" t="s">
        <v>235</v>
      </c>
      <c r="AJ36" s="269"/>
      <c r="AK36" s="269" t="s">
        <v>229</v>
      </c>
      <c r="AL36" s="202"/>
      <c r="AM36" s="269" t="s">
        <v>230</v>
      </c>
      <c r="AO36" s="269"/>
      <c r="AP36" s="269" t="s">
        <v>231</v>
      </c>
      <c r="AQ36" s="202"/>
      <c r="AR36" s="269" t="s">
        <v>232</v>
      </c>
      <c r="AU36" s="231"/>
      <c r="AV36" s="269" t="s">
        <v>236</v>
      </c>
      <c r="AW36" s="231"/>
      <c r="AX36" s="269" t="s">
        <v>233</v>
      </c>
      <c r="AY36" s="127"/>
      <c r="AZ36" s="276"/>
      <c r="BH36" s="277"/>
      <c r="BI36" s="10"/>
    </row>
    <row r="37" ht="15.75" customHeight="1">
      <c r="A37" s="10"/>
      <c r="B37" s="278"/>
      <c r="C37" s="279"/>
      <c r="D37" s="279"/>
      <c r="E37" s="279"/>
      <c r="F37" s="279"/>
      <c r="G37" s="279"/>
      <c r="H37" s="279"/>
      <c r="I37" s="279"/>
      <c r="J37" s="279"/>
      <c r="K37" s="279"/>
      <c r="L37" s="280"/>
      <c r="M37" s="280"/>
      <c r="N37" s="279"/>
      <c r="O37" s="280"/>
      <c r="P37" s="279"/>
      <c r="Q37" s="280"/>
      <c r="R37" s="279"/>
      <c r="S37" s="280"/>
      <c r="T37" s="279"/>
      <c r="V37" s="231"/>
      <c r="W37" s="231"/>
      <c r="X37" s="231"/>
      <c r="Y37" s="231"/>
      <c r="Z37" s="9"/>
      <c r="AA37" s="278"/>
      <c r="AB37" s="279"/>
      <c r="AC37" s="279"/>
      <c r="AD37" s="279"/>
      <c r="AE37" s="279"/>
      <c r="AF37" s="279"/>
      <c r="AG37" s="279"/>
      <c r="AH37" s="279"/>
      <c r="AI37" s="279"/>
      <c r="AJ37" s="279"/>
      <c r="AK37" s="280"/>
      <c r="AL37" s="280"/>
      <c r="AM37" s="279"/>
      <c r="AN37" s="280"/>
      <c r="AO37" s="279"/>
      <c r="AP37" s="280"/>
      <c r="AQ37" s="279"/>
      <c r="AR37" s="280"/>
      <c r="AS37" s="279"/>
      <c r="AU37" s="231"/>
      <c r="AV37" s="231"/>
      <c r="AW37" s="231"/>
      <c r="AX37" s="231"/>
      <c r="AY37" s="14"/>
      <c r="AZ37" s="264" t="s">
        <v>240</v>
      </c>
      <c r="BA37" s="222"/>
      <c r="BB37" s="222"/>
      <c r="BC37" s="222"/>
      <c r="BD37" s="222"/>
      <c r="BE37" s="222"/>
      <c r="BF37" s="222"/>
      <c r="BG37" s="265"/>
      <c r="BH37" s="266"/>
      <c r="BI37" s="10"/>
    </row>
    <row r="38" ht="9.75" customHeight="1">
      <c r="A38" s="127"/>
      <c r="B38" s="237" t="s">
        <v>216</v>
      </c>
      <c r="M38" s="98"/>
      <c r="N38" s="48" t="s">
        <v>203</v>
      </c>
      <c r="P38" s="49"/>
      <c r="Q38" s="48" t="str">
        <f>IF(K41,"Dex","Str")</f>
        <v>Str</v>
      </c>
      <c r="R38" s="49"/>
      <c r="S38" s="48" t="s">
        <v>146</v>
      </c>
      <c r="T38" s="48" t="s">
        <v>126</v>
      </c>
      <c r="U38" s="48" t="s">
        <v>127</v>
      </c>
      <c r="V38" s="48" t="s">
        <v>128</v>
      </c>
      <c r="W38" s="48" t="s">
        <v>57</v>
      </c>
      <c r="X38" s="49"/>
      <c r="Y38" s="48" t="s">
        <v>35</v>
      </c>
      <c r="Z38" s="229"/>
      <c r="AA38" s="237" t="s">
        <v>216</v>
      </c>
      <c r="AL38" s="98"/>
      <c r="AM38" s="48" t="s">
        <v>203</v>
      </c>
      <c r="AO38" s="49"/>
      <c r="AP38" s="48" t="s">
        <v>93</v>
      </c>
      <c r="AQ38" s="49"/>
      <c r="AR38" s="48" t="s">
        <v>146</v>
      </c>
      <c r="AS38" s="48" t="s">
        <v>126</v>
      </c>
      <c r="AT38" s="48" t="s">
        <v>127</v>
      </c>
      <c r="AU38" s="48" t="s">
        <v>128</v>
      </c>
      <c r="AV38" s="48" t="s">
        <v>57</v>
      </c>
      <c r="AW38" s="49"/>
      <c r="AX38" s="48" t="s">
        <v>35</v>
      </c>
      <c r="AY38" s="127"/>
      <c r="AZ38" s="276"/>
      <c r="BH38" s="277"/>
      <c r="BI38" s="10"/>
    </row>
    <row r="39" ht="15.75" customHeight="1">
      <c r="A39" s="10"/>
      <c r="B39" s="238"/>
      <c r="C39" s="29"/>
      <c r="D39" s="29"/>
      <c r="E39" s="29"/>
      <c r="F39" s="29"/>
      <c r="G39" s="29"/>
      <c r="H39" s="29"/>
      <c r="I39" s="29"/>
      <c r="J39" s="29"/>
      <c r="K39" s="29"/>
      <c r="L39" s="32"/>
      <c r="N39" s="103" t="str">
        <f>MODIFIER(Q39+S39+Y39)</f>
        <v>+0</v>
      </c>
      <c r="P39" s="104" t="s">
        <v>62</v>
      </c>
      <c r="Q39" s="99">
        <f>vlookup(Q38,Data!$B$14:$C$19,2,0)</f>
        <v>0</v>
      </c>
      <c r="R39" s="104" t="s">
        <v>106</v>
      </c>
      <c r="S39" s="99">
        <f>if(W39,8+$AZ$13,if(V39,6+$AZ$13,if(U39,4+$AZ$13,if(T39,2+$AZ$13,0))))</f>
        <v>0</v>
      </c>
      <c r="T39" s="176" t="b">
        <v>0</v>
      </c>
      <c r="U39" s="153" t="b">
        <v>0</v>
      </c>
      <c r="V39" s="153" t="b">
        <v>0</v>
      </c>
      <c r="W39" s="153" t="b">
        <v>0</v>
      </c>
      <c r="X39" s="178" t="s">
        <v>106</v>
      </c>
      <c r="Y39" s="63">
        <v>0.0</v>
      </c>
      <c r="Z39" s="14"/>
      <c r="AA39" s="238"/>
      <c r="AB39" s="29"/>
      <c r="AC39" s="29"/>
      <c r="AD39" s="29"/>
      <c r="AE39" s="29"/>
      <c r="AF39" s="29"/>
      <c r="AG39" s="29"/>
      <c r="AH39" s="29"/>
      <c r="AI39" s="29"/>
      <c r="AJ39" s="29"/>
      <c r="AK39" s="32"/>
      <c r="AM39" s="103" t="str">
        <f>MODIFIER(AP39+AR39+AX39)</f>
        <v>+0</v>
      </c>
      <c r="AO39" s="104" t="s">
        <v>62</v>
      </c>
      <c r="AP39" s="99">
        <f>vlookup(AP38,Data!$B$14:$C$19,2,0)</f>
        <v>0</v>
      </c>
      <c r="AQ39" s="104" t="s">
        <v>106</v>
      </c>
      <c r="AR39" s="99">
        <f>if(AV39,8+$AZ$13,if(AU39,6+$AZ$13,if(AT39,4+$AZ$13,if(AS39,2+$AZ$13,0))))</f>
        <v>0</v>
      </c>
      <c r="AS39" s="176" t="b">
        <v>0</v>
      </c>
      <c r="AT39" s="153" t="b">
        <v>0</v>
      </c>
      <c r="AU39" s="153" t="b">
        <v>0</v>
      </c>
      <c r="AV39" s="153" t="b">
        <v>0</v>
      </c>
      <c r="AW39" s="178" t="s">
        <v>106</v>
      </c>
      <c r="AX39" s="63">
        <v>0.0</v>
      </c>
      <c r="AY39" s="10"/>
      <c r="AZ39" s="264" t="s">
        <v>245</v>
      </c>
      <c r="BA39" s="222"/>
      <c r="BB39" s="222"/>
      <c r="BC39" s="222"/>
      <c r="BD39" s="222"/>
      <c r="BE39" s="222"/>
      <c r="BF39" s="222"/>
      <c r="BG39" s="265"/>
      <c r="BH39" s="266"/>
      <c r="BI39" s="10"/>
    </row>
    <row r="40" ht="9.75" customHeight="1">
      <c r="A40" s="49"/>
      <c r="Z40" s="127"/>
      <c r="AY40" s="127"/>
      <c r="AZ40" s="282"/>
      <c r="BA40" s="283"/>
      <c r="BB40" s="283"/>
      <c r="BC40" s="283"/>
      <c r="BD40" s="283"/>
      <c r="BE40" s="283"/>
      <c r="BF40" s="283"/>
      <c r="BG40" s="284"/>
      <c r="BH40" s="285"/>
      <c r="BI40" s="10"/>
    </row>
    <row r="41" ht="15.75" customHeight="1">
      <c r="A41" s="10"/>
      <c r="B41" s="209"/>
      <c r="C41" s="29"/>
      <c r="D41" s="29"/>
      <c r="E41" s="29"/>
      <c r="F41" s="29"/>
      <c r="G41" s="29"/>
      <c r="H41" s="29"/>
      <c r="I41" s="29"/>
      <c r="J41" s="253"/>
      <c r="K41" s="255" t="b">
        <v>0</v>
      </c>
      <c r="L41" s="255" t="b">
        <v>0</v>
      </c>
      <c r="N41" s="256" t="str">
        <f>MODIFIER(Q39+S39+Y39-ABS(Q41))</f>
        <v>–5</v>
      </c>
      <c r="O41" s="258" t="str">
        <f>MODIFIER(Q39+S39+Y39-2*ABS(Q41))</f>
        <v>–10</v>
      </c>
      <c r="P41" s="192"/>
      <c r="Q41" s="63">
        <f>IF(L41,-4,-5)</f>
        <v>-5</v>
      </c>
      <c r="S41" s="263"/>
      <c r="T41" s="29"/>
      <c r="U41" s="32"/>
      <c r="V41" s="178" t="s">
        <v>106</v>
      </c>
      <c r="W41" s="99">
        <f>vlookup(W42,Data!$B$14:$C$19,2,0)</f>
        <v>0</v>
      </c>
      <c r="X41" s="104" t="s">
        <v>106</v>
      </c>
      <c r="Y41" s="99">
        <f>if($BA$20, if(W39,4, if(V39,3 ,if(U39,2, 0))), 0)</f>
        <v>0</v>
      </c>
      <c r="Z41" s="14"/>
      <c r="AA41" s="260"/>
      <c r="AB41" s="29"/>
      <c r="AC41" s="29"/>
      <c r="AD41" s="29"/>
      <c r="AE41" s="29"/>
      <c r="AF41" s="32"/>
      <c r="AG41" s="261"/>
      <c r="AH41" s="262"/>
      <c r="AI41" s="32"/>
      <c r="AJ41" s="255"/>
      <c r="AK41" s="255" t="b">
        <v>0</v>
      </c>
      <c r="AM41" s="256" t="str">
        <f>MODIFIER(AP39+AR39+AX39-ABS(AP41))</f>
        <v>–5</v>
      </c>
      <c r="AN41" s="258" t="str">
        <f>MODIFIER(AP39+AR39+AX39-2*ABS(AP41))</f>
        <v>–10</v>
      </c>
      <c r="AO41" s="192"/>
      <c r="AP41" s="63">
        <f>IF(AK41,-4,-5)</f>
        <v>-5</v>
      </c>
      <c r="AR41" s="263"/>
      <c r="AS41" s="29"/>
      <c r="AT41" s="32"/>
      <c r="AU41" s="178" t="s">
        <v>106</v>
      </c>
      <c r="AV41" s="63">
        <v>0.0</v>
      </c>
      <c r="AW41" s="104" t="s">
        <v>106</v>
      </c>
      <c r="AX41" s="99">
        <f>if($BA$20, if(AV39,4, if(AU39,3 ,if(AT39,2, 0))), 0)</f>
        <v>0</v>
      </c>
      <c r="AY41" s="10"/>
      <c r="AZ41" s="264" t="s">
        <v>251</v>
      </c>
      <c r="BA41" s="222"/>
      <c r="BB41" s="222"/>
      <c r="BC41" s="222"/>
      <c r="BD41" s="222"/>
      <c r="BE41" s="222"/>
      <c r="BF41" s="222"/>
      <c r="BG41" s="265"/>
      <c r="BH41" s="266"/>
      <c r="BI41" s="10"/>
    </row>
    <row r="42" ht="9.75" customHeight="1">
      <c r="A42" s="127"/>
      <c r="B42" s="267" t="s">
        <v>227</v>
      </c>
      <c r="K42" s="287" t="s">
        <v>228</v>
      </c>
      <c r="L42" s="287" t="s">
        <v>229</v>
      </c>
      <c r="M42" s="202"/>
      <c r="N42" s="269" t="s">
        <v>230</v>
      </c>
      <c r="P42" s="269"/>
      <c r="Q42" s="269" t="s">
        <v>231</v>
      </c>
      <c r="S42" s="269" t="s">
        <v>232</v>
      </c>
      <c r="V42" s="231"/>
      <c r="W42" s="269" t="s">
        <v>119</v>
      </c>
      <c r="X42" s="231"/>
      <c r="Y42" s="269" t="s">
        <v>233</v>
      </c>
      <c r="Z42" s="233"/>
      <c r="AA42" s="271" t="s">
        <v>227</v>
      </c>
      <c r="AB42" s="272"/>
      <c r="AC42" s="272"/>
      <c r="AD42" s="272"/>
      <c r="AE42" s="272"/>
      <c r="AF42" s="273"/>
      <c r="AG42" s="274" t="s">
        <v>234</v>
      </c>
      <c r="AH42" s="273"/>
      <c r="AI42" s="275" t="s">
        <v>235</v>
      </c>
      <c r="AJ42" s="269"/>
      <c r="AK42" s="269" t="s">
        <v>229</v>
      </c>
      <c r="AL42" s="202"/>
      <c r="AM42" s="269" t="s">
        <v>230</v>
      </c>
      <c r="AO42" s="269"/>
      <c r="AP42" s="269" t="s">
        <v>231</v>
      </c>
      <c r="AR42" s="269" t="s">
        <v>232</v>
      </c>
      <c r="AU42" s="231"/>
      <c r="AV42" s="269" t="s">
        <v>236</v>
      </c>
      <c r="AW42" s="231"/>
      <c r="AX42" s="269" t="s">
        <v>233</v>
      </c>
      <c r="AY42" s="98"/>
      <c r="AZ42" s="282"/>
      <c r="BA42" s="283"/>
      <c r="BB42" s="283"/>
      <c r="BC42" s="283"/>
      <c r="BD42" s="283"/>
      <c r="BE42" s="283"/>
      <c r="BF42" s="283"/>
      <c r="BG42" s="284"/>
      <c r="BH42" s="285"/>
      <c r="BI42" s="10"/>
    </row>
    <row r="43" ht="15.75" customHeight="1">
      <c r="A43" s="10"/>
      <c r="B43" s="278"/>
      <c r="C43" s="279"/>
      <c r="D43" s="279"/>
      <c r="E43" s="279"/>
      <c r="F43" s="279"/>
      <c r="G43" s="279"/>
      <c r="H43" s="279"/>
      <c r="I43" s="279"/>
      <c r="J43" s="279"/>
      <c r="K43" s="279"/>
      <c r="L43" s="280"/>
      <c r="M43" s="280"/>
      <c r="N43" s="279"/>
      <c r="O43" s="280"/>
      <c r="P43" s="279"/>
      <c r="Q43" s="280"/>
      <c r="R43" s="279"/>
      <c r="S43" s="280"/>
      <c r="T43" s="279"/>
      <c r="V43" s="231"/>
      <c r="W43" s="231"/>
      <c r="X43" s="231"/>
      <c r="Y43" s="231"/>
      <c r="Z43" s="10"/>
      <c r="AA43" s="278"/>
      <c r="AB43" s="279"/>
      <c r="AC43" s="279"/>
      <c r="AD43" s="279"/>
      <c r="AE43" s="279"/>
      <c r="AF43" s="279"/>
      <c r="AG43" s="279"/>
      <c r="AH43" s="279"/>
      <c r="AI43" s="279"/>
      <c r="AJ43" s="279"/>
      <c r="AK43" s="280"/>
      <c r="AL43" s="280"/>
      <c r="AM43" s="279"/>
      <c r="AN43" s="280"/>
      <c r="AO43" s="279"/>
      <c r="AP43" s="280"/>
      <c r="AQ43" s="279"/>
      <c r="AR43" s="280"/>
      <c r="AS43" s="279"/>
      <c r="AU43" s="231"/>
      <c r="AV43" s="231"/>
      <c r="AW43" s="231"/>
      <c r="AX43" s="231"/>
      <c r="AZ43" s="264" t="s">
        <v>253</v>
      </c>
      <c r="BA43" s="222"/>
      <c r="BB43" s="222"/>
      <c r="BC43" s="222"/>
      <c r="BD43" s="222"/>
      <c r="BE43" s="222"/>
      <c r="BF43" s="222"/>
      <c r="BG43" s="265"/>
      <c r="BH43" s="266"/>
      <c r="BI43" s="10"/>
    </row>
    <row r="44" ht="9.75" customHeight="1">
      <c r="A44" s="127"/>
      <c r="B44" s="237" t="s">
        <v>216</v>
      </c>
      <c r="M44" s="98"/>
      <c r="N44" s="48" t="s">
        <v>203</v>
      </c>
      <c r="P44" s="49"/>
      <c r="Q44" s="48" t="str">
        <f>IF(K47,"Dex","Str")</f>
        <v>Str</v>
      </c>
      <c r="R44" s="49"/>
      <c r="S44" s="48" t="s">
        <v>146</v>
      </c>
      <c r="T44" s="48" t="s">
        <v>126</v>
      </c>
      <c r="U44" s="48" t="s">
        <v>127</v>
      </c>
      <c r="V44" s="48" t="s">
        <v>128</v>
      </c>
      <c r="W44" s="48" t="s">
        <v>57</v>
      </c>
      <c r="X44" s="49"/>
      <c r="Y44" s="48" t="s">
        <v>35</v>
      </c>
      <c r="Z44" s="127"/>
      <c r="AA44" s="237" t="s">
        <v>216</v>
      </c>
      <c r="AL44" s="98"/>
      <c r="AM44" s="48" t="s">
        <v>203</v>
      </c>
      <c r="AO44" s="49"/>
      <c r="AP44" s="48" t="s">
        <v>93</v>
      </c>
      <c r="AQ44" s="49"/>
      <c r="AR44" s="48" t="s">
        <v>146</v>
      </c>
      <c r="AS44" s="48" t="s">
        <v>126</v>
      </c>
      <c r="AT44" s="48" t="s">
        <v>127</v>
      </c>
      <c r="AU44" s="48" t="s">
        <v>128</v>
      </c>
      <c r="AV44" s="48" t="s">
        <v>57</v>
      </c>
      <c r="AW44" s="49"/>
      <c r="AX44" s="48" t="s">
        <v>35</v>
      </c>
      <c r="AY44" s="127"/>
      <c r="AZ44" s="289"/>
      <c r="BA44" s="283"/>
      <c r="BB44" s="283"/>
      <c r="BC44" s="283"/>
      <c r="BD44" s="283"/>
      <c r="BE44" s="283"/>
      <c r="BF44" s="283"/>
      <c r="BG44" s="290"/>
      <c r="BH44" s="291"/>
      <c r="BI44" s="10"/>
    </row>
    <row r="45" ht="15.75" customHeight="1">
      <c r="A45" s="10"/>
      <c r="B45" s="238"/>
      <c r="C45" s="29"/>
      <c r="D45" s="29"/>
      <c r="E45" s="29"/>
      <c r="F45" s="29"/>
      <c r="G45" s="29"/>
      <c r="H45" s="29"/>
      <c r="I45" s="29"/>
      <c r="J45" s="29"/>
      <c r="K45" s="29"/>
      <c r="L45" s="32"/>
      <c r="N45" s="103" t="str">
        <f>MODIFIER(Q45+S45+Y45)</f>
        <v>+0</v>
      </c>
      <c r="P45" s="104" t="s">
        <v>62</v>
      </c>
      <c r="Q45" s="99">
        <f>vlookup(Q44,Data!$B$14:$C$19,2,0)</f>
        <v>0</v>
      </c>
      <c r="R45" s="104" t="s">
        <v>106</v>
      </c>
      <c r="S45" s="99">
        <f>if(W45,8+$AZ$13,if(V45,6+$AZ$13,if(U45,4+$AZ$13,if(T45,2+$AZ$13,0))))</f>
        <v>0</v>
      </c>
      <c r="T45" s="176" t="b">
        <v>0</v>
      </c>
      <c r="U45" s="153" t="b">
        <v>0</v>
      </c>
      <c r="V45" s="153" t="b">
        <v>0</v>
      </c>
      <c r="W45" s="153" t="b">
        <v>0</v>
      </c>
      <c r="X45" s="178" t="s">
        <v>106</v>
      </c>
      <c r="Y45" s="63">
        <v>0.0</v>
      </c>
      <c r="Z45" s="14"/>
      <c r="AA45" s="238"/>
      <c r="AB45" s="29"/>
      <c r="AC45" s="29"/>
      <c r="AD45" s="29"/>
      <c r="AE45" s="29"/>
      <c r="AF45" s="29"/>
      <c r="AG45" s="29"/>
      <c r="AH45" s="29"/>
      <c r="AI45" s="29"/>
      <c r="AJ45" s="29"/>
      <c r="AK45" s="32"/>
      <c r="AM45" s="103" t="str">
        <f>MODIFIER(AP45+AR45+AX45)</f>
        <v>+0</v>
      </c>
      <c r="AO45" s="104" t="s">
        <v>62</v>
      </c>
      <c r="AP45" s="99">
        <f>vlookup(AP44,Data!$B$14:$C$19,2,0)</f>
        <v>0</v>
      </c>
      <c r="AQ45" s="104" t="s">
        <v>106</v>
      </c>
      <c r="AR45" s="99">
        <f>if(AV45,8+$AZ$13,if(AU45,6+$AZ$13,if(AT45,4+$AZ$13,if(AS45,2+$AZ$13,0))))</f>
        <v>0</v>
      </c>
      <c r="AS45" s="176" t="b">
        <v>0</v>
      </c>
      <c r="AT45" s="153" t="b">
        <v>0</v>
      </c>
      <c r="AU45" s="153" t="b">
        <v>0</v>
      </c>
      <c r="AV45" s="153" t="b">
        <v>0</v>
      </c>
      <c r="AW45" s="178" t="s">
        <v>106</v>
      </c>
      <c r="AX45" s="63">
        <v>0.0</v>
      </c>
      <c r="AY45" s="10"/>
      <c r="AZ45" s="264" t="s">
        <v>260</v>
      </c>
      <c r="BA45" s="222"/>
      <c r="BB45" s="222"/>
      <c r="BC45" s="222"/>
      <c r="BD45" s="222"/>
      <c r="BE45" s="222"/>
      <c r="BF45" s="222"/>
      <c r="BG45" s="265"/>
      <c r="BH45" s="266"/>
      <c r="BI45" s="10"/>
    </row>
    <row r="46" ht="9.75" customHeight="1">
      <c r="A46" s="49"/>
      <c r="Z46" s="127"/>
      <c r="AY46" s="127"/>
      <c r="AZ46" s="276"/>
      <c r="BH46" s="277"/>
      <c r="BI46" s="10"/>
    </row>
    <row r="47" ht="15.75" customHeight="1">
      <c r="A47" s="10"/>
      <c r="B47" s="209"/>
      <c r="C47" s="29"/>
      <c r="D47" s="29"/>
      <c r="E47" s="29"/>
      <c r="F47" s="29"/>
      <c r="G47" s="29"/>
      <c r="H47" s="29"/>
      <c r="I47" s="29"/>
      <c r="J47" s="253"/>
      <c r="K47" s="255" t="b">
        <v>0</v>
      </c>
      <c r="L47" s="255" t="b">
        <v>0</v>
      </c>
      <c r="N47" s="256" t="str">
        <f>MODIFIER(Q45+S45+Y45-ABS(Q47))</f>
        <v>–5</v>
      </c>
      <c r="O47" s="258" t="str">
        <f>MODIFIER(Q45+S45+Y45-2*ABS(Q47))</f>
        <v>–10</v>
      </c>
      <c r="P47" s="192"/>
      <c r="Q47" s="63">
        <f>IF(L47,-4,-5)</f>
        <v>-5</v>
      </c>
      <c r="S47" s="263"/>
      <c r="T47" s="29"/>
      <c r="U47" s="32"/>
      <c r="V47" s="178" t="s">
        <v>106</v>
      </c>
      <c r="W47" s="99">
        <f>vlookup(W48,Data!$B$14:$C$19,2,0)</f>
        <v>0</v>
      </c>
      <c r="X47" s="104" t="s">
        <v>106</v>
      </c>
      <c r="Y47" s="99">
        <f>if($BA$20, if(W45,4, if(V45,3 ,if(U45,2, 0))), 0)</f>
        <v>0</v>
      </c>
      <c r="Z47" s="14"/>
      <c r="AA47" s="260"/>
      <c r="AB47" s="29"/>
      <c r="AC47" s="29"/>
      <c r="AD47" s="29"/>
      <c r="AE47" s="29"/>
      <c r="AF47" s="32"/>
      <c r="AG47" s="261"/>
      <c r="AH47" s="262"/>
      <c r="AI47" s="32"/>
      <c r="AJ47" s="255"/>
      <c r="AK47" s="255" t="b">
        <v>0</v>
      </c>
      <c r="AM47" s="256" t="str">
        <f>MODIFIER(AP45+AR45+AX45-ABS(AP47))</f>
        <v>–5</v>
      </c>
      <c r="AN47" s="258" t="str">
        <f>MODIFIER(AP45+AR45+AX45-2*ABS(AP47))</f>
        <v>–10</v>
      </c>
      <c r="AO47" s="192"/>
      <c r="AP47" s="63">
        <f>IF(AK47,-4,-5)</f>
        <v>-5</v>
      </c>
      <c r="AR47" s="263"/>
      <c r="AS47" s="29"/>
      <c r="AT47" s="32"/>
      <c r="AU47" s="178" t="s">
        <v>106</v>
      </c>
      <c r="AV47" s="63">
        <v>0.0</v>
      </c>
      <c r="AW47" s="104" t="s">
        <v>106</v>
      </c>
      <c r="AX47" s="99">
        <f>if($BA$20, if(AV45,4, if(AU45,3 ,if(AT45,2, 0))), 0)</f>
        <v>0</v>
      </c>
      <c r="AY47" s="10"/>
      <c r="AZ47" s="264" t="s">
        <v>286</v>
      </c>
      <c r="BA47" s="222"/>
      <c r="BB47" s="222"/>
      <c r="BC47" s="222"/>
      <c r="BD47" s="222"/>
      <c r="BE47" s="222"/>
      <c r="BF47" s="222"/>
      <c r="BG47" s="265"/>
      <c r="BH47" s="266"/>
      <c r="BI47" s="10"/>
    </row>
    <row r="48" ht="9.75" customHeight="1">
      <c r="A48" s="279"/>
      <c r="B48" s="267" t="s">
        <v>227</v>
      </c>
      <c r="K48" s="287" t="s">
        <v>228</v>
      </c>
      <c r="L48" s="287" t="s">
        <v>229</v>
      </c>
      <c r="M48" s="202"/>
      <c r="N48" s="269" t="s">
        <v>230</v>
      </c>
      <c r="P48" s="269"/>
      <c r="Q48" s="269" t="s">
        <v>231</v>
      </c>
      <c r="S48" s="269" t="s">
        <v>232</v>
      </c>
      <c r="V48" s="231"/>
      <c r="W48" s="269" t="s">
        <v>119</v>
      </c>
      <c r="X48" s="231"/>
      <c r="Y48" s="269" t="s">
        <v>233</v>
      </c>
      <c r="Z48" s="233"/>
      <c r="AA48" s="271" t="s">
        <v>227</v>
      </c>
      <c r="AB48" s="272"/>
      <c r="AC48" s="272"/>
      <c r="AD48" s="272"/>
      <c r="AE48" s="272"/>
      <c r="AF48" s="273"/>
      <c r="AG48" s="274" t="s">
        <v>234</v>
      </c>
      <c r="AH48" s="273"/>
      <c r="AI48" s="275" t="s">
        <v>235</v>
      </c>
      <c r="AJ48" s="269"/>
      <c r="AK48" s="269" t="s">
        <v>229</v>
      </c>
      <c r="AL48" s="202"/>
      <c r="AM48" s="269" t="s">
        <v>230</v>
      </c>
      <c r="AO48" s="269"/>
      <c r="AP48" s="269" t="s">
        <v>231</v>
      </c>
      <c r="AR48" s="269" t="s">
        <v>232</v>
      </c>
      <c r="AU48" s="231"/>
      <c r="AV48" s="269" t="s">
        <v>236</v>
      </c>
      <c r="AW48" s="231"/>
      <c r="AX48" s="269" t="s">
        <v>233</v>
      </c>
      <c r="AY48" s="48"/>
      <c r="AZ48" s="289"/>
      <c r="BA48" s="283"/>
      <c r="BB48" s="283"/>
      <c r="BC48" s="283"/>
      <c r="BD48" s="283"/>
      <c r="BE48" s="283"/>
      <c r="BF48" s="283"/>
      <c r="BG48" s="290"/>
      <c r="BH48" s="291"/>
      <c r="BI48" s="10"/>
    </row>
    <row r="49" ht="15.75" customHeight="1">
      <c r="A49" s="10"/>
      <c r="B49" s="192"/>
      <c r="C49" s="192"/>
      <c r="D49" s="192"/>
      <c r="E49" s="192"/>
      <c r="F49" s="14"/>
      <c r="G49" s="192"/>
      <c r="H49" s="192"/>
      <c r="I49" s="192"/>
      <c r="J49" s="192"/>
      <c r="K49" s="14"/>
      <c r="L49" s="192"/>
      <c r="M49" s="192"/>
      <c r="N49" s="192"/>
      <c r="O49" s="192"/>
      <c r="P49" s="14"/>
      <c r="Q49" s="192"/>
      <c r="R49" s="192"/>
      <c r="S49" s="192"/>
      <c r="T49" s="192"/>
      <c r="U49" s="14"/>
      <c r="V49" s="192"/>
      <c r="W49" s="192"/>
      <c r="X49" s="192"/>
      <c r="Y49" s="192"/>
      <c r="Z49" s="10"/>
      <c r="AA49" s="9"/>
      <c r="AB49" s="9"/>
      <c r="AC49" s="9"/>
      <c r="AD49" s="9"/>
      <c r="AE49" s="9"/>
      <c r="AF49" s="9"/>
      <c r="AG49" s="9"/>
      <c r="AH49" s="9"/>
      <c r="AI49" s="9"/>
      <c r="AJ49" s="9"/>
      <c r="AK49" s="9"/>
      <c r="AL49" s="9"/>
      <c r="AM49" s="9"/>
      <c r="AN49" s="10"/>
      <c r="AO49" s="9"/>
      <c r="AP49" s="9"/>
      <c r="AQ49" s="9"/>
      <c r="AR49" s="9"/>
      <c r="AS49" s="10"/>
      <c r="AT49" s="229"/>
      <c r="AU49" s="229"/>
      <c r="AV49" s="229"/>
      <c r="AW49" s="229"/>
      <c r="AX49" s="10"/>
      <c r="AY49" s="153"/>
      <c r="AZ49" s="302" t="s">
        <v>312</v>
      </c>
      <c r="BA49" s="43"/>
      <c r="BB49" s="43"/>
      <c r="BC49" s="43"/>
      <c r="BD49" s="43"/>
      <c r="BE49" s="43"/>
      <c r="BF49" s="43"/>
      <c r="BG49" s="304"/>
      <c r="BH49" s="305"/>
      <c r="BI49" s="10"/>
    </row>
    <row r="50" ht="9.75" customHeight="1">
      <c r="A50" s="127"/>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279"/>
      <c r="AZ50" s="10"/>
      <c r="BA50" s="10"/>
      <c r="BB50" s="10"/>
      <c r="BC50" s="10"/>
      <c r="BD50" s="10"/>
      <c r="BE50" s="10"/>
      <c r="BF50" s="10"/>
      <c r="BG50" s="10"/>
      <c r="BH50" s="10"/>
      <c r="BI50" s="10"/>
    </row>
    <row r="51" ht="15.75" customHeight="1">
      <c r="A51" s="10"/>
      <c r="B51" s="257" t="s">
        <v>323</v>
      </c>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A51" s="29"/>
      <c r="BB51" s="29"/>
      <c r="BC51" s="29"/>
      <c r="BD51" s="29"/>
      <c r="BE51" s="29"/>
      <c r="BF51" s="29"/>
      <c r="BG51" s="29"/>
      <c r="BH51" s="32"/>
      <c r="BI51" s="279"/>
    </row>
    <row r="52" ht="9.75" customHeight="1">
      <c r="A52" s="127"/>
      <c r="B52" s="306" t="s">
        <v>164</v>
      </c>
      <c r="C52" s="307"/>
      <c r="D52" s="307"/>
      <c r="E52" s="307"/>
      <c r="F52" s="307"/>
      <c r="G52" s="307"/>
      <c r="H52" s="307"/>
      <c r="I52" s="308"/>
      <c r="J52" s="83"/>
      <c r="L52" s="306" t="s">
        <v>349</v>
      </c>
      <c r="M52" s="307"/>
      <c r="N52" s="307"/>
      <c r="O52" s="307"/>
      <c r="P52" s="307"/>
      <c r="Q52" s="307"/>
      <c r="R52" s="307"/>
      <c r="S52" s="307"/>
      <c r="T52" s="307"/>
      <c r="U52" s="307"/>
      <c r="V52" s="307"/>
      <c r="W52" s="307"/>
      <c r="X52" s="307"/>
      <c r="Y52" s="307"/>
      <c r="Z52" s="307"/>
      <c r="AA52" s="307"/>
      <c r="AB52" s="307"/>
      <c r="AC52" s="307"/>
      <c r="AD52" s="308"/>
      <c r="AF52" s="306" t="s">
        <v>351</v>
      </c>
      <c r="AG52" s="307"/>
      <c r="AH52" s="307"/>
      <c r="AI52" s="307"/>
      <c r="AJ52" s="307"/>
      <c r="AK52" s="307"/>
      <c r="AL52" s="307"/>
      <c r="AM52" s="307"/>
      <c r="AN52" s="307"/>
      <c r="AO52" s="307"/>
      <c r="AP52" s="307"/>
      <c r="AQ52" s="307"/>
      <c r="AR52" s="307"/>
      <c r="AS52" s="307"/>
      <c r="AT52" s="307"/>
      <c r="AU52" s="307"/>
      <c r="AV52" s="307"/>
      <c r="AW52" s="307"/>
      <c r="AX52" s="307"/>
      <c r="AY52" s="307"/>
      <c r="AZ52" s="307"/>
      <c r="BA52" s="307"/>
      <c r="BB52" s="307"/>
      <c r="BC52" s="307"/>
      <c r="BD52" s="307"/>
      <c r="BE52" s="307"/>
      <c r="BF52" s="307"/>
      <c r="BG52" s="307"/>
      <c r="BH52" s="308"/>
      <c r="BI52" s="279"/>
    </row>
    <row r="53" ht="15.75" customHeight="1">
      <c r="A53" s="10"/>
      <c r="B53" s="309"/>
      <c r="C53" s="43"/>
      <c r="D53" s="43"/>
      <c r="E53" s="43"/>
      <c r="F53" s="43"/>
      <c r="G53" s="43"/>
      <c r="H53" s="43"/>
      <c r="I53" s="44"/>
      <c r="J53" s="43"/>
      <c r="K53" s="43"/>
      <c r="L53" s="310"/>
      <c r="M53" s="43"/>
      <c r="N53" s="43"/>
      <c r="O53" s="43"/>
      <c r="P53" s="43"/>
      <c r="Q53" s="43"/>
      <c r="R53" s="43"/>
      <c r="S53" s="43"/>
      <c r="T53" s="43"/>
      <c r="U53" s="43"/>
      <c r="V53" s="43"/>
      <c r="W53" s="43"/>
      <c r="X53" s="43"/>
      <c r="Y53" s="43"/>
      <c r="Z53" s="43"/>
      <c r="AA53" s="43"/>
      <c r="AB53" s="43"/>
      <c r="AC53" s="43"/>
      <c r="AD53" s="44"/>
      <c r="AF53" s="311"/>
      <c r="AG53" s="222"/>
      <c r="AH53" s="222"/>
      <c r="AI53" s="222"/>
      <c r="AJ53" s="222"/>
      <c r="AK53" s="222"/>
      <c r="AL53" s="222"/>
      <c r="AM53" s="222"/>
      <c r="AN53" s="222"/>
      <c r="AO53" s="222"/>
      <c r="AP53" s="222"/>
      <c r="AQ53" s="222"/>
      <c r="AR53" s="222"/>
      <c r="AS53" s="222"/>
      <c r="AT53" s="224"/>
      <c r="AU53" s="312"/>
      <c r="AV53" s="312"/>
      <c r="AW53" s="312"/>
      <c r="AX53" s="312"/>
      <c r="AY53" s="312"/>
      <c r="AZ53" s="312"/>
      <c r="BA53" s="312"/>
      <c r="BB53" s="312"/>
      <c r="BC53" s="312"/>
      <c r="BD53" s="312"/>
      <c r="BE53" s="312"/>
      <c r="BF53" s="312"/>
      <c r="BG53" s="312"/>
      <c r="BH53" s="313"/>
      <c r="BI53" s="279"/>
    </row>
    <row r="54" ht="9.75" customHeight="1">
      <c r="A54" s="314"/>
      <c r="B54" s="315" t="s">
        <v>181</v>
      </c>
      <c r="C54" s="222"/>
      <c r="D54" s="222"/>
      <c r="E54" s="222"/>
      <c r="F54" s="222"/>
      <c r="G54" s="222"/>
      <c r="H54" s="222"/>
      <c r="I54" s="222"/>
      <c r="J54" s="222"/>
      <c r="K54" s="222"/>
      <c r="L54" s="222"/>
      <c r="M54" s="222"/>
      <c r="N54" s="222"/>
      <c r="O54" s="222"/>
      <c r="P54" s="222"/>
      <c r="Q54" s="222"/>
      <c r="R54" s="222"/>
      <c r="S54" s="222"/>
      <c r="T54" s="222"/>
      <c r="U54" s="222"/>
      <c r="V54" s="222"/>
      <c r="W54" s="222"/>
      <c r="X54" s="222"/>
      <c r="Y54" s="222"/>
      <c r="Z54" s="222"/>
      <c r="AA54" s="222"/>
      <c r="AB54" s="222"/>
      <c r="AC54" s="222"/>
      <c r="AD54" s="316"/>
      <c r="AF54" s="317"/>
      <c r="AT54" s="211"/>
      <c r="AU54" s="318"/>
      <c r="BH54" s="41"/>
      <c r="BI54" s="170"/>
    </row>
    <row r="55" ht="15.75" customHeight="1">
      <c r="A55" s="319"/>
      <c r="B55" s="320" t="s">
        <v>382</v>
      </c>
      <c r="AD55" s="41"/>
      <c r="AF55" s="321"/>
      <c r="AG55" s="222"/>
      <c r="AH55" s="222"/>
      <c r="AI55" s="222"/>
      <c r="AJ55" s="222"/>
      <c r="AK55" s="222"/>
      <c r="AL55" s="222"/>
      <c r="AM55" s="222"/>
      <c r="AN55" s="222"/>
      <c r="AO55" s="222"/>
      <c r="AP55" s="222"/>
      <c r="AQ55" s="222"/>
      <c r="AR55" s="222"/>
      <c r="AS55" s="222"/>
      <c r="AT55" s="224"/>
      <c r="AU55" s="221"/>
      <c r="AV55" s="222"/>
      <c r="AW55" s="222"/>
      <c r="AX55" s="222"/>
      <c r="AY55" s="222"/>
      <c r="AZ55" s="222"/>
      <c r="BA55" s="222"/>
      <c r="BB55" s="222"/>
      <c r="BC55" s="222"/>
      <c r="BD55" s="222"/>
      <c r="BE55" s="222"/>
      <c r="BF55" s="222"/>
      <c r="BG55" s="222"/>
      <c r="BH55" s="316"/>
      <c r="BI55" s="170"/>
    </row>
    <row r="56" ht="9.75" customHeight="1">
      <c r="A56" s="314"/>
      <c r="B56" s="40"/>
      <c r="AD56" s="41"/>
      <c r="AF56" s="322"/>
      <c r="AG56" s="199"/>
      <c r="AH56" s="199"/>
      <c r="AI56" s="199"/>
      <c r="AJ56" s="199"/>
      <c r="AK56" s="199"/>
      <c r="AL56" s="199"/>
      <c r="AM56" s="199"/>
      <c r="AN56" s="199"/>
      <c r="AO56" s="199"/>
      <c r="AP56" s="199"/>
      <c r="AQ56" s="199"/>
      <c r="AR56" s="199"/>
      <c r="AS56" s="199"/>
      <c r="AT56" s="200"/>
      <c r="AU56" s="324"/>
      <c r="AV56" s="199"/>
      <c r="AW56" s="199"/>
      <c r="AX56" s="199"/>
      <c r="AY56" s="199"/>
      <c r="AZ56" s="199"/>
      <c r="BA56" s="199"/>
      <c r="BB56" s="199"/>
      <c r="BC56" s="199"/>
      <c r="BD56" s="199"/>
      <c r="BE56" s="199"/>
      <c r="BF56" s="199"/>
      <c r="BG56" s="199"/>
      <c r="BH56" s="325"/>
      <c r="BI56" s="170"/>
    </row>
    <row r="57" ht="15.75" customHeight="1">
      <c r="A57" s="319"/>
      <c r="B57" s="42"/>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4"/>
      <c r="AF57" s="42"/>
      <c r="AG57" s="43"/>
      <c r="AH57" s="43"/>
      <c r="AI57" s="43"/>
      <c r="AJ57" s="43"/>
      <c r="AK57" s="43"/>
      <c r="AL57" s="43"/>
      <c r="AM57" s="43"/>
      <c r="AN57" s="43"/>
      <c r="AO57" s="43"/>
      <c r="AP57" s="43"/>
      <c r="AQ57" s="43"/>
      <c r="AR57" s="43"/>
      <c r="AS57" s="43"/>
      <c r="AT57" s="327"/>
      <c r="AU57" s="328"/>
      <c r="AV57" s="43"/>
      <c r="AW57" s="43"/>
      <c r="AX57" s="43"/>
      <c r="AY57" s="43"/>
      <c r="AZ57" s="43"/>
      <c r="BA57" s="43"/>
      <c r="BB57" s="43"/>
      <c r="BC57" s="43"/>
      <c r="BD57" s="43"/>
      <c r="BE57" s="43"/>
      <c r="BF57" s="43"/>
      <c r="BG57" s="43"/>
      <c r="BH57" s="44"/>
      <c r="BI57" s="170"/>
    </row>
    <row r="58" ht="9.75" customHeight="1">
      <c r="A58" s="314"/>
      <c r="B58" s="329" t="s">
        <v>164</v>
      </c>
      <c r="C58" s="307"/>
      <c r="D58" s="307"/>
      <c r="E58" s="307"/>
      <c r="F58" s="307"/>
      <c r="G58" s="307"/>
      <c r="H58" s="307"/>
      <c r="I58" s="308"/>
      <c r="J58" s="330"/>
      <c r="L58" s="329" t="s">
        <v>349</v>
      </c>
      <c r="M58" s="307"/>
      <c r="N58" s="307"/>
      <c r="O58" s="307"/>
      <c r="P58" s="307"/>
      <c r="Q58" s="307"/>
      <c r="R58" s="307"/>
      <c r="S58" s="307"/>
      <c r="T58" s="307"/>
      <c r="U58" s="307"/>
      <c r="V58" s="307"/>
      <c r="W58" s="307"/>
      <c r="X58" s="307"/>
      <c r="Y58" s="307"/>
      <c r="Z58" s="307"/>
      <c r="AA58" s="307"/>
      <c r="AB58" s="307"/>
      <c r="AC58" s="307"/>
      <c r="AD58" s="308"/>
      <c r="AF58" s="329" t="s">
        <v>164</v>
      </c>
      <c r="AG58" s="307"/>
      <c r="AH58" s="307"/>
      <c r="AI58" s="307"/>
      <c r="AJ58" s="307"/>
      <c r="AK58" s="307"/>
      <c r="AL58" s="307"/>
      <c r="AM58" s="308"/>
      <c r="AN58" s="331"/>
      <c r="AP58" s="329" t="s">
        <v>349</v>
      </c>
      <c r="AQ58" s="307"/>
      <c r="AR58" s="307"/>
      <c r="AS58" s="307"/>
      <c r="AT58" s="307"/>
      <c r="AU58" s="307"/>
      <c r="AV58" s="307"/>
      <c r="AW58" s="307"/>
      <c r="AX58" s="307"/>
      <c r="AY58" s="307"/>
      <c r="AZ58" s="307"/>
      <c r="BA58" s="307"/>
      <c r="BB58" s="307"/>
      <c r="BC58" s="307"/>
      <c r="BD58" s="307"/>
      <c r="BE58" s="307"/>
      <c r="BF58" s="307"/>
      <c r="BG58" s="307"/>
      <c r="BH58" s="308"/>
      <c r="BI58" s="170"/>
    </row>
    <row r="59" ht="15.75" customHeight="1">
      <c r="A59" s="319"/>
      <c r="B59" s="332"/>
      <c r="C59" s="43"/>
      <c r="D59" s="43"/>
      <c r="E59" s="43"/>
      <c r="F59" s="43"/>
      <c r="G59" s="43"/>
      <c r="H59" s="43"/>
      <c r="I59" s="44"/>
      <c r="J59" s="43"/>
      <c r="K59" s="43"/>
      <c r="L59" s="333"/>
      <c r="M59" s="43"/>
      <c r="N59" s="43"/>
      <c r="O59" s="43"/>
      <c r="P59" s="43"/>
      <c r="Q59" s="43"/>
      <c r="R59" s="43"/>
      <c r="S59" s="43"/>
      <c r="T59" s="43"/>
      <c r="U59" s="43"/>
      <c r="V59" s="43"/>
      <c r="W59" s="43"/>
      <c r="X59" s="43"/>
      <c r="Y59" s="43"/>
      <c r="Z59" s="43"/>
      <c r="AA59" s="43"/>
      <c r="AB59" s="43"/>
      <c r="AC59" s="43"/>
      <c r="AD59" s="44"/>
      <c r="AF59" s="332"/>
      <c r="AG59" s="43"/>
      <c r="AH59" s="43"/>
      <c r="AI59" s="43"/>
      <c r="AJ59" s="43"/>
      <c r="AK59" s="43"/>
      <c r="AL59" s="43"/>
      <c r="AM59" s="44"/>
      <c r="AN59" s="42"/>
      <c r="AO59" s="43"/>
      <c r="AP59" s="333"/>
      <c r="AQ59" s="43"/>
      <c r="AR59" s="43"/>
      <c r="AS59" s="43"/>
      <c r="AT59" s="43"/>
      <c r="AU59" s="43"/>
      <c r="AV59" s="43"/>
      <c r="AW59" s="43"/>
      <c r="AX59" s="43"/>
      <c r="AY59" s="43"/>
      <c r="AZ59" s="43"/>
      <c r="BA59" s="43"/>
      <c r="BB59" s="43"/>
      <c r="BC59" s="43"/>
      <c r="BD59" s="43"/>
      <c r="BE59" s="43"/>
      <c r="BF59" s="43"/>
      <c r="BG59" s="43"/>
      <c r="BH59" s="44"/>
      <c r="BI59" s="170"/>
    </row>
    <row r="60" ht="9.75" customHeight="1">
      <c r="A60" s="334"/>
      <c r="B60" s="335" t="s">
        <v>181</v>
      </c>
      <c r="C60" s="222"/>
      <c r="D60" s="222"/>
      <c r="E60" s="222"/>
      <c r="F60" s="222"/>
      <c r="G60" s="222"/>
      <c r="H60" s="222"/>
      <c r="I60" s="222"/>
      <c r="J60" s="222"/>
      <c r="K60" s="222"/>
      <c r="L60" s="222"/>
      <c r="M60" s="222"/>
      <c r="N60" s="222"/>
      <c r="O60" s="222"/>
      <c r="P60" s="222"/>
      <c r="Q60" s="222"/>
      <c r="R60" s="222"/>
      <c r="S60" s="222"/>
      <c r="T60" s="222"/>
      <c r="U60" s="222"/>
      <c r="V60" s="222"/>
      <c r="W60" s="222"/>
      <c r="X60" s="222"/>
      <c r="Y60" s="222"/>
      <c r="Z60" s="222"/>
      <c r="AA60" s="222"/>
      <c r="AB60" s="222"/>
      <c r="AC60" s="222"/>
      <c r="AD60" s="316"/>
      <c r="AF60" s="335" t="s">
        <v>181</v>
      </c>
      <c r="AG60" s="222"/>
      <c r="AH60" s="222"/>
      <c r="AI60" s="222"/>
      <c r="AJ60" s="222"/>
      <c r="AK60" s="222"/>
      <c r="AL60" s="222"/>
      <c r="AM60" s="222"/>
      <c r="AN60" s="222"/>
      <c r="AO60" s="222"/>
      <c r="AP60" s="222"/>
      <c r="AQ60" s="222"/>
      <c r="AR60" s="222"/>
      <c r="AS60" s="222"/>
      <c r="AT60" s="222"/>
      <c r="AU60" s="222"/>
      <c r="AV60" s="222"/>
      <c r="AW60" s="222"/>
      <c r="AX60" s="222"/>
      <c r="AY60" s="222"/>
      <c r="AZ60" s="222"/>
      <c r="BA60" s="222"/>
      <c r="BB60" s="222"/>
      <c r="BC60" s="222"/>
      <c r="BD60" s="222"/>
      <c r="BE60" s="222"/>
      <c r="BF60" s="222"/>
      <c r="BG60" s="222"/>
      <c r="BH60" s="316"/>
      <c r="BI60" s="170"/>
    </row>
    <row r="61" ht="15.75" customHeight="1">
      <c r="A61" s="108"/>
      <c r="B61" s="336"/>
      <c r="AD61" s="41"/>
      <c r="AF61" s="336"/>
      <c r="BH61" s="41"/>
      <c r="BI61" s="170"/>
    </row>
    <row r="62" ht="9.75" customHeight="1">
      <c r="A62" s="10"/>
      <c r="B62" s="40"/>
      <c r="AD62" s="41"/>
      <c r="AF62" s="40"/>
      <c r="BH62" s="41"/>
      <c r="BI62" s="170"/>
    </row>
    <row r="63" ht="15.75" customHeight="1">
      <c r="A63" s="10"/>
      <c r="B63" s="42"/>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c r="AD63" s="44"/>
      <c r="AF63" s="42"/>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c r="BF63" s="43"/>
      <c r="BG63" s="43"/>
      <c r="BH63" s="44"/>
      <c r="BI63" s="170"/>
    </row>
    <row r="64" ht="9.75" customHeight="1">
      <c r="A64" s="10"/>
      <c r="B64" s="306" t="s">
        <v>164</v>
      </c>
      <c r="C64" s="307"/>
      <c r="D64" s="307"/>
      <c r="E64" s="307"/>
      <c r="F64" s="307"/>
      <c r="G64" s="307"/>
      <c r="H64" s="307"/>
      <c r="I64" s="308"/>
      <c r="J64" s="83"/>
      <c r="L64" s="306" t="s">
        <v>349</v>
      </c>
      <c r="M64" s="307"/>
      <c r="N64" s="307"/>
      <c r="O64" s="307"/>
      <c r="P64" s="307"/>
      <c r="Q64" s="307"/>
      <c r="R64" s="307"/>
      <c r="S64" s="307"/>
      <c r="T64" s="307"/>
      <c r="U64" s="307"/>
      <c r="V64" s="307"/>
      <c r="W64" s="307"/>
      <c r="X64" s="307"/>
      <c r="Y64" s="307"/>
      <c r="Z64" s="307"/>
      <c r="AA64" s="307"/>
      <c r="AB64" s="307"/>
      <c r="AC64" s="307"/>
      <c r="AD64" s="308"/>
      <c r="AF64" s="306" t="s">
        <v>164</v>
      </c>
      <c r="AG64" s="307"/>
      <c r="AH64" s="307"/>
      <c r="AI64" s="307"/>
      <c r="AJ64" s="307"/>
      <c r="AK64" s="307"/>
      <c r="AL64" s="307"/>
      <c r="AM64" s="308"/>
      <c r="AN64" s="337"/>
      <c r="AP64" s="306" t="s">
        <v>349</v>
      </c>
      <c r="AQ64" s="307"/>
      <c r="AR64" s="307"/>
      <c r="AS64" s="307"/>
      <c r="AT64" s="307"/>
      <c r="AU64" s="307"/>
      <c r="AV64" s="307"/>
      <c r="AW64" s="307"/>
      <c r="AX64" s="307"/>
      <c r="AY64" s="307"/>
      <c r="AZ64" s="307"/>
      <c r="BA64" s="307"/>
      <c r="BB64" s="307"/>
      <c r="BC64" s="307"/>
      <c r="BD64" s="307"/>
      <c r="BE64" s="307"/>
      <c r="BF64" s="307"/>
      <c r="BG64" s="307"/>
      <c r="BH64" s="308"/>
      <c r="BI64" s="170"/>
    </row>
    <row r="65" ht="15.75" customHeight="1">
      <c r="A65" s="10"/>
      <c r="B65" s="309"/>
      <c r="C65" s="43"/>
      <c r="D65" s="43"/>
      <c r="E65" s="43"/>
      <c r="F65" s="43"/>
      <c r="G65" s="43"/>
      <c r="H65" s="43"/>
      <c r="I65" s="44"/>
      <c r="J65" s="43"/>
      <c r="K65" s="43"/>
      <c r="L65" s="310"/>
      <c r="M65" s="43"/>
      <c r="N65" s="43"/>
      <c r="O65" s="43"/>
      <c r="P65" s="43"/>
      <c r="Q65" s="43"/>
      <c r="R65" s="43"/>
      <c r="S65" s="43"/>
      <c r="T65" s="43"/>
      <c r="U65" s="43"/>
      <c r="V65" s="43"/>
      <c r="W65" s="43"/>
      <c r="X65" s="43"/>
      <c r="Y65" s="43"/>
      <c r="Z65" s="43"/>
      <c r="AA65" s="43"/>
      <c r="AB65" s="43"/>
      <c r="AC65" s="43"/>
      <c r="AD65" s="44"/>
      <c r="AF65" s="309"/>
      <c r="AG65" s="43"/>
      <c r="AH65" s="43"/>
      <c r="AI65" s="43"/>
      <c r="AJ65" s="43"/>
      <c r="AK65" s="43"/>
      <c r="AL65" s="43"/>
      <c r="AM65" s="44"/>
      <c r="AN65" s="42"/>
      <c r="AO65" s="43"/>
      <c r="AP65" s="310"/>
      <c r="AQ65" s="43"/>
      <c r="AR65" s="43"/>
      <c r="AS65" s="43"/>
      <c r="AT65" s="43"/>
      <c r="AU65" s="43"/>
      <c r="AV65" s="43"/>
      <c r="AW65" s="43"/>
      <c r="AX65" s="43"/>
      <c r="AY65" s="43"/>
      <c r="AZ65" s="43"/>
      <c r="BA65" s="43"/>
      <c r="BB65" s="43"/>
      <c r="BC65" s="43"/>
      <c r="BD65" s="43"/>
      <c r="BE65" s="43"/>
      <c r="BF65" s="43"/>
      <c r="BG65" s="43"/>
      <c r="BH65" s="44"/>
      <c r="BI65" s="170"/>
    </row>
    <row r="66" ht="9.75" customHeight="1">
      <c r="A66" s="10"/>
      <c r="B66" s="315" t="s">
        <v>181</v>
      </c>
      <c r="C66" s="222"/>
      <c r="D66" s="222"/>
      <c r="E66" s="222"/>
      <c r="F66" s="222"/>
      <c r="G66" s="222"/>
      <c r="H66" s="222"/>
      <c r="I66" s="222"/>
      <c r="J66" s="222"/>
      <c r="K66" s="222"/>
      <c r="L66" s="222"/>
      <c r="M66" s="222"/>
      <c r="N66" s="222"/>
      <c r="O66" s="222"/>
      <c r="P66" s="222"/>
      <c r="Q66" s="222"/>
      <c r="R66" s="222"/>
      <c r="S66" s="222"/>
      <c r="T66" s="222"/>
      <c r="U66" s="222"/>
      <c r="V66" s="222"/>
      <c r="W66" s="222"/>
      <c r="X66" s="222"/>
      <c r="Y66" s="222"/>
      <c r="Z66" s="222"/>
      <c r="AA66" s="222"/>
      <c r="AB66" s="222"/>
      <c r="AC66" s="222"/>
      <c r="AD66" s="316"/>
      <c r="AF66" s="315" t="s">
        <v>181</v>
      </c>
      <c r="AG66" s="222"/>
      <c r="AH66" s="222"/>
      <c r="AI66" s="222"/>
      <c r="AJ66" s="222"/>
      <c r="AK66" s="222"/>
      <c r="AL66" s="222"/>
      <c r="AM66" s="222"/>
      <c r="AN66" s="222"/>
      <c r="AO66" s="222"/>
      <c r="AP66" s="222"/>
      <c r="AQ66" s="222"/>
      <c r="AR66" s="222"/>
      <c r="AS66" s="222"/>
      <c r="AT66" s="222"/>
      <c r="AU66" s="222"/>
      <c r="AV66" s="222"/>
      <c r="AW66" s="222"/>
      <c r="AX66" s="222"/>
      <c r="AY66" s="222"/>
      <c r="AZ66" s="222"/>
      <c r="BA66" s="222"/>
      <c r="BB66" s="222"/>
      <c r="BC66" s="222"/>
      <c r="BD66" s="222"/>
      <c r="BE66" s="222"/>
      <c r="BF66" s="222"/>
      <c r="BG66" s="222"/>
      <c r="BH66" s="316"/>
      <c r="BI66" s="170"/>
    </row>
    <row r="67" ht="15.75" customHeight="1">
      <c r="A67" s="10"/>
      <c r="B67" s="320"/>
      <c r="AD67" s="41"/>
      <c r="AF67" s="320"/>
      <c r="BH67" s="41"/>
      <c r="BI67" s="170"/>
    </row>
    <row r="68" ht="9.0" customHeight="1">
      <c r="A68" s="10"/>
      <c r="B68" s="40"/>
      <c r="AD68" s="41"/>
      <c r="AF68" s="40"/>
      <c r="BH68" s="41"/>
      <c r="BI68" s="296"/>
    </row>
    <row r="69" ht="15.75" customHeight="1">
      <c r="A69" s="10"/>
      <c r="B69" s="40"/>
      <c r="AD69" s="41"/>
      <c r="AF69" s="40"/>
      <c r="BH69" s="41"/>
      <c r="BI69" s="296"/>
    </row>
    <row r="70" ht="9.75" customHeight="1">
      <c r="A70" s="10"/>
      <c r="B70" s="329" t="s">
        <v>164</v>
      </c>
      <c r="C70" s="307"/>
      <c r="D70" s="307"/>
      <c r="E70" s="307"/>
      <c r="F70" s="307"/>
      <c r="G70" s="307"/>
      <c r="H70" s="307"/>
      <c r="I70" s="308"/>
      <c r="J70" s="338"/>
      <c r="K70" s="19"/>
      <c r="L70" s="329" t="s">
        <v>349</v>
      </c>
      <c r="M70" s="307"/>
      <c r="N70" s="307"/>
      <c r="O70" s="307"/>
      <c r="P70" s="307"/>
      <c r="Q70" s="307"/>
      <c r="R70" s="307"/>
      <c r="S70" s="307"/>
      <c r="T70" s="307"/>
      <c r="U70" s="307"/>
      <c r="V70" s="307"/>
      <c r="W70" s="307"/>
      <c r="X70" s="307"/>
      <c r="Y70" s="307"/>
      <c r="Z70" s="307"/>
      <c r="AA70" s="307"/>
      <c r="AB70" s="307"/>
      <c r="AC70" s="307"/>
      <c r="AD70" s="308"/>
      <c r="AF70" s="329" t="s">
        <v>164</v>
      </c>
      <c r="AG70" s="307"/>
      <c r="AH70" s="307"/>
      <c r="AI70" s="307"/>
      <c r="AJ70" s="307"/>
      <c r="AK70" s="307"/>
      <c r="AL70" s="307"/>
      <c r="AM70" s="308"/>
      <c r="AN70" s="339"/>
      <c r="AO70" s="19"/>
      <c r="AP70" s="329" t="s">
        <v>349</v>
      </c>
      <c r="AQ70" s="307"/>
      <c r="AR70" s="307"/>
      <c r="AS70" s="307"/>
      <c r="AT70" s="307"/>
      <c r="AU70" s="307"/>
      <c r="AV70" s="307"/>
      <c r="AW70" s="307"/>
      <c r="AX70" s="307"/>
      <c r="AY70" s="307"/>
      <c r="AZ70" s="307"/>
      <c r="BA70" s="307"/>
      <c r="BB70" s="307"/>
      <c r="BC70" s="307"/>
      <c r="BD70" s="307"/>
      <c r="BE70" s="307"/>
      <c r="BF70" s="307"/>
      <c r="BG70" s="307"/>
      <c r="BH70" s="308"/>
      <c r="BI70" s="296"/>
    </row>
    <row r="71" ht="15.75" customHeight="1">
      <c r="A71" s="10"/>
      <c r="B71" s="332"/>
      <c r="C71" s="43"/>
      <c r="D71" s="43"/>
      <c r="E71" s="43"/>
      <c r="F71" s="43"/>
      <c r="G71" s="43"/>
      <c r="H71" s="43"/>
      <c r="I71" s="44"/>
      <c r="J71" s="43"/>
      <c r="K71" s="43"/>
      <c r="L71" s="333"/>
      <c r="M71" s="43"/>
      <c r="N71" s="43"/>
      <c r="O71" s="43"/>
      <c r="P71" s="43"/>
      <c r="Q71" s="43"/>
      <c r="R71" s="43"/>
      <c r="S71" s="43"/>
      <c r="T71" s="43"/>
      <c r="U71" s="43"/>
      <c r="V71" s="43"/>
      <c r="W71" s="43"/>
      <c r="X71" s="43"/>
      <c r="Y71" s="43"/>
      <c r="Z71" s="43"/>
      <c r="AA71" s="43"/>
      <c r="AB71" s="43"/>
      <c r="AC71" s="43"/>
      <c r="AD71" s="44"/>
      <c r="AF71" s="332"/>
      <c r="AG71" s="43"/>
      <c r="AH71" s="43"/>
      <c r="AI71" s="43"/>
      <c r="AJ71" s="43"/>
      <c r="AK71" s="43"/>
      <c r="AL71" s="43"/>
      <c r="AM71" s="44"/>
      <c r="AN71" s="42"/>
      <c r="AO71" s="43"/>
      <c r="AP71" s="333"/>
      <c r="AQ71" s="43"/>
      <c r="AR71" s="43"/>
      <c r="AS71" s="43"/>
      <c r="AT71" s="43"/>
      <c r="AU71" s="43"/>
      <c r="AV71" s="43"/>
      <c r="AW71" s="43"/>
      <c r="AX71" s="43"/>
      <c r="AY71" s="43"/>
      <c r="AZ71" s="43"/>
      <c r="BA71" s="43"/>
      <c r="BB71" s="43"/>
      <c r="BC71" s="43"/>
      <c r="BD71" s="43"/>
      <c r="BE71" s="43"/>
      <c r="BF71" s="43"/>
      <c r="BG71" s="43"/>
      <c r="BH71" s="44"/>
      <c r="BI71" s="296"/>
    </row>
    <row r="72" ht="9.75" customHeight="1">
      <c r="A72" s="10"/>
      <c r="B72" s="335" t="s">
        <v>181</v>
      </c>
      <c r="C72" s="222"/>
      <c r="D72" s="222"/>
      <c r="E72" s="222"/>
      <c r="F72" s="222"/>
      <c r="G72" s="222"/>
      <c r="H72" s="222"/>
      <c r="I72" s="222"/>
      <c r="J72" s="222"/>
      <c r="K72" s="222"/>
      <c r="L72" s="222"/>
      <c r="M72" s="222"/>
      <c r="N72" s="222"/>
      <c r="O72" s="222"/>
      <c r="P72" s="222"/>
      <c r="Q72" s="222"/>
      <c r="R72" s="222"/>
      <c r="S72" s="222"/>
      <c r="T72" s="222"/>
      <c r="U72" s="222"/>
      <c r="V72" s="222"/>
      <c r="W72" s="222"/>
      <c r="X72" s="222"/>
      <c r="Y72" s="222"/>
      <c r="Z72" s="222"/>
      <c r="AA72" s="222"/>
      <c r="AB72" s="222"/>
      <c r="AC72" s="222"/>
      <c r="AD72" s="316"/>
      <c r="AF72" s="335" t="s">
        <v>181</v>
      </c>
      <c r="AG72" s="222"/>
      <c r="AH72" s="222"/>
      <c r="AI72" s="222"/>
      <c r="AJ72" s="222"/>
      <c r="AK72" s="222"/>
      <c r="AL72" s="222"/>
      <c r="AM72" s="222"/>
      <c r="AN72" s="222"/>
      <c r="AO72" s="222"/>
      <c r="AP72" s="222"/>
      <c r="AQ72" s="222"/>
      <c r="AR72" s="222"/>
      <c r="AS72" s="222"/>
      <c r="AT72" s="222"/>
      <c r="AU72" s="222"/>
      <c r="AV72" s="222"/>
      <c r="AW72" s="222"/>
      <c r="AX72" s="222"/>
      <c r="AY72" s="222"/>
      <c r="AZ72" s="222"/>
      <c r="BA72" s="222"/>
      <c r="BB72" s="222"/>
      <c r="BC72" s="222"/>
      <c r="BD72" s="222"/>
      <c r="BE72" s="222"/>
      <c r="BF72" s="222"/>
      <c r="BG72" s="222"/>
      <c r="BH72" s="316"/>
      <c r="BI72" s="296"/>
    </row>
    <row r="73" ht="15.75" customHeight="1">
      <c r="A73" s="10"/>
      <c r="B73" s="336"/>
      <c r="AD73" s="41"/>
      <c r="AF73" s="336"/>
      <c r="BH73" s="41"/>
      <c r="BI73" s="296"/>
    </row>
    <row r="74" ht="8.25" customHeight="1">
      <c r="A74" s="10"/>
      <c r="B74" s="40"/>
      <c r="AD74" s="41"/>
      <c r="AF74" s="40"/>
      <c r="BH74" s="41"/>
      <c r="BI74" s="296"/>
    </row>
    <row r="75" ht="15.75" customHeight="1">
      <c r="A75" s="10"/>
      <c r="B75" s="42"/>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4"/>
      <c r="AF75" s="42"/>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c r="BF75" s="43"/>
      <c r="BG75" s="43"/>
      <c r="BH75" s="44"/>
      <c r="BI75" s="296"/>
    </row>
    <row r="76" ht="9.75" customHeight="1">
      <c r="A76" s="279"/>
      <c r="B76" s="306" t="s">
        <v>164</v>
      </c>
      <c r="C76" s="307"/>
      <c r="D76" s="307"/>
      <c r="E76" s="307"/>
      <c r="F76" s="307"/>
      <c r="G76" s="307"/>
      <c r="H76" s="307"/>
      <c r="I76" s="308"/>
      <c r="J76" s="83"/>
      <c r="L76" s="306" t="s">
        <v>349</v>
      </c>
      <c r="M76" s="307"/>
      <c r="N76" s="307"/>
      <c r="O76" s="307"/>
      <c r="P76" s="307"/>
      <c r="Q76" s="307"/>
      <c r="R76" s="307"/>
      <c r="S76" s="307"/>
      <c r="T76" s="307"/>
      <c r="U76" s="307"/>
      <c r="V76" s="307"/>
      <c r="W76" s="307"/>
      <c r="X76" s="307"/>
      <c r="Y76" s="307"/>
      <c r="Z76" s="307"/>
      <c r="AA76" s="307"/>
      <c r="AB76" s="307"/>
      <c r="AC76" s="307"/>
      <c r="AD76" s="308"/>
      <c r="AF76" s="306" t="s">
        <v>164</v>
      </c>
      <c r="AG76" s="307"/>
      <c r="AH76" s="307"/>
      <c r="AI76" s="307"/>
      <c r="AJ76" s="307"/>
      <c r="AK76" s="307"/>
      <c r="AL76" s="307"/>
      <c r="AM76" s="308"/>
      <c r="AN76" s="337"/>
      <c r="AP76" s="306" t="s">
        <v>349</v>
      </c>
      <c r="AQ76" s="307"/>
      <c r="AR76" s="307"/>
      <c r="AS76" s="307"/>
      <c r="AT76" s="307"/>
      <c r="AU76" s="307"/>
      <c r="AV76" s="307"/>
      <c r="AW76" s="307"/>
      <c r="AX76" s="307"/>
      <c r="AY76" s="307"/>
      <c r="AZ76" s="307"/>
      <c r="BA76" s="307"/>
      <c r="BB76" s="307"/>
      <c r="BC76" s="307"/>
      <c r="BD76" s="307"/>
      <c r="BE76" s="307"/>
      <c r="BF76" s="307"/>
      <c r="BG76" s="307"/>
      <c r="BH76" s="308"/>
      <c r="BI76" s="296"/>
    </row>
    <row r="77" ht="15.75" customHeight="1">
      <c r="A77" s="10"/>
      <c r="B77" s="309"/>
      <c r="C77" s="43"/>
      <c r="D77" s="43"/>
      <c r="E77" s="43"/>
      <c r="F77" s="43"/>
      <c r="G77" s="43"/>
      <c r="H77" s="43"/>
      <c r="I77" s="44"/>
      <c r="J77" s="43"/>
      <c r="K77" s="43"/>
      <c r="L77" s="310"/>
      <c r="M77" s="43"/>
      <c r="N77" s="43"/>
      <c r="O77" s="43"/>
      <c r="P77" s="43"/>
      <c r="Q77" s="43"/>
      <c r="R77" s="43"/>
      <c r="S77" s="43"/>
      <c r="T77" s="43"/>
      <c r="U77" s="43"/>
      <c r="V77" s="43"/>
      <c r="W77" s="43"/>
      <c r="X77" s="43"/>
      <c r="Y77" s="43"/>
      <c r="Z77" s="43"/>
      <c r="AA77" s="43"/>
      <c r="AB77" s="43"/>
      <c r="AC77" s="43"/>
      <c r="AD77" s="44"/>
      <c r="AF77" s="309"/>
      <c r="AG77" s="43"/>
      <c r="AH77" s="43"/>
      <c r="AI77" s="43"/>
      <c r="AJ77" s="43"/>
      <c r="AK77" s="43"/>
      <c r="AL77" s="43"/>
      <c r="AM77" s="44"/>
      <c r="AN77" s="42"/>
      <c r="AO77" s="43"/>
      <c r="AP77" s="310"/>
      <c r="AQ77" s="43"/>
      <c r="AR77" s="43"/>
      <c r="AS77" s="43"/>
      <c r="AT77" s="43"/>
      <c r="AU77" s="43"/>
      <c r="AV77" s="43"/>
      <c r="AW77" s="43"/>
      <c r="AX77" s="43"/>
      <c r="AY77" s="43"/>
      <c r="AZ77" s="43"/>
      <c r="BA77" s="43"/>
      <c r="BB77" s="43"/>
      <c r="BC77" s="43"/>
      <c r="BD77" s="43"/>
      <c r="BE77" s="43"/>
      <c r="BF77" s="43"/>
      <c r="BG77" s="43"/>
      <c r="BH77" s="44"/>
      <c r="BI77" s="296"/>
    </row>
    <row r="78" ht="10.5" customHeight="1">
      <c r="A78" s="10"/>
      <c r="B78" s="315" t="s">
        <v>181</v>
      </c>
      <c r="C78" s="222"/>
      <c r="D78" s="222"/>
      <c r="E78" s="222"/>
      <c r="F78" s="222"/>
      <c r="G78" s="222"/>
      <c r="H78" s="222"/>
      <c r="I78" s="222"/>
      <c r="J78" s="222"/>
      <c r="K78" s="222"/>
      <c r="L78" s="222"/>
      <c r="M78" s="222"/>
      <c r="N78" s="222"/>
      <c r="O78" s="222"/>
      <c r="P78" s="222"/>
      <c r="Q78" s="222"/>
      <c r="R78" s="222"/>
      <c r="S78" s="222"/>
      <c r="T78" s="222"/>
      <c r="U78" s="222"/>
      <c r="V78" s="222"/>
      <c r="W78" s="222"/>
      <c r="X78" s="222"/>
      <c r="Y78" s="222"/>
      <c r="Z78" s="222"/>
      <c r="AA78" s="222"/>
      <c r="AB78" s="222"/>
      <c r="AC78" s="222"/>
      <c r="AD78" s="316"/>
      <c r="AF78" s="315" t="s">
        <v>181</v>
      </c>
      <c r="AG78" s="222"/>
      <c r="AH78" s="222"/>
      <c r="AI78" s="222"/>
      <c r="AJ78" s="222"/>
      <c r="AK78" s="222"/>
      <c r="AL78" s="222"/>
      <c r="AM78" s="222"/>
      <c r="AN78" s="222"/>
      <c r="AO78" s="222"/>
      <c r="AP78" s="222"/>
      <c r="AQ78" s="222"/>
      <c r="AR78" s="222"/>
      <c r="AS78" s="222"/>
      <c r="AT78" s="222"/>
      <c r="AU78" s="222"/>
      <c r="AV78" s="222"/>
      <c r="AW78" s="222"/>
      <c r="AX78" s="222"/>
      <c r="AY78" s="222"/>
      <c r="AZ78" s="222"/>
      <c r="BA78" s="222"/>
      <c r="BB78" s="222"/>
      <c r="BC78" s="222"/>
      <c r="BD78" s="222"/>
      <c r="BE78" s="222"/>
      <c r="BF78" s="222"/>
      <c r="BG78" s="222"/>
      <c r="BH78" s="316"/>
      <c r="BI78" s="296"/>
    </row>
    <row r="79" ht="15.75" customHeight="1">
      <c r="A79" s="10"/>
      <c r="B79" s="320"/>
      <c r="AD79" s="41"/>
      <c r="AF79" s="320"/>
      <c r="BH79" s="41"/>
      <c r="BI79" s="296"/>
    </row>
    <row r="80" ht="11.25" customHeight="1">
      <c r="A80" s="10"/>
      <c r="B80" s="40"/>
      <c r="AD80" s="41"/>
      <c r="AF80" s="40"/>
      <c r="BH80" s="41"/>
      <c r="BI80" s="296"/>
    </row>
    <row r="81" ht="15.75" customHeight="1">
      <c r="A81" s="10"/>
      <c r="B81" s="42"/>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4"/>
      <c r="AF81" s="42"/>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4"/>
      <c r="BI81" s="296"/>
    </row>
    <row r="82" ht="10.5" customHeight="1">
      <c r="A82" s="10"/>
      <c r="BI82" s="296"/>
    </row>
  </sheetData>
  <mergeCells count="281">
    <mergeCell ref="AS25:AX25"/>
    <mergeCell ref="AA27:AX27"/>
    <mergeCell ref="AB28:AC28"/>
    <mergeCell ref="AP28:AQ28"/>
    <mergeCell ref="AB29:AC29"/>
    <mergeCell ref="AP29:AQ29"/>
    <mergeCell ref="AO30:AR30"/>
    <mergeCell ref="AA30:AM30"/>
    <mergeCell ref="AA31:AX31"/>
    <mergeCell ref="AA32:AK32"/>
    <mergeCell ref="AM32:AN32"/>
    <mergeCell ref="AA33:AK33"/>
    <mergeCell ref="AM33:AN33"/>
    <mergeCell ref="AA35:AF35"/>
    <mergeCell ref="AM13:AN13"/>
    <mergeCell ref="AS13:AU15"/>
    <mergeCell ref="AZ13:BB14"/>
    <mergeCell ref="BD13:BD14"/>
    <mergeCell ref="BE13:BE14"/>
    <mergeCell ref="BF13:BF14"/>
    <mergeCell ref="AN15:AQ15"/>
    <mergeCell ref="BA20:BA21"/>
    <mergeCell ref="BB20:BF21"/>
    <mergeCell ref="BA22:BA23"/>
    <mergeCell ref="BB22:BF23"/>
    <mergeCell ref="AZ26:BH31"/>
    <mergeCell ref="AZ33:BH33"/>
    <mergeCell ref="AW14:AX14"/>
    <mergeCell ref="AW15:AX15"/>
    <mergeCell ref="AW16:AX16"/>
    <mergeCell ref="BA16:BF17"/>
    <mergeCell ref="AW17:AX17"/>
    <mergeCell ref="BA18:BA19"/>
    <mergeCell ref="BB18:BF19"/>
    <mergeCell ref="AA19:AQ19"/>
    <mergeCell ref="AS19:AX19"/>
    <mergeCell ref="AF20:AG20"/>
    <mergeCell ref="AS20:AT20"/>
    <mergeCell ref="AF21:AG21"/>
    <mergeCell ref="AS21:AT21"/>
    <mergeCell ref="AF22:AG22"/>
    <mergeCell ref="AA23:AE23"/>
    <mergeCell ref="AF23:AG23"/>
    <mergeCell ref="AF24:AG24"/>
    <mergeCell ref="AS24:AX24"/>
    <mergeCell ref="AA25:AE25"/>
    <mergeCell ref="AF25:AG25"/>
    <mergeCell ref="AZ25:BH25"/>
    <mergeCell ref="AH35:AI35"/>
    <mergeCell ref="AR35:AT35"/>
    <mergeCell ref="AZ35:BF35"/>
    <mergeCell ref="BG35:BH35"/>
    <mergeCell ref="AA41:AF41"/>
    <mergeCell ref="AA44:AK44"/>
    <mergeCell ref="AM44:AN44"/>
    <mergeCell ref="AZ44:BF44"/>
    <mergeCell ref="BG44:BH44"/>
    <mergeCell ref="AZ48:BF48"/>
    <mergeCell ref="BG48:BH48"/>
    <mergeCell ref="AZ49:BF49"/>
    <mergeCell ref="BG49:BH49"/>
    <mergeCell ref="B51:BH51"/>
    <mergeCell ref="B52:I52"/>
    <mergeCell ref="J52:K53"/>
    <mergeCell ref="AF53:AT53"/>
    <mergeCell ref="B53:I53"/>
    <mergeCell ref="L53:AD53"/>
    <mergeCell ref="B54:AD54"/>
    <mergeCell ref="AF54:AT55"/>
    <mergeCell ref="AU54:BH55"/>
    <mergeCell ref="AF56:AT57"/>
    <mergeCell ref="AU56:BH57"/>
    <mergeCell ref="AZ41:BF41"/>
    <mergeCell ref="AZ42:BF42"/>
    <mergeCell ref="AZ43:BF43"/>
    <mergeCell ref="BG43:BH43"/>
    <mergeCell ref="AA39:AK39"/>
    <mergeCell ref="AH41:AI41"/>
    <mergeCell ref="AR41:AT41"/>
    <mergeCell ref="BG41:BH41"/>
    <mergeCell ref="AM42:AN42"/>
    <mergeCell ref="AR42:AT42"/>
    <mergeCell ref="BG42:BH42"/>
    <mergeCell ref="AZ47:BF47"/>
    <mergeCell ref="BG47:BH47"/>
    <mergeCell ref="AR47:AT47"/>
    <mergeCell ref="AR48:AT48"/>
    <mergeCell ref="AA45:AK45"/>
    <mergeCell ref="AM45:AN45"/>
    <mergeCell ref="AZ45:BF45"/>
    <mergeCell ref="BG45:BH45"/>
    <mergeCell ref="AA47:AF47"/>
    <mergeCell ref="AH47:AI47"/>
    <mergeCell ref="AM48:AN48"/>
    <mergeCell ref="L52:AD52"/>
    <mergeCell ref="AF52:BH52"/>
    <mergeCell ref="AP58:BH58"/>
    <mergeCell ref="AP59:BH59"/>
    <mergeCell ref="L70:AD70"/>
    <mergeCell ref="L71:AD71"/>
    <mergeCell ref="L64:AD64"/>
    <mergeCell ref="L65:AD65"/>
    <mergeCell ref="B66:AD66"/>
    <mergeCell ref="B67:AD69"/>
    <mergeCell ref="B70:I70"/>
    <mergeCell ref="J70:K71"/>
    <mergeCell ref="B71:I71"/>
    <mergeCell ref="L58:AD58"/>
    <mergeCell ref="L59:AD59"/>
    <mergeCell ref="AF60:BH60"/>
    <mergeCell ref="B55:AD57"/>
    <mergeCell ref="B58:I58"/>
    <mergeCell ref="J58:K59"/>
    <mergeCell ref="AF58:AM58"/>
    <mergeCell ref="AN58:AO59"/>
    <mergeCell ref="B59:I59"/>
    <mergeCell ref="AF59:AM59"/>
    <mergeCell ref="AF64:AM64"/>
    <mergeCell ref="AP64:BH64"/>
    <mergeCell ref="B60:AD60"/>
    <mergeCell ref="B61:AD63"/>
    <mergeCell ref="AF61:BH63"/>
    <mergeCell ref="B64:I64"/>
    <mergeCell ref="J64:K65"/>
    <mergeCell ref="AN64:AO65"/>
    <mergeCell ref="B65:I65"/>
    <mergeCell ref="AP70:BH70"/>
    <mergeCell ref="AP71:BH71"/>
    <mergeCell ref="AF72:BH72"/>
    <mergeCell ref="AF73:BH75"/>
    <mergeCell ref="AF76:AM76"/>
    <mergeCell ref="AN76:AO77"/>
    <mergeCell ref="AP76:BH76"/>
    <mergeCell ref="AF77:AM77"/>
    <mergeCell ref="AP77:BH77"/>
    <mergeCell ref="AF78:BH78"/>
    <mergeCell ref="AF65:AM65"/>
    <mergeCell ref="AP65:BH65"/>
    <mergeCell ref="AF66:BH66"/>
    <mergeCell ref="AF67:BH69"/>
    <mergeCell ref="AF70:AM70"/>
    <mergeCell ref="AN70:AO71"/>
    <mergeCell ref="AF71:AM71"/>
    <mergeCell ref="L11:Y11"/>
    <mergeCell ref="N12:O12"/>
    <mergeCell ref="P12:Q12"/>
    <mergeCell ref="U12:V12"/>
    <mergeCell ref="W12:X12"/>
    <mergeCell ref="AA12:AB12"/>
    <mergeCell ref="AJ12:AK12"/>
    <mergeCell ref="AS11:AX11"/>
    <mergeCell ref="AS12:AU12"/>
    <mergeCell ref="AW12:AX12"/>
    <mergeCell ref="C9:D9"/>
    <mergeCell ref="E9:F9"/>
    <mergeCell ref="B11:J11"/>
    <mergeCell ref="AA11:AQ11"/>
    <mergeCell ref="AZ11:BB12"/>
    <mergeCell ref="BD11:BF12"/>
    <mergeCell ref="AM12:AN12"/>
    <mergeCell ref="AM4:AP5"/>
    <mergeCell ref="AQ4:AW5"/>
    <mergeCell ref="AX4:BA5"/>
    <mergeCell ref="BB4:BH5"/>
    <mergeCell ref="B2:O6"/>
    <mergeCell ref="Q2:T5"/>
    <mergeCell ref="U2:AL5"/>
    <mergeCell ref="AM2:AP3"/>
    <mergeCell ref="AQ2:AW3"/>
    <mergeCell ref="AX2:BA3"/>
    <mergeCell ref="BB2:BH3"/>
    <mergeCell ref="Q6:T7"/>
    <mergeCell ref="U6:AL7"/>
    <mergeCell ref="AM6:AP7"/>
    <mergeCell ref="AQ6:AW7"/>
    <mergeCell ref="AX6:BA7"/>
    <mergeCell ref="BB6:BH7"/>
    <mergeCell ref="B7:O7"/>
    <mergeCell ref="AF8:AL9"/>
    <mergeCell ref="AM8:AP9"/>
    <mergeCell ref="AQ8:AT9"/>
    <mergeCell ref="AU8:AW9"/>
    <mergeCell ref="AX8:BA9"/>
    <mergeCell ref="BB8:BH9"/>
    <mergeCell ref="AJ13:AK13"/>
    <mergeCell ref="AW13:AX13"/>
    <mergeCell ref="P13:Q13"/>
    <mergeCell ref="P14:Q14"/>
    <mergeCell ref="AE15:AH15"/>
    <mergeCell ref="AJ15:AM15"/>
    <mergeCell ref="B8:F8"/>
    <mergeCell ref="H8:I8"/>
    <mergeCell ref="N8:O8"/>
    <mergeCell ref="Q8:T9"/>
    <mergeCell ref="U8:AA9"/>
    <mergeCell ref="AB8:AE9"/>
    <mergeCell ref="H9:I9"/>
    <mergeCell ref="N9:O9"/>
    <mergeCell ref="M13:N13"/>
    <mergeCell ref="M15:N15"/>
    <mergeCell ref="P15:Q15"/>
    <mergeCell ref="T15:U15"/>
    <mergeCell ref="AA15:AD15"/>
    <mergeCell ref="W15:X15"/>
    <mergeCell ref="P16:Q16"/>
    <mergeCell ref="W16:X16"/>
    <mergeCell ref="M17:N17"/>
    <mergeCell ref="P17:Q17"/>
    <mergeCell ref="T17:U17"/>
    <mergeCell ref="W17:X17"/>
    <mergeCell ref="L19:Y19"/>
    <mergeCell ref="M20:N20"/>
    <mergeCell ref="AA21:AE21"/>
    <mergeCell ref="AZ37:BF37"/>
    <mergeCell ref="AZ39:BF39"/>
    <mergeCell ref="AZ40:BF40"/>
    <mergeCell ref="BG40:BH40"/>
    <mergeCell ref="AM36:AN36"/>
    <mergeCell ref="AR36:AT36"/>
    <mergeCell ref="BG37:BH37"/>
    <mergeCell ref="AA38:AK38"/>
    <mergeCell ref="AM38:AN38"/>
    <mergeCell ref="AM39:AN39"/>
    <mergeCell ref="BG39:BH39"/>
    <mergeCell ref="B38:L38"/>
    <mergeCell ref="N38:O38"/>
    <mergeCell ref="B39:L39"/>
    <mergeCell ref="N39:O39"/>
    <mergeCell ref="B41:I41"/>
    <mergeCell ref="B42:J42"/>
    <mergeCell ref="N42:O42"/>
    <mergeCell ref="S47:U47"/>
    <mergeCell ref="S48:U48"/>
    <mergeCell ref="B44:L44"/>
    <mergeCell ref="N44:O44"/>
    <mergeCell ref="B45:L45"/>
    <mergeCell ref="N45:O45"/>
    <mergeCell ref="B47:I47"/>
    <mergeCell ref="B48:J48"/>
    <mergeCell ref="N48:O48"/>
    <mergeCell ref="M21:N21"/>
    <mergeCell ref="L23:Y23"/>
    <mergeCell ref="M24:N24"/>
    <mergeCell ref="T24:X24"/>
    <mergeCell ref="M25:N25"/>
    <mergeCell ref="T25:X25"/>
    <mergeCell ref="K8:L8"/>
    <mergeCell ref="K9:L9"/>
    <mergeCell ref="B12:J25"/>
    <mergeCell ref="T13:U13"/>
    <mergeCell ref="W13:X13"/>
    <mergeCell ref="AA13:AB13"/>
    <mergeCell ref="W14:X14"/>
    <mergeCell ref="B27:Y27"/>
    <mergeCell ref="B28:E28"/>
    <mergeCell ref="G28:J28"/>
    <mergeCell ref="L28:O28"/>
    <mergeCell ref="Q28:T28"/>
    <mergeCell ref="V28:Y28"/>
    <mergeCell ref="B31:Y31"/>
    <mergeCell ref="S35:U35"/>
    <mergeCell ref="S36:U36"/>
    <mergeCell ref="S41:U41"/>
    <mergeCell ref="S42:U42"/>
    <mergeCell ref="B32:L32"/>
    <mergeCell ref="N32:O32"/>
    <mergeCell ref="B33:L33"/>
    <mergeCell ref="N33:O33"/>
    <mergeCell ref="B35:I35"/>
    <mergeCell ref="B36:J36"/>
    <mergeCell ref="N36:O36"/>
    <mergeCell ref="B78:AD78"/>
    <mergeCell ref="B79:AD81"/>
    <mergeCell ref="AF79:BH81"/>
    <mergeCell ref="B72:AD72"/>
    <mergeCell ref="B73:AD75"/>
    <mergeCell ref="B76:I76"/>
    <mergeCell ref="J76:K77"/>
    <mergeCell ref="L76:AD76"/>
    <mergeCell ref="B77:I77"/>
    <mergeCell ref="L77:AD77"/>
  </mergeCells>
  <conditionalFormatting sqref="AC12:AH13 O13:O17 V13:V17 AW14:AX15 AA15:AQ17 O20:Y21 AH20:AQ25 AU20:AX23 AS22:AT23 O24:S25 AD28:AM29 AR28:AW29 P32:Y33 AL32:AL33 AO32:AX33 K35:L36 Q35:Q36 AJ35:AK36 AP35:AQ36 M38:M39 P38:Y39 AL38:AL39 AO38:AX39 K41:L42 Q41:R42 AJ41:AK42 AP41:AQ42 M44:M45 P44:Y45 AL44:AL45 AO44:AX45 K47:L48 Q47:R48 AJ47:AK48 AP47:AQ48">
    <cfRule type="expression" dxfId="2" priority="1">
      <formula>$BA$22</formula>
    </cfRule>
  </conditionalFormatting>
  <dataValidations>
    <dataValidation type="list" allowBlank="1" showDropDown="1" showInputMessage="1" showErrorMessage="1" prompt="Select Ancestry" sqref="AQ2">
      <formula1>Data!$B$23:$B$33</formula1>
    </dataValidation>
    <dataValidation type="list" allowBlank="1" showDropDown="1" showErrorMessage="1" sqref="O37 AN37 O43 AN43">
      <formula1>#REF!</formula1>
    </dataValidation>
    <dataValidation type="list" allowBlank="1" showDropDown="1" showInputMessage="1" showErrorMessage="1" prompt="Select Class Key Ability" sqref="BB6">
      <formula1>"Str,Dex,Int,Wis,Cha"</formula1>
    </dataValidation>
    <dataValidation type="list" allowBlank="1" showDropDown="1" showInputMessage="1" showErrorMessage="1" prompt="Select Class" sqref="AQ6">
      <formula1>Data!$B$37:$B$59</formula1>
    </dataValidation>
    <dataValidation type="list" allowBlank="1" showDropDown="1" showErrorMessage="1" sqref="AD12 AI20 AV20 AI22 AI24 AE28 AT28:AU28 Q32 AP32 Q38 AP38 Q44 AP44">
      <formula1>Data!$B$14:$B$19</formula1>
    </dataValidation>
    <dataValidation type="list" allowBlank="1" showDropDown="1" showInputMessage="1" prompt="Select Spellcasting Tradition" sqref="BB8">
      <formula1>"N/A,Arcane,Divine,Occult,Primal"</formula1>
    </dataValidation>
  </dataValidations>
  <printOptions gridLines="1" horizontalCentered="1" verticalCentered="1"/>
  <pageMargins bottom="0.2" footer="0.0" header="0.0" left="0.2" right="0.2" top="0.2"/>
  <pageSetup orientation="landscape" pageOrder="overThenDown"/>
  <rowBreaks count="2" manualBreakCount="2">
    <brk man="1"/>
    <brk id="69" man="1"/>
  </rowBreaks>
  <colBreaks count="2" manualBreakCount="2">
    <brk man="1"/>
    <brk id="61" man="1"/>
  </colBreak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pageSetUpPr/>
  </sheetPr>
  <sheetViews>
    <sheetView showGridLines="0" workbookViewId="0"/>
  </sheetViews>
  <sheetFormatPr customHeight="1" defaultColWidth="12.63" defaultRowHeight="15.75"/>
  <cols>
    <col customWidth="1" min="1" max="59" width="2.63"/>
  </cols>
  <sheetData>
    <row r="1" ht="15.75" customHeight="1">
      <c r="A1" s="38" t="s">
        <v>129</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32"/>
    </row>
    <row r="2" ht="15.75" customHeight="1">
      <c r="A2" s="10"/>
      <c r="B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row>
    <row r="3" ht="15.75" customHeight="1">
      <c r="A3" s="14"/>
      <c r="B3" s="163" t="s">
        <v>138</v>
      </c>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32"/>
    </row>
    <row r="4" ht="9.75" customHeight="1">
      <c r="A4" s="49"/>
      <c r="B4" s="49"/>
      <c r="C4" s="49"/>
      <c r="D4" s="49"/>
      <c r="E4" s="49"/>
      <c r="F4" s="49"/>
      <c r="G4" s="49"/>
      <c r="H4" s="48" t="s">
        <v>142</v>
      </c>
      <c r="J4" s="49"/>
      <c r="K4" s="48" t="s">
        <v>93</v>
      </c>
      <c r="L4" s="49"/>
      <c r="M4" s="48" t="s">
        <v>146</v>
      </c>
      <c r="N4" s="48" t="s">
        <v>126</v>
      </c>
      <c r="O4" s="48" t="s">
        <v>127</v>
      </c>
      <c r="P4" s="48" t="s">
        <v>128</v>
      </c>
      <c r="Q4" s="48" t="s">
        <v>57</v>
      </c>
      <c r="R4" s="49"/>
      <c r="S4" s="48" t="s">
        <v>35</v>
      </c>
      <c r="T4" s="49"/>
      <c r="U4" s="48" t="s">
        <v>147</v>
      </c>
      <c r="W4" s="48" t="s">
        <v>148</v>
      </c>
      <c r="Y4" s="48" t="s">
        <v>149</v>
      </c>
      <c r="AM4" s="48" t="s">
        <v>150</v>
      </c>
      <c r="AY4" s="168" t="b">
        <v>0</v>
      </c>
      <c r="AZ4" s="169" t="s">
        <v>153</v>
      </c>
    </row>
    <row r="5" ht="15.75" customHeight="1">
      <c r="A5" s="10"/>
      <c r="B5" s="170"/>
      <c r="C5" s="171" t="s">
        <v>155</v>
      </c>
      <c r="H5" s="103" t="str">
        <f>MODIFIER(K5+M5+S5-U5+W5)</f>
        <v>+0</v>
      </c>
      <c r="J5" s="104" t="s">
        <v>62</v>
      </c>
      <c r="K5" s="99">
        <f>vlookup(K4,Data!$B$14:$C$19,2,0)</f>
        <v>0</v>
      </c>
      <c r="L5" s="104" t="s">
        <v>106</v>
      </c>
      <c r="M5" s="99">
        <f>if(Q5,8+Level,if(P5,6+Level,if(O5,4+Level,if(N5,2+Level,IF('Character Sheet'!$BA$18,IF(Level&gt;= 7, Level, ROUNDDOWN(Level/2,0)),0)))))</f>
        <v>0</v>
      </c>
      <c r="N5" s="176" t="b">
        <v>0</v>
      </c>
      <c r="O5" s="153" t="b">
        <v>0</v>
      </c>
      <c r="P5" s="153" t="b">
        <v>0</v>
      </c>
      <c r="Q5" s="153" t="b">
        <v>0</v>
      </c>
      <c r="R5" s="178" t="s">
        <v>106</v>
      </c>
      <c r="S5" s="63">
        <v>0.0</v>
      </c>
      <c r="T5" s="104" t="s">
        <v>174</v>
      </c>
      <c r="U5" s="80">
        <f>ABS(if(Inventory!$Y$6&gt;'Character Sheet'!$O$13,Inventory!$S$6,0))</f>
        <v>0</v>
      </c>
      <c r="V5" s="104" t="s">
        <v>106</v>
      </c>
      <c r="W5" s="63">
        <v>0.0</v>
      </c>
      <c r="Y5" s="180"/>
      <c r="Z5" s="29"/>
      <c r="AA5" s="29"/>
      <c r="AB5" s="29"/>
      <c r="AC5" s="29"/>
      <c r="AD5" s="29"/>
      <c r="AE5" s="29"/>
      <c r="AF5" s="29"/>
      <c r="AG5" s="29"/>
      <c r="AH5" s="29"/>
      <c r="AI5" s="29"/>
      <c r="AJ5" s="29"/>
      <c r="AK5" s="32"/>
      <c r="AM5" s="180"/>
      <c r="AN5" s="29"/>
      <c r="AO5" s="29"/>
      <c r="AP5" s="29"/>
      <c r="AQ5" s="29"/>
      <c r="AR5" s="29"/>
      <c r="AS5" s="29"/>
      <c r="AT5" s="29"/>
      <c r="AU5" s="29"/>
      <c r="AV5" s="32"/>
    </row>
    <row r="6" ht="9.75" customHeight="1">
      <c r="A6" s="49"/>
      <c r="B6" s="183"/>
      <c r="C6" s="183"/>
      <c r="D6" s="183"/>
      <c r="E6" s="183"/>
      <c r="F6" s="183"/>
      <c r="G6" s="183"/>
      <c r="H6" s="48" t="s">
        <v>142</v>
      </c>
      <c r="J6" s="49"/>
      <c r="K6" s="48" t="s">
        <v>176</v>
      </c>
      <c r="L6" s="49"/>
      <c r="M6" s="48" t="s">
        <v>146</v>
      </c>
      <c r="N6" s="48" t="s">
        <v>126</v>
      </c>
      <c r="O6" s="48" t="s">
        <v>127</v>
      </c>
      <c r="P6" s="48" t="s">
        <v>128</v>
      </c>
      <c r="Q6" s="48" t="s">
        <v>57</v>
      </c>
      <c r="R6" s="186"/>
      <c r="S6" s="48" t="s">
        <v>35</v>
      </c>
      <c r="T6" s="49"/>
      <c r="U6" s="48"/>
      <c r="W6" s="48" t="s">
        <v>148</v>
      </c>
      <c r="Y6" s="48" t="s">
        <v>149</v>
      </c>
      <c r="AM6" s="48" t="s">
        <v>150</v>
      </c>
    </row>
    <row r="7" ht="15.75" customHeight="1">
      <c r="A7" s="10"/>
      <c r="B7" s="170"/>
      <c r="C7" s="171" t="s">
        <v>177</v>
      </c>
      <c r="H7" s="103" t="str">
        <f>MODIFIER(K7+M7+S7+W7)</f>
        <v>+0</v>
      </c>
      <c r="J7" s="104" t="s">
        <v>62</v>
      </c>
      <c r="K7" s="99">
        <f>vlookup(K6,Data!$B$14:$C$19,2,0)</f>
        <v>0</v>
      </c>
      <c r="L7" s="104" t="s">
        <v>106</v>
      </c>
      <c r="M7" s="99">
        <f>if(Q7,8+Level,if(P7,6+Level,if(O7,4+Level,if(N7,2+Level,IF('Character Sheet'!$BA$18,IF(Level&gt;= 7, Level, ROUNDDOWN(Level/2,0)),0)))))</f>
        <v>0</v>
      </c>
      <c r="N7" s="176" t="b">
        <v>0</v>
      </c>
      <c r="O7" s="153" t="b">
        <v>0</v>
      </c>
      <c r="P7" s="153" t="b">
        <v>0</v>
      </c>
      <c r="Q7" s="153" t="b">
        <v>0</v>
      </c>
      <c r="R7" s="178" t="s">
        <v>106</v>
      </c>
      <c r="S7" s="63">
        <v>0.0</v>
      </c>
      <c r="T7" s="192"/>
      <c r="U7" s="104" t="s">
        <v>106</v>
      </c>
      <c r="W7" s="63">
        <v>0.0</v>
      </c>
      <c r="Y7" s="180"/>
      <c r="Z7" s="29"/>
      <c r="AA7" s="29"/>
      <c r="AB7" s="29"/>
      <c r="AC7" s="29"/>
      <c r="AD7" s="29"/>
      <c r="AE7" s="29"/>
      <c r="AF7" s="29"/>
      <c r="AG7" s="29"/>
      <c r="AH7" s="29"/>
      <c r="AI7" s="29"/>
      <c r="AJ7" s="29"/>
      <c r="AK7" s="32"/>
      <c r="AM7" s="180"/>
      <c r="AN7" s="29"/>
      <c r="AO7" s="29"/>
      <c r="AP7" s="29"/>
      <c r="AQ7" s="29"/>
      <c r="AR7" s="29"/>
      <c r="AS7" s="29"/>
      <c r="AT7" s="29"/>
      <c r="AU7" s="29"/>
      <c r="AV7" s="32"/>
      <c r="AX7" s="38" t="s">
        <v>138</v>
      </c>
      <c r="AY7" s="29"/>
      <c r="AZ7" s="29"/>
      <c r="BA7" s="29"/>
      <c r="BB7" s="29"/>
      <c r="BC7" s="29"/>
      <c r="BD7" s="29"/>
      <c r="BE7" s="29"/>
      <c r="BF7" s="32"/>
    </row>
    <row r="8" ht="9.75" customHeight="1">
      <c r="A8" s="49"/>
      <c r="B8" s="183"/>
      <c r="C8" s="183"/>
      <c r="D8" s="183"/>
      <c r="E8" s="183"/>
      <c r="F8" s="183"/>
      <c r="G8" s="183"/>
      <c r="H8" s="48" t="s">
        <v>142</v>
      </c>
      <c r="J8" s="49"/>
      <c r="K8" s="48" t="s">
        <v>119</v>
      </c>
      <c r="L8" s="49"/>
      <c r="M8" s="48" t="s">
        <v>146</v>
      </c>
      <c r="N8" s="48" t="s">
        <v>126</v>
      </c>
      <c r="O8" s="48" t="s">
        <v>127</v>
      </c>
      <c r="P8" s="48" t="s">
        <v>128</v>
      </c>
      <c r="Q8" s="48" t="s">
        <v>57</v>
      </c>
      <c r="R8" s="186"/>
      <c r="S8" s="48" t="s">
        <v>35</v>
      </c>
      <c r="T8" s="49"/>
      <c r="U8" s="48" t="s">
        <v>147</v>
      </c>
      <c r="W8" s="48" t="s">
        <v>148</v>
      </c>
      <c r="Y8" s="48" t="s">
        <v>149</v>
      </c>
      <c r="AM8" s="48" t="s">
        <v>150</v>
      </c>
      <c r="AX8" s="196" t="s">
        <v>184</v>
      </c>
      <c r="AY8" s="19"/>
      <c r="AZ8" s="19"/>
      <c r="BA8" s="19"/>
      <c r="BB8" s="19"/>
      <c r="BC8" s="19"/>
      <c r="BD8" s="19"/>
      <c r="BE8" s="19"/>
      <c r="BF8" s="21"/>
    </row>
    <row r="9" ht="15.75" customHeight="1">
      <c r="A9" s="10"/>
      <c r="B9" s="170"/>
      <c r="C9" s="171" t="s">
        <v>185</v>
      </c>
      <c r="H9" s="103" t="str">
        <f>MODIFIER(K9+M9+S9-U9+W9)</f>
        <v>+0</v>
      </c>
      <c r="J9" s="104" t="s">
        <v>62</v>
      </c>
      <c r="K9" s="99">
        <f>vlookup(K8,Data!$B$14:$C$19,2,0)</f>
        <v>0</v>
      </c>
      <c r="L9" s="104" t="s">
        <v>106</v>
      </c>
      <c r="M9" s="99">
        <f>if(Q9,8+Level,if(P9,6+Level,if(O9,4+Level,if(N9,2+Level,IF('Character Sheet'!$BA$18,IF(Level&gt;= 7, Level, ROUNDDOWN(Level/2,0)),0)))))</f>
        <v>0</v>
      </c>
      <c r="N9" s="176" t="b">
        <v>0</v>
      </c>
      <c r="O9" s="153" t="b">
        <v>0</v>
      </c>
      <c r="P9" s="153" t="b">
        <v>0</v>
      </c>
      <c r="Q9" s="153" t="b">
        <v>0</v>
      </c>
      <c r="R9" s="178" t="s">
        <v>106</v>
      </c>
      <c r="S9" s="63">
        <v>0.0</v>
      </c>
      <c r="T9" s="104" t="s">
        <v>174</v>
      </c>
      <c r="U9" s="80">
        <f>ABS(if(Inventory!$Y$6&gt;'Character Sheet'!$O$13,Inventory!$S$6,0))</f>
        <v>0</v>
      </c>
      <c r="V9" s="104" t="s">
        <v>106</v>
      </c>
      <c r="W9" s="63">
        <v>0.0</v>
      </c>
      <c r="Y9" s="180"/>
      <c r="Z9" s="29"/>
      <c r="AA9" s="29"/>
      <c r="AB9" s="29"/>
      <c r="AC9" s="29"/>
      <c r="AD9" s="29"/>
      <c r="AE9" s="29"/>
      <c r="AF9" s="29"/>
      <c r="AG9" s="29"/>
      <c r="AH9" s="29"/>
      <c r="AI9" s="29"/>
      <c r="AJ9" s="29"/>
      <c r="AK9" s="32"/>
      <c r="AM9" s="180"/>
      <c r="AN9" s="29"/>
      <c r="AO9" s="29"/>
      <c r="AP9" s="29"/>
      <c r="AQ9" s="29"/>
      <c r="AR9" s="29"/>
      <c r="AS9" s="29"/>
      <c r="AT9" s="29"/>
      <c r="AU9" s="29"/>
      <c r="AV9" s="32"/>
      <c r="AX9" s="40"/>
      <c r="BF9" s="41"/>
    </row>
    <row r="10" ht="9.75" customHeight="1">
      <c r="A10" s="127"/>
      <c r="B10" s="183"/>
      <c r="C10" s="183"/>
      <c r="D10" s="183"/>
      <c r="E10" s="183"/>
      <c r="F10" s="183"/>
      <c r="G10" s="183"/>
      <c r="H10" s="48" t="s">
        <v>142</v>
      </c>
      <c r="J10" s="49"/>
      <c r="K10" s="48" t="s">
        <v>176</v>
      </c>
      <c r="L10" s="49"/>
      <c r="M10" s="48" t="s">
        <v>146</v>
      </c>
      <c r="N10" s="48" t="s">
        <v>126</v>
      </c>
      <c r="O10" s="48" t="s">
        <v>127</v>
      </c>
      <c r="P10" s="48" t="s">
        <v>128</v>
      </c>
      <c r="Q10" s="48" t="s">
        <v>57</v>
      </c>
      <c r="R10" s="186"/>
      <c r="S10" s="48" t="s">
        <v>35</v>
      </c>
      <c r="T10" s="49"/>
      <c r="U10" s="48"/>
      <c r="W10" s="48" t="s">
        <v>148</v>
      </c>
      <c r="Y10" s="48" t="s">
        <v>149</v>
      </c>
      <c r="AM10" s="48" t="s">
        <v>150</v>
      </c>
      <c r="AX10" s="40"/>
      <c r="BF10" s="41"/>
    </row>
    <row r="11" ht="15.75" customHeight="1">
      <c r="A11" s="10"/>
      <c r="B11" s="170"/>
      <c r="C11" s="171" t="s">
        <v>193</v>
      </c>
      <c r="H11" s="103" t="str">
        <f>MODIFIER(K11+M11+S11+W11)</f>
        <v>+0</v>
      </c>
      <c r="J11" s="104" t="s">
        <v>62</v>
      </c>
      <c r="K11" s="99">
        <f>vlookup(K10,Data!$B$14:$C$19,2,0)</f>
        <v>0</v>
      </c>
      <c r="L11" s="104" t="s">
        <v>106</v>
      </c>
      <c r="M11" s="99">
        <f>if(Q11,8+Level,if(P11,6+Level,if(O11,4+Level,if(N11,2+Level,IF('Character Sheet'!$BA$18,IF(Level&gt;= 7, Level, ROUNDDOWN(Level/2,0)),0)))))</f>
        <v>0</v>
      </c>
      <c r="N11" s="176" t="b">
        <v>0</v>
      </c>
      <c r="O11" s="153" t="b">
        <v>0</v>
      </c>
      <c r="P11" s="153" t="b">
        <v>0</v>
      </c>
      <c r="Q11" s="153" t="b">
        <v>0</v>
      </c>
      <c r="R11" s="178" t="s">
        <v>106</v>
      </c>
      <c r="S11" s="63">
        <v>0.0</v>
      </c>
      <c r="T11" s="192"/>
      <c r="U11" s="104" t="s">
        <v>106</v>
      </c>
      <c r="V11" s="192"/>
      <c r="W11" s="63">
        <v>0.0</v>
      </c>
      <c r="Y11" s="180"/>
      <c r="Z11" s="29"/>
      <c r="AA11" s="29"/>
      <c r="AB11" s="29"/>
      <c r="AC11" s="29"/>
      <c r="AD11" s="29"/>
      <c r="AE11" s="29"/>
      <c r="AF11" s="29"/>
      <c r="AG11" s="29"/>
      <c r="AH11" s="29"/>
      <c r="AI11" s="29"/>
      <c r="AJ11" s="29"/>
      <c r="AK11" s="32"/>
      <c r="AM11" s="180"/>
      <c r="AN11" s="29"/>
      <c r="AO11" s="29"/>
      <c r="AP11" s="29"/>
      <c r="AQ11" s="29"/>
      <c r="AR11" s="29"/>
      <c r="AS11" s="29"/>
      <c r="AT11" s="29"/>
      <c r="AU11" s="29"/>
      <c r="AV11" s="32"/>
      <c r="AX11" s="40"/>
      <c r="BF11" s="41"/>
    </row>
    <row r="12" ht="9.75" customHeight="1">
      <c r="A12" s="49"/>
      <c r="B12" s="215"/>
      <c r="C12" s="183"/>
      <c r="D12" s="183"/>
      <c r="E12" s="183"/>
      <c r="F12" s="183"/>
      <c r="G12" s="183"/>
      <c r="H12" s="48" t="s">
        <v>142</v>
      </c>
      <c r="J12" s="49"/>
      <c r="K12" s="48" t="s">
        <v>199</v>
      </c>
      <c r="L12" s="49"/>
      <c r="M12" s="48" t="s">
        <v>146</v>
      </c>
      <c r="N12" s="48" t="s">
        <v>126</v>
      </c>
      <c r="O12" s="48" t="s">
        <v>127</v>
      </c>
      <c r="P12" s="48" t="s">
        <v>128</v>
      </c>
      <c r="Q12" s="48" t="s">
        <v>57</v>
      </c>
      <c r="R12" s="186"/>
      <c r="S12" s="48" t="s">
        <v>35</v>
      </c>
      <c r="T12" s="49"/>
      <c r="U12" s="48"/>
      <c r="W12" s="48" t="s">
        <v>148</v>
      </c>
      <c r="Y12" s="48" t="s">
        <v>149</v>
      </c>
      <c r="AM12" s="48" t="s">
        <v>150</v>
      </c>
      <c r="AX12" s="40"/>
      <c r="BF12" s="41"/>
    </row>
    <row r="13" ht="15.75" customHeight="1">
      <c r="A13" s="10"/>
      <c r="B13" s="218"/>
      <c r="C13" s="171" t="s">
        <v>202</v>
      </c>
      <c r="H13" s="103" t="str">
        <f>MODIFIER(K13+M13+S13+W13)</f>
        <v>+0</v>
      </c>
      <c r="J13" s="104" t="s">
        <v>62</v>
      </c>
      <c r="K13" s="99">
        <f>vlookup(K12,Data!$B$14:$C$19,2,0)</f>
        <v>0</v>
      </c>
      <c r="L13" s="104" t="s">
        <v>106</v>
      </c>
      <c r="M13" s="99">
        <f>if(Q13,8+Level,if(P13,6+Level,if(O13,4+Level,if(N13,2+Level,IF('Character Sheet'!$BA$18,IF(Level&gt;= 7, Level, ROUNDDOWN(Level/2,0)),0)))))</f>
        <v>0</v>
      </c>
      <c r="N13" s="176" t="b">
        <v>0</v>
      </c>
      <c r="O13" s="153" t="b">
        <v>0</v>
      </c>
      <c r="P13" s="153" t="b">
        <v>0</v>
      </c>
      <c r="Q13" s="153" t="b">
        <v>0</v>
      </c>
      <c r="R13" s="178" t="s">
        <v>106</v>
      </c>
      <c r="S13" s="63">
        <v>0.0</v>
      </c>
      <c r="T13" s="192"/>
      <c r="U13" s="104" t="s">
        <v>106</v>
      </c>
      <c r="V13" s="192"/>
      <c r="W13" s="63">
        <v>0.0</v>
      </c>
      <c r="Y13" s="180"/>
      <c r="Z13" s="29"/>
      <c r="AA13" s="29"/>
      <c r="AB13" s="29"/>
      <c r="AC13" s="29"/>
      <c r="AD13" s="29"/>
      <c r="AE13" s="29"/>
      <c r="AF13" s="29"/>
      <c r="AG13" s="29"/>
      <c r="AH13" s="29"/>
      <c r="AI13" s="29"/>
      <c r="AJ13" s="29"/>
      <c r="AK13" s="32"/>
      <c r="AM13" s="180"/>
      <c r="AN13" s="29"/>
      <c r="AO13" s="29"/>
      <c r="AP13" s="29"/>
      <c r="AQ13" s="29"/>
      <c r="AR13" s="29"/>
      <c r="AS13" s="29"/>
      <c r="AT13" s="29"/>
      <c r="AU13" s="29"/>
      <c r="AV13" s="32"/>
      <c r="AX13" s="40"/>
      <c r="BF13" s="41"/>
    </row>
    <row r="14" ht="9.75" customHeight="1">
      <c r="A14" s="127"/>
      <c r="B14" s="227"/>
      <c r="C14" s="183"/>
      <c r="D14" s="183"/>
      <c r="E14" s="183"/>
      <c r="F14" s="183"/>
      <c r="G14" s="183"/>
      <c r="H14" s="48" t="s">
        <v>142</v>
      </c>
      <c r="J14" s="49"/>
      <c r="K14" s="48" t="s">
        <v>199</v>
      </c>
      <c r="L14" s="49"/>
      <c r="M14" s="48" t="s">
        <v>146</v>
      </c>
      <c r="N14" s="48" t="s">
        <v>126</v>
      </c>
      <c r="O14" s="48" t="s">
        <v>127</v>
      </c>
      <c r="P14" s="48" t="s">
        <v>128</v>
      </c>
      <c r="Q14" s="48" t="s">
        <v>57</v>
      </c>
      <c r="R14" s="186"/>
      <c r="S14" s="48" t="s">
        <v>35</v>
      </c>
      <c r="T14" s="49"/>
      <c r="U14" s="48"/>
      <c r="W14" s="48" t="s">
        <v>148</v>
      </c>
      <c r="Y14" s="48" t="s">
        <v>149</v>
      </c>
      <c r="AM14" s="48" t="s">
        <v>150</v>
      </c>
      <c r="AX14" s="40"/>
      <c r="BF14" s="41"/>
    </row>
    <row r="15" ht="15.75" customHeight="1">
      <c r="A15" s="10"/>
      <c r="B15" s="228"/>
      <c r="C15" s="171" t="s">
        <v>210</v>
      </c>
      <c r="H15" s="103" t="str">
        <f>MODIFIER(K15+M15+S15+W15)</f>
        <v>+0</v>
      </c>
      <c r="J15" s="104" t="s">
        <v>62</v>
      </c>
      <c r="K15" s="99">
        <f>vlookup(K14,Data!$B$14:$C$19,2,0)</f>
        <v>0</v>
      </c>
      <c r="L15" s="104" t="s">
        <v>106</v>
      </c>
      <c r="M15" s="99">
        <f>if(Q15,8+Level,if(P15,6+Level,if(O15,4+Level,if(N15,2+Level,IF('Character Sheet'!$BA$18,IF(Level&gt;= 7, Level, ROUNDDOWN(Level/2,0)),0)))))</f>
        <v>0</v>
      </c>
      <c r="N15" s="176" t="b">
        <v>0</v>
      </c>
      <c r="O15" s="153" t="b">
        <v>0</v>
      </c>
      <c r="P15" s="153" t="b">
        <v>0</v>
      </c>
      <c r="Q15" s="153" t="b">
        <v>0</v>
      </c>
      <c r="R15" s="178" t="s">
        <v>106</v>
      </c>
      <c r="S15" s="63">
        <v>0.0</v>
      </c>
      <c r="T15" s="192"/>
      <c r="U15" s="104" t="s">
        <v>106</v>
      </c>
      <c r="V15" s="192"/>
      <c r="W15" s="63">
        <v>0.0</v>
      </c>
      <c r="Y15" s="180"/>
      <c r="Z15" s="29"/>
      <c r="AA15" s="29"/>
      <c r="AB15" s="29"/>
      <c r="AC15" s="29"/>
      <c r="AD15" s="29"/>
      <c r="AE15" s="29"/>
      <c r="AF15" s="29"/>
      <c r="AG15" s="29"/>
      <c r="AH15" s="29"/>
      <c r="AI15" s="29"/>
      <c r="AJ15" s="29"/>
      <c r="AK15" s="32"/>
      <c r="AM15" s="180"/>
      <c r="AN15" s="29"/>
      <c r="AO15" s="29"/>
      <c r="AP15" s="29"/>
      <c r="AQ15" s="29"/>
      <c r="AR15" s="29"/>
      <c r="AS15" s="29"/>
      <c r="AT15" s="29"/>
      <c r="AU15" s="29"/>
      <c r="AV15" s="32"/>
      <c r="AX15" s="40"/>
      <c r="BF15" s="41"/>
    </row>
    <row r="16" ht="9.75" customHeight="1">
      <c r="A16" s="127"/>
      <c r="B16" s="234"/>
      <c r="C16" s="183"/>
      <c r="D16" s="183"/>
      <c r="E16" s="183"/>
      <c r="F16" s="183"/>
      <c r="G16" s="183"/>
      <c r="H16" s="48" t="s">
        <v>142</v>
      </c>
      <c r="J16" s="49"/>
      <c r="K16" s="48" t="s">
        <v>199</v>
      </c>
      <c r="L16" s="49"/>
      <c r="M16" s="48" t="s">
        <v>146</v>
      </c>
      <c r="N16" s="48" t="s">
        <v>126</v>
      </c>
      <c r="O16" s="48" t="s">
        <v>127</v>
      </c>
      <c r="P16" s="48" t="s">
        <v>128</v>
      </c>
      <c r="Q16" s="48" t="s">
        <v>57</v>
      </c>
      <c r="R16" s="186"/>
      <c r="S16" s="48" t="s">
        <v>35</v>
      </c>
      <c r="T16" s="49"/>
      <c r="U16" s="48"/>
      <c r="W16" s="48" t="s">
        <v>148</v>
      </c>
      <c r="Y16" s="48" t="s">
        <v>149</v>
      </c>
      <c r="AM16" s="48" t="s">
        <v>150</v>
      </c>
      <c r="AX16" s="40"/>
      <c r="BF16" s="41"/>
    </row>
    <row r="17" ht="15.75" customHeight="1">
      <c r="A17" s="10"/>
      <c r="B17" s="170"/>
      <c r="C17" s="171" t="s">
        <v>213</v>
      </c>
      <c r="H17" s="103" t="str">
        <f>MODIFIER(K17+M17+S17+W17)</f>
        <v>+0</v>
      </c>
      <c r="J17" s="104" t="s">
        <v>62</v>
      </c>
      <c r="K17" s="99">
        <f>vlookup(K16,Data!$B$14:$C$19,2,0)</f>
        <v>0</v>
      </c>
      <c r="L17" s="104" t="s">
        <v>106</v>
      </c>
      <c r="M17" s="99">
        <f>if(Q17,8+Level,if(P17,6+Level,if(O17,4+Level,if(N17,2+Level,IF('Character Sheet'!$BA$18,IF(Level&gt;= 7, Level, ROUNDDOWN(Level/2,0)),0)))))</f>
        <v>0</v>
      </c>
      <c r="N17" s="176" t="b">
        <v>0</v>
      </c>
      <c r="O17" s="153" t="b">
        <v>0</v>
      </c>
      <c r="P17" s="153" t="b">
        <v>0</v>
      </c>
      <c r="Q17" s="153" t="b">
        <v>0</v>
      </c>
      <c r="R17" s="178" t="s">
        <v>106</v>
      </c>
      <c r="S17" s="63">
        <v>0.0</v>
      </c>
      <c r="T17" s="192"/>
      <c r="U17" s="104" t="s">
        <v>106</v>
      </c>
      <c r="V17" s="192"/>
      <c r="W17" s="63">
        <v>0.0</v>
      </c>
      <c r="Y17" s="180"/>
      <c r="Z17" s="29"/>
      <c r="AA17" s="29"/>
      <c r="AB17" s="29"/>
      <c r="AC17" s="29"/>
      <c r="AD17" s="29"/>
      <c r="AE17" s="29"/>
      <c r="AF17" s="29"/>
      <c r="AG17" s="29"/>
      <c r="AH17" s="29"/>
      <c r="AI17" s="29"/>
      <c r="AJ17" s="29"/>
      <c r="AK17" s="32"/>
      <c r="AM17" s="180"/>
      <c r="AN17" s="29"/>
      <c r="AO17" s="29"/>
      <c r="AP17" s="29"/>
      <c r="AQ17" s="29"/>
      <c r="AR17" s="29"/>
      <c r="AS17" s="29"/>
      <c r="AT17" s="29"/>
      <c r="AU17" s="29"/>
      <c r="AV17" s="32"/>
      <c r="AX17" s="40"/>
      <c r="BF17" s="41"/>
    </row>
    <row r="18" ht="9.75" customHeight="1">
      <c r="A18" s="49"/>
      <c r="B18" s="215"/>
      <c r="C18" s="183"/>
      <c r="D18" s="183"/>
      <c r="E18" s="183"/>
      <c r="F18" s="183"/>
      <c r="G18" s="183"/>
      <c r="H18" s="48" t="s">
        <v>142</v>
      </c>
      <c r="J18" s="49"/>
      <c r="K18" s="48" t="s">
        <v>176</v>
      </c>
      <c r="L18" s="49"/>
      <c r="M18" s="48" t="s">
        <v>146</v>
      </c>
      <c r="N18" s="48" t="s">
        <v>126</v>
      </c>
      <c r="O18" s="48" t="s">
        <v>127</v>
      </c>
      <c r="P18" s="48" t="s">
        <v>128</v>
      </c>
      <c r="Q18" s="48" t="s">
        <v>57</v>
      </c>
      <c r="R18" s="186"/>
      <c r="S18" s="48" t="s">
        <v>35</v>
      </c>
      <c r="T18" s="49"/>
      <c r="U18" s="48"/>
      <c r="W18" s="48" t="s">
        <v>148</v>
      </c>
      <c r="Y18" s="48" t="s">
        <v>149</v>
      </c>
      <c r="AM18" s="48" t="s">
        <v>150</v>
      </c>
      <c r="AX18" s="40"/>
      <c r="BF18" s="41"/>
    </row>
    <row r="19" ht="15.75" customHeight="1">
      <c r="A19" s="10"/>
      <c r="B19" s="239"/>
      <c r="C19" s="43"/>
      <c r="D19" s="43"/>
      <c r="E19" s="43"/>
      <c r="F19" s="240" t="s">
        <v>217</v>
      </c>
      <c r="H19" s="103" t="str">
        <f>MODIFIER(K19+M19+S19+W19)</f>
        <v>+0</v>
      </c>
      <c r="J19" s="104" t="s">
        <v>62</v>
      </c>
      <c r="K19" s="99">
        <f>vlookup(K18,Data!$B$14:$C$19,2,0)</f>
        <v>0</v>
      </c>
      <c r="L19" s="104" t="s">
        <v>106</v>
      </c>
      <c r="M19" s="99">
        <f>if(Q19,8+Level,if(P19,6+Level,if(O19,4+Level,if(N19,2+Level,IF('Character Sheet'!$BA$18,IF(Level&gt;= 7, Level, ROUNDDOWN(Level/2,0)),0)))))</f>
        <v>0</v>
      </c>
      <c r="N19" s="176" t="b">
        <v>0</v>
      </c>
      <c r="O19" s="153" t="b">
        <v>0</v>
      </c>
      <c r="P19" s="153" t="b">
        <v>0</v>
      </c>
      <c r="Q19" s="153" t="b">
        <v>0</v>
      </c>
      <c r="R19" s="178" t="s">
        <v>106</v>
      </c>
      <c r="S19" s="63">
        <v>0.0</v>
      </c>
      <c r="T19" s="192"/>
      <c r="U19" s="104" t="s">
        <v>106</v>
      </c>
      <c r="V19" s="192"/>
      <c r="W19" s="63">
        <v>0.0</v>
      </c>
      <c r="Y19" s="180"/>
      <c r="Z19" s="29"/>
      <c r="AA19" s="29"/>
      <c r="AB19" s="29"/>
      <c r="AC19" s="29"/>
      <c r="AD19" s="29"/>
      <c r="AE19" s="29"/>
      <c r="AF19" s="29"/>
      <c r="AG19" s="29"/>
      <c r="AH19" s="29"/>
      <c r="AI19" s="29"/>
      <c r="AJ19" s="29"/>
      <c r="AK19" s="32"/>
      <c r="AM19" s="180"/>
      <c r="AN19" s="29"/>
      <c r="AO19" s="29"/>
      <c r="AP19" s="29"/>
      <c r="AQ19" s="29"/>
      <c r="AR19" s="29"/>
      <c r="AS19" s="29"/>
      <c r="AT19" s="29"/>
      <c r="AU19" s="29"/>
      <c r="AV19" s="32"/>
      <c r="AX19" s="42"/>
      <c r="AY19" s="43"/>
      <c r="AZ19" s="43"/>
      <c r="BA19" s="43"/>
      <c r="BB19" s="43"/>
      <c r="BC19" s="43"/>
      <c r="BD19" s="43"/>
      <c r="BE19" s="43"/>
      <c r="BF19" s="44"/>
    </row>
    <row r="20" ht="9.75" customHeight="1">
      <c r="A20" s="49"/>
      <c r="B20" s="245"/>
      <c r="C20" s="245"/>
      <c r="D20" s="245"/>
      <c r="E20" s="245"/>
      <c r="F20" s="246"/>
      <c r="G20" s="246"/>
      <c r="H20" s="48" t="s">
        <v>142</v>
      </c>
      <c r="J20" s="49"/>
      <c r="K20" s="48" t="s">
        <v>176</v>
      </c>
      <c r="L20" s="49"/>
      <c r="M20" s="48" t="s">
        <v>146</v>
      </c>
      <c r="N20" s="48" t="s">
        <v>126</v>
      </c>
      <c r="O20" s="48" t="s">
        <v>127</v>
      </c>
      <c r="P20" s="48" t="s">
        <v>128</v>
      </c>
      <c r="Q20" s="48" t="s">
        <v>57</v>
      </c>
      <c r="R20" s="186"/>
      <c r="S20" s="48" t="s">
        <v>35</v>
      </c>
      <c r="T20" s="49"/>
      <c r="U20" s="48"/>
      <c r="W20" s="48" t="s">
        <v>148</v>
      </c>
      <c r="Y20" s="48" t="s">
        <v>149</v>
      </c>
      <c r="AM20" s="48" t="s">
        <v>150</v>
      </c>
    </row>
    <row r="21" ht="15.75" customHeight="1">
      <c r="A21" s="10"/>
      <c r="B21" s="248"/>
      <c r="C21" s="43"/>
      <c r="D21" s="43"/>
      <c r="E21" s="43"/>
      <c r="F21" s="240" t="s">
        <v>217</v>
      </c>
      <c r="H21" s="103" t="str">
        <f>MODIFIER(K21+M21+S21+W21)</f>
        <v>+0</v>
      </c>
      <c r="J21" s="104" t="s">
        <v>62</v>
      </c>
      <c r="K21" s="99">
        <f>vlookup(K20,Data!$B$14:$C$19,2,0)</f>
        <v>0</v>
      </c>
      <c r="L21" s="104" t="s">
        <v>106</v>
      </c>
      <c r="M21" s="99">
        <f>if(Q21,8+Level,if(P21,6+Level,if(O21,4+Level,if(N21,2+Level,IF('Character Sheet'!$BA$18,IF(Level&gt;= 7, Level, ROUNDDOWN(Level/2,0)),0)))))</f>
        <v>0</v>
      </c>
      <c r="N21" s="176" t="b">
        <v>0</v>
      </c>
      <c r="O21" s="153" t="b">
        <v>0</v>
      </c>
      <c r="P21" s="153" t="b">
        <v>0</v>
      </c>
      <c r="Q21" s="153" t="b">
        <v>0</v>
      </c>
      <c r="R21" s="178" t="s">
        <v>106</v>
      </c>
      <c r="S21" s="63">
        <v>0.0</v>
      </c>
      <c r="T21" s="192"/>
      <c r="U21" s="104" t="s">
        <v>106</v>
      </c>
      <c r="V21" s="192"/>
      <c r="W21" s="63">
        <v>0.0</v>
      </c>
      <c r="Y21" s="180"/>
      <c r="Z21" s="29"/>
      <c r="AA21" s="29"/>
      <c r="AB21" s="29"/>
      <c r="AC21" s="29"/>
      <c r="AD21" s="29"/>
      <c r="AE21" s="29"/>
      <c r="AF21" s="29"/>
      <c r="AG21" s="29"/>
      <c r="AH21" s="29"/>
      <c r="AI21" s="29"/>
      <c r="AJ21" s="29"/>
      <c r="AK21" s="32"/>
      <c r="AM21" s="180"/>
      <c r="AN21" s="29"/>
      <c r="AO21" s="29"/>
      <c r="AP21" s="29"/>
      <c r="AQ21" s="29"/>
      <c r="AR21" s="29"/>
      <c r="AS21" s="29"/>
      <c r="AT21" s="29"/>
      <c r="AU21" s="29"/>
      <c r="AV21" s="32"/>
      <c r="AX21" s="257" t="s">
        <v>225</v>
      </c>
      <c r="AY21" s="29"/>
      <c r="AZ21" s="29"/>
      <c r="BA21" s="29"/>
      <c r="BB21" s="29"/>
      <c r="BC21" s="29"/>
      <c r="BD21" s="29"/>
      <c r="BE21" s="29"/>
      <c r="BF21" s="32"/>
    </row>
    <row r="22" ht="9.75" customHeight="1">
      <c r="A22" s="127"/>
      <c r="B22" s="245"/>
      <c r="C22" s="245"/>
      <c r="D22" s="245"/>
      <c r="E22" s="245"/>
      <c r="F22" s="246"/>
      <c r="G22" s="246"/>
      <c r="H22" s="48" t="s">
        <v>142</v>
      </c>
      <c r="J22" s="49"/>
      <c r="K22" s="48" t="s">
        <v>176</v>
      </c>
      <c r="L22" s="49"/>
      <c r="M22" s="48" t="s">
        <v>146</v>
      </c>
      <c r="N22" s="48" t="s">
        <v>126</v>
      </c>
      <c r="O22" s="48" t="s">
        <v>127</v>
      </c>
      <c r="P22" s="48" t="s">
        <v>128</v>
      </c>
      <c r="Q22" s="48" t="s">
        <v>57</v>
      </c>
      <c r="R22" s="186"/>
      <c r="S22" s="48" t="s">
        <v>35</v>
      </c>
      <c r="T22" s="49"/>
      <c r="U22" s="48"/>
      <c r="W22" s="48" t="s">
        <v>148</v>
      </c>
      <c r="Y22" s="48" t="s">
        <v>149</v>
      </c>
      <c r="AM22" s="48" t="s">
        <v>150</v>
      </c>
      <c r="AW22" s="49"/>
    </row>
    <row r="23" ht="15.75" customHeight="1">
      <c r="A23" s="10"/>
      <c r="B23" s="248"/>
      <c r="C23" s="43"/>
      <c r="D23" s="43"/>
      <c r="E23" s="43"/>
      <c r="F23" s="240" t="s">
        <v>217</v>
      </c>
      <c r="H23" s="103" t="str">
        <f>MODIFIER(K23+M23+S23+W23)</f>
        <v>+0</v>
      </c>
      <c r="J23" s="104" t="s">
        <v>62</v>
      </c>
      <c r="K23" s="99">
        <f>vlookup(K22,Data!$B$14:$C$19,2,0)</f>
        <v>0</v>
      </c>
      <c r="L23" s="104" t="s">
        <v>106</v>
      </c>
      <c r="M23" s="99">
        <f>if(Q23,8+Level,if(P23,6+Level,if(O23,4+Level,if(N23,2+Level,IF('Character Sheet'!$BA$18,IF(Level&gt;= 7, Level, ROUNDDOWN(Level/2,0)),0)))))</f>
        <v>0</v>
      </c>
      <c r="N23" s="176" t="b">
        <v>0</v>
      </c>
      <c r="O23" s="153" t="b">
        <v>0</v>
      </c>
      <c r="P23" s="153" t="b">
        <v>0</v>
      </c>
      <c r="Q23" s="153" t="b">
        <v>0</v>
      </c>
      <c r="R23" s="178" t="s">
        <v>106</v>
      </c>
      <c r="S23" s="63">
        <v>0.0</v>
      </c>
      <c r="T23" s="192"/>
      <c r="U23" s="104" t="s">
        <v>106</v>
      </c>
      <c r="V23" s="192"/>
      <c r="W23" s="63">
        <v>0.0</v>
      </c>
      <c r="Y23" s="180"/>
      <c r="Z23" s="29"/>
      <c r="AA23" s="29"/>
      <c r="AB23" s="29"/>
      <c r="AC23" s="29"/>
      <c r="AD23" s="29"/>
      <c r="AE23" s="29"/>
      <c r="AF23" s="29"/>
      <c r="AG23" s="29"/>
      <c r="AH23" s="29"/>
      <c r="AI23" s="29"/>
      <c r="AJ23" s="29"/>
      <c r="AK23" s="32"/>
      <c r="AM23" s="180"/>
      <c r="AN23" s="29"/>
      <c r="AO23" s="29"/>
      <c r="AP23" s="29"/>
      <c r="AQ23" s="29"/>
      <c r="AR23" s="29"/>
      <c r="AS23" s="29"/>
      <c r="AT23" s="29"/>
      <c r="AU23" s="29"/>
      <c r="AV23" s="32"/>
    </row>
    <row r="24" ht="9.75" customHeight="1">
      <c r="A24" s="127"/>
      <c r="B24" s="245"/>
      <c r="C24" s="245"/>
      <c r="D24" s="245"/>
      <c r="E24" s="245"/>
      <c r="F24" s="246"/>
      <c r="G24" s="246"/>
      <c r="H24" s="48" t="s">
        <v>142</v>
      </c>
      <c r="J24" s="49"/>
      <c r="K24" s="48" t="s">
        <v>176</v>
      </c>
      <c r="L24" s="49"/>
      <c r="M24" s="48" t="s">
        <v>146</v>
      </c>
      <c r="N24" s="48" t="s">
        <v>126</v>
      </c>
      <c r="O24" s="48" t="s">
        <v>127</v>
      </c>
      <c r="P24" s="48" t="s">
        <v>128</v>
      </c>
      <c r="Q24" s="48" t="s">
        <v>57</v>
      </c>
      <c r="R24" s="186"/>
      <c r="S24" s="48" t="s">
        <v>35</v>
      </c>
      <c r="T24" s="49"/>
      <c r="U24" s="48"/>
      <c r="W24" s="48" t="s">
        <v>148</v>
      </c>
      <c r="Y24" s="48" t="s">
        <v>149</v>
      </c>
      <c r="AM24" s="48" t="s">
        <v>150</v>
      </c>
    </row>
    <row r="25" ht="14.25" customHeight="1">
      <c r="A25" s="127"/>
      <c r="B25" s="248"/>
      <c r="C25" s="43"/>
      <c r="D25" s="43"/>
      <c r="E25" s="43"/>
      <c r="F25" s="240" t="s">
        <v>217</v>
      </c>
      <c r="H25" s="103" t="str">
        <f>MODIFIER(K25+M25+S25+W25)</f>
        <v>+0</v>
      </c>
      <c r="J25" s="104" t="s">
        <v>62</v>
      </c>
      <c r="K25" s="99">
        <f>vlookup(K24,Data!$B$14:$C$19,2,0)</f>
        <v>0</v>
      </c>
      <c r="L25" s="104" t="s">
        <v>106</v>
      </c>
      <c r="M25" s="99">
        <f>if(Q25,8+Level,if(P25,6+Level,if(O25,4+Level,if(N25,2+Level,IF('Character Sheet'!$BA$18,IF(Level&gt;= 7, Level, ROUNDDOWN(Level/2,0)),0)))))</f>
        <v>0</v>
      </c>
      <c r="N25" s="176" t="b">
        <v>0</v>
      </c>
      <c r="O25" s="153" t="b">
        <v>0</v>
      </c>
      <c r="P25" s="153" t="b">
        <v>0</v>
      </c>
      <c r="Q25" s="153" t="b">
        <v>0</v>
      </c>
      <c r="R25" s="178" t="s">
        <v>106</v>
      </c>
      <c r="S25" s="63">
        <v>0.0</v>
      </c>
      <c r="T25" s="192"/>
      <c r="U25" s="104" t="s">
        <v>106</v>
      </c>
      <c r="V25" s="192"/>
      <c r="W25" s="63">
        <v>0.0</v>
      </c>
      <c r="Y25" s="180"/>
      <c r="Z25" s="29"/>
      <c r="AA25" s="29"/>
      <c r="AB25" s="29"/>
      <c r="AC25" s="29"/>
      <c r="AD25" s="29"/>
      <c r="AE25" s="29"/>
      <c r="AF25" s="29"/>
      <c r="AG25" s="29"/>
      <c r="AH25" s="29"/>
      <c r="AI25" s="29"/>
      <c r="AJ25" s="29"/>
      <c r="AK25" s="32"/>
      <c r="AM25" s="180"/>
      <c r="AN25" s="29"/>
      <c r="AO25" s="29"/>
      <c r="AP25" s="29"/>
      <c r="AQ25" s="29"/>
      <c r="AR25" s="29"/>
      <c r="AS25" s="29"/>
      <c r="AT25" s="29"/>
      <c r="AU25" s="29"/>
      <c r="AV25" s="32"/>
    </row>
    <row r="26" ht="9.75" customHeight="1">
      <c r="A26" s="127"/>
      <c r="B26" s="183"/>
      <c r="C26" s="183"/>
      <c r="D26" s="183"/>
      <c r="E26" s="183"/>
      <c r="F26" s="183"/>
      <c r="G26" s="183"/>
      <c r="H26" s="48" t="s">
        <v>142</v>
      </c>
      <c r="J26" s="49"/>
      <c r="K26" s="48" t="s">
        <v>59</v>
      </c>
      <c r="L26" s="49"/>
      <c r="M26" s="48" t="s">
        <v>146</v>
      </c>
      <c r="N26" s="48" t="s">
        <v>126</v>
      </c>
      <c r="O26" s="48" t="s">
        <v>127</v>
      </c>
      <c r="P26" s="48" t="s">
        <v>128</v>
      </c>
      <c r="Q26" s="48" t="s">
        <v>57</v>
      </c>
      <c r="R26" s="186"/>
      <c r="S26" s="48" t="s">
        <v>35</v>
      </c>
      <c r="T26" s="49"/>
      <c r="U26" s="48"/>
      <c r="W26" s="48" t="s">
        <v>148</v>
      </c>
      <c r="Y26" s="48" t="s">
        <v>149</v>
      </c>
      <c r="AM26" s="48" t="s">
        <v>150</v>
      </c>
    </row>
    <row r="27" ht="15.75" customHeight="1">
      <c r="A27" s="10"/>
      <c r="B27" s="170"/>
      <c r="C27" s="171" t="s">
        <v>237</v>
      </c>
      <c r="H27" s="103" t="str">
        <f>MODIFIER(K27+M27+S27+W27)</f>
        <v>+0</v>
      </c>
      <c r="J27" s="104" t="s">
        <v>62</v>
      </c>
      <c r="K27" s="99">
        <f>vlookup(K26,Data!$B$14:$C$19,2,0)</f>
        <v>0</v>
      </c>
      <c r="L27" s="104" t="s">
        <v>106</v>
      </c>
      <c r="M27" s="99">
        <f>if(Q27,8+Level,if(P27,6+Level,if(O27,4+Level,if(N27,2+Level,IF('Character Sheet'!$BA$18,IF(Level&gt;= 7, Level, ROUNDDOWN(Level/2,0)),0)))))</f>
        <v>0</v>
      </c>
      <c r="N27" s="176" t="b">
        <v>0</v>
      </c>
      <c r="O27" s="153" t="b">
        <v>0</v>
      </c>
      <c r="P27" s="153" t="b">
        <v>0</v>
      </c>
      <c r="Q27" s="153" t="b">
        <v>0</v>
      </c>
      <c r="R27" s="178" t="s">
        <v>106</v>
      </c>
      <c r="S27" s="63">
        <v>0.0</v>
      </c>
      <c r="T27" s="192"/>
      <c r="U27" s="104" t="s">
        <v>106</v>
      </c>
      <c r="V27" s="192"/>
      <c r="W27" s="63">
        <v>0.0</v>
      </c>
      <c r="Y27" s="180"/>
      <c r="Z27" s="29"/>
      <c r="AA27" s="29"/>
      <c r="AB27" s="29"/>
      <c r="AC27" s="29"/>
      <c r="AD27" s="29"/>
      <c r="AE27" s="29"/>
      <c r="AF27" s="29"/>
      <c r="AG27" s="29"/>
      <c r="AH27" s="29"/>
      <c r="AI27" s="29"/>
      <c r="AJ27" s="29"/>
      <c r="AK27" s="32"/>
      <c r="AM27" s="180"/>
      <c r="AN27" s="29"/>
      <c r="AO27" s="29"/>
      <c r="AP27" s="29"/>
      <c r="AQ27" s="29"/>
      <c r="AR27" s="29"/>
      <c r="AS27" s="29"/>
      <c r="AT27" s="29"/>
      <c r="AU27" s="29"/>
      <c r="AV27" s="32"/>
    </row>
    <row r="28" ht="9.75" customHeight="1">
      <c r="A28" s="127"/>
      <c r="B28" s="183"/>
      <c r="C28" s="183"/>
      <c r="D28" s="183"/>
      <c r="E28" s="183"/>
      <c r="F28" s="183"/>
      <c r="G28" s="183"/>
      <c r="H28" s="48" t="s">
        <v>142</v>
      </c>
      <c r="J28" s="49"/>
      <c r="K28" s="48" t="s">
        <v>59</v>
      </c>
      <c r="L28" s="49"/>
      <c r="M28" s="48" t="s">
        <v>146</v>
      </c>
      <c r="N28" s="48" t="s">
        <v>126</v>
      </c>
      <c r="O28" s="48" t="s">
        <v>127</v>
      </c>
      <c r="P28" s="48" t="s">
        <v>128</v>
      </c>
      <c r="Q28" s="48" t="s">
        <v>57</v>
      </c>
      <c r="R28" s="186"/>
      <c r="S28" s="48" t="s">
        <v>35</v>
      </c>
      <c r="T28" s="49"/>
      <c r="U28" s="48"/>
      <c r="W28" s="48" t="s">
        <v>148</v>
      </c>
      <c r="Y28" s="48" t="s">
        <v>149</v>
      </c>
      <c r="AM28" s="48" t="s">
        <v>150</v>
      </c>
    </row>
    <row r="29" ht="15.75" customHeight="1">
      <c r="A29" s="10"/>
      <c r="B29" s="170"/>
      <c r="C29" s="171" t="s">
        <v>242</v>
      </c>
      <c r="H29" s="103" t="str">
        <f>MODIFIER(K29+M29+S29+W29)</f>
        <v>+0</v>
      </c>
      <c r="J29" s="104" t="s">
        <v>62</v>
      </c>
      <c r="K29" s="99">
        <f>vlookup(K28,Data!$B$14:$C$19,2,0)</f>
        <v>0</v>
      </c>
      <c r="L29" s="104" t="s">
        <v>106</v>
      </c>
      <c r="M29" s="99">
        <f>if(Q29,8+Level,if(P29,6+Level,if(O29,4+Level,if(N29,2+Level,IF('Character Sheet'!$BA$18,IF(Level&gt;= 7, Level, ROUNDDOWN(Level/2,0)),0)))))</f>
        <v>0</v>
      </c>
      <c r="N29" s="176" t="b">
        <v>0</v>
      </c>
      <c r="O29" s="153" t="b">
        <v>0</v>
      </c>
      <c r="P29" s="153" t="b">
        <v>0</v>
      </c>
      <c r="Q29" s="153" t="b">
        <v>0</v>
      </c>
      <c r="R29" s="178" t="s">
        <v>106</v>
      </c>
      <c r="S29" s="63">
        <v>0.0</v>
      </c>
      <c r="T29" s="192"/>
      <c r="U29" s="104" t="s">
        <v>106</v>
      </c>
      <c r="V29" s="192"/>
      <c r="W29" s="63">
        <v>0.0</v>
      </c>
      <c r="Y29" s="180"/>
      <c r="Z29" s="29"/>
      <c r="AA29" s="29"/>
      <c r="AB29" s="29"/>
      <c r="AC29" s="29"/>
      <c r="AD29" s="29"/>
      <c r="AE29" s="29"/>
      <c r="AF29" s="29"/>
      <c r="AG29" s="29"/>
      <c r="AH29" s="29"/>
      <c r="AI29" s="29"/>
      <c r="AJ29" s="29"/>
      <c r="AK29" s="32"/>
      <c r="AM29" s="180"/>
      <c r="AN29" s="29"/>
      <c r="AO29" s="29"/>
      <c r="AP29" s="29"/>
      <c r="AQ29" s="29"/>
      <c r="AR29" s="29"/>
      <c r="AS29" s="29"/>
      <c r="AT29" s="29"/>
      <c r="AU29" s="29"/>
      <c r="AV29" s="32"/>
    </row>
    <row r="30" ht="9.75" customHeight="1">
      <c r="A30" s="127"/>
      <c r="B30" s="183"/>
      <c r="C30" s="183"/>
      <c r="D30" s="183"/>
      <c r="E30" s="183"/>
      <c r="F30" s="183"/>
      <c r="G30" s="183"/>
      <c r="H30" s="48" t="s">
        <v>142</v>
      </c>
      <c r="J30" s="49"/>
      <c r="K30" s="48" t="s">
        <v>176</v>
      </c>
      <c r="L30" s="49"/>
      <c r="M30" s="48" t="s">
        <v>146</v>
      </c>
      <c r="N30" s="48" t="s">
        <v>126</v>
      </c>
      <c r="O30" s="48" t="s">
        <v>127</v>
      </c>
      <c r="P30" s="48" t="s">
        <v>128</v>
      </c>
      <c r="Q30" s="48" t="s">
        <v>57</v>
      </c>
      <c r="R30" s="186"/>
      <c r="S30" s="48" t="s">
        <v>35</v>
      </c>
      <c r="T30" s="49"/>
      <c r="U30" s="48"/>
      <c r="W30" s="48" t="s">
        <v>148</v>
      </c>
      <c r="Y30" s="48" t="s">
        <v>149</v>
      </c>
      <c r="AM30" s="48" t="s">
        <v>150</v>
      </c>
    </row>
    <row r="31" ht="15.75" customHeight="1">
      <c r="A31" s="10"/>
      <c r="B31" s="188"/>
      <c r="C31" s="171" t="s">
        <v>244</v>
      </c>
      <c r="H31" s="103" t="str">
        <f>MODIFIER(K31+M31+S31+W31)</f>
        <v>+0</v>
      </c>
      <c r="J31" s="104" t="s">
        <v>62</v>
      </c>
      <c r="K31" s="99">
        <f>vlookup(K30,Data!$B$14:$C$19,2,0)</f>
        <v>0</v>
      </c>
      <c r="L31" s="104" t="s">
        <v>106</v>
      </c>
      <c r="M31" s="99">
        <f>if(Q31,8+Level,if(P31,6+Level,if(O31,4+Level,if(N31,2+Level,IF('Character Sheet'!$BA$18,IF(Level&gt;= 7, Level, ROUNDDOWN(Level/2,0)),0)))))</f>
        <v>0</v>
      </c>
      <c r="N31" s="176" t="b">
        <v>0</v>
      </c>
      <c r="O31" s="153" t="b">
        <v>0</v>
      </c>
      <c r="P31" s="153" t="b">
        <v>0</v>
      </c>
      <c r="Q31" s="153" t="b">
        <v>0</v>
      </c>
      <c r="R31" s="178" t="s">
        <v>106</v>
      </c>
      <c r="S31" s="63">
        <v>0.0</v>
      </c>
      <c r="T31" s="192"/>
      <c r="U31" s="104" t="s">
        <v>106</v>
      </c>
      <c r="V31" s="192"/>
      <c r="W31" s="63">
        <v>0.0</v>
      </c>
      <c r="Y31" s="180"/>
      <c r="Z31" s="29"/>
      <c r="AA31" s="29"/>
      <c r="AB31" s="29"/>
      <c r="AC31" s="29"/>
      <c r="AD31" s="29"/>
      <c r="AE31" s="29"/>
      <c r="AF31" s="29"/>
      <c r="AG31" s="29"/>
      <c r="AH31" s="29"/>
      <c r="AI31" s="29"/>
      <c r="AJ31" s="29"/>
      <c r="AK31" s="32"/>
      <c r="AM31" s="180"/>
      <c r="AN31" s="29"/>
      <c r="AO31" s="29"/>
      <c r="AP31" s="29"/>
      <c r="AQ31" s="29"/>
      <c r="AR31" s="29"/>
      <c r="AS31" s="29"/>
      <c r="AT31" s="29"/>
      <c r="AU31" s="29"/>
      <c r="AV31" s="32"/>
    </row>
    <row r="32" ht="9.75" customHeight="1">
      <c r="A32" s="127"/>
      <c r="B32" s="183"/>
      <c r="C32" s="183"/>
      <c r="D32" s="183"/>
      <c r="E32" s="183"/>
      <c r="F32" s="183"/>
      <c r="G32" s="183"/>
      <c r="H32" s="48" t="s">
        <v>142</v>
      </c>
      <c r="J32" s="49"/>
      <c r="K32" s="48" t="s">
        <v>199</v>
      </c>
      <c r="L32" s="49"/>
      <c r="M32" s="48" t="s">
        <v>146</v>
      </c>
      <c r="N32" s="48" t="s">
        <v>126</v>
      </c>
      <c r="O32" s="48" t="s">
        <v>127</v>
      </c>
      <c r="P32" s="48" t="s">
        <v>128</v>
      </c>
      <c r="Q32" s="48" t="s">
        <v>57</v>
      </c>
      <c r="R32" s="186"/>
      <c r="S32" s="48" t="s">
        <v>35</v>
      </c>
      <c r="T32" s="49"/>
      <c r="U32" s="48"/>
      <c r="W32" s="48" t="s">
        <v>148</v>
      </c>
      <c r="Y32" s="48" t="s">
        <v>149</v>
      </c>
      <c r="AM32" s="48" t="s">
        <v>150</v>
      </c>
    </row>
    <row r="33" ht="15.75" customHeight="1">
      <c r="A33" s="10"/>
      <c r="B33" s="170"/>
      <c r="C33" s="171" t="s">
        <v>246</v>
      </c>
      <c r="H33" s="103" t="str">
        <f>MODIFIER(K33+M33+S33+W33)</f>
        <v>+0</v>
      </c>
      <c r="J33" s="104" t="s">
        <v>62</v>
      </c>
      <c r="K33" s="99">
        <f>vlookup(K32,Data!$B$14:$C$19,2,0)</f>
        <v>0</v>
      </c>
      <c r="L33" s="104" t="s">
        <v>106</v>
      </c>
      <c r="M33" s="99">
        <f>if(Q33,8+Level,if(P33,6+Level,if(O33,4+Level,if(N33,2+Level,IF('Character Sheet'!$BA$18,IF(Level&gt;= 7, Level, ROUNDDOWN(Level/2,0)),0)))))</f>
        <v>0</v>
      </c>
      <c r="N33" s="176" t="b">
        <v>0</v>
      </c>
      <c r="O33" s="153" t="b">
        <v>0</v>
      </c>
      <c r="P33" s="153" t="b">
        <v>0</v>
      </c>
      <c r="Q33" s="153" t="b">
        <v>0</v>
      </c>
      <c r="R33" s="178" t="s">
        <v>106</v>
      </c>
      <c r="S33" s="63">
        <v>0.0</v>
      </c>
      <c r="T33" s="192"/>
      <c r="U33" s="104" t="s">
        <v>106</v>
      </c>
      <c r="V33" s="192"/>
      <c r="W33" s="63">
        <v>0.0</v>
      </c>
      <c r="Y33" s="180"/>
      <c r="Z33" s="29"/>
      <c r="AA33" s="29"/>
      <c r="AB33" s="29"/>
      <c r="AC33" s="29"/>
      <c r="AD33" s="29"/>
      <c r="AE33" s="29"/>
      <c r="AF33" s="29"/>
      <c r="AG33" s="29"/>
      <c r="AH33" s="29"/>
      <c r="AI33" s="29"/>
      <c r="AJ33" s="29"/>
      <c r="AK33" s="32"/>
      <c r="AM33" s="180"/>
      <c r="AN33" s="29"/>
      <c r="AO33" s="29"/>
      <c r="AP33" s="29"/>
      <c r="AQ33" s="29"/>
      <c r="AR33" s="29"/>
      <c r="AS33" s="29"/>
      <c r="AT33" s="29"/>
      <c r="AU33" s="29"/>
      <c r="AV33" s="32"/>
      <c r="AX33" s="38" t="s">
        <v>248</v>
      </c>
      <c r="AY33" s="29"/>
      <c r="AZ33" s="29"/>
      <c r="BA33" s="29"/>
      <c r="BB33" s="29"/>
      <c r="BC33" s="29"/>
      <c r="BD33" s="29"/>
      <c r="BE33" s="29"/>
      <c r="BF33" s="32"/>
    </row>
    <row r="34" ht="9.75" customHeight="1">
      <c r="A34" s="49"/>
      <c r="B34" s="183"/>
      <c r="C34" s="183"/>
      <c r="D34" s="183"/>
      <c r="E34" s="183"/>
      <c r="F34" s="183"/>
      <c r="G34" s="183"/>
      <c r="H34" s="48" t="s">
        <v>142</v>
      </c>
      <c r="J34" s="49"/>
      <c r="K34" s="48" t="s">
        <v>59</v>
      </c>
      <c r="L34" s="49"/>
      <c r="M34" s="48" t="s">
        <v>146</v>
      </c>
      <c r="N34" s="48" t="s">
        <v>126</v>
      </c>
      <c r="O34" s="48" t="s">
        <v>127</v>
      </c>
      <c r="P34" s="48" t="s">
        <v>128</v>
      </c>
      <c r="Q34" s="48" t="s">
        <v>57</v>
      </c>
      <c r="R34" s="186"/>
      <c r="S34" s="48" t="s">
        <v>35</v>
      </c>
      <c r="T34" s="49"/>
      <c r="U34" s="48"/>
      <c r="W34" s="48" t="s">
        <v>148</v>
      </c>
      <c r="Y34" s="48" t="s">
        <v>149</v>
      </c>
      <c r="AM34" s="48" t="s">
        <v>150</v>
      </c>
      <c r="AX34" s="286" t="s">
        <v>249</v>
      </c>
      <c r="AY34" s="19"/>
      <c r="AZ34" s="19"/>
      <c r="BA34" s="19"/>
      <c r="BB34" s="19"/>
      <c r="BC34" s="19"/>
      <c r="BD34" s="19"/>
      <c r="BE34" s="19"/>
      <c r="BF34" s="21"/>
    </row>
    <row r="35" ht="15.75" customHeight="1">
      <c r="A35" s="10"/>
      <c r="B35" s="170"/>
      <c r="C35" s="171" t="s">
        <v>250</v>
      </c>
      <c r="H35" s="103" t="str">
        <f>MODIFIER(K35+M35+S35+W35)</f>
        <v>+0</v>
      </c>
      <c r="J35" s="104" t="s">
        <v>62</v>
      </c>
      <c r="K35" s="99">
        <f>vlookup(K34,Data!$B$14:$C$19,2,0)</f>
        <v>0</v>
      </c>
      <c r="L35" s="104" t="s">
        <v>106</v>
      </c>
      <c r="M35" s="99">
        <f>if(Q35,8+Level,if(P35,6+Level,if(O35,4+Level,if(N35,2+Level,IF('Character Sheet'!$BA$18,IF(Level&gt;= 7, Level, ROUNDDOWN(Level/2,0)),0)))))</f>
        <v>0</v>
      </c>
      <c r="N35" s="176" t="b">
        <v>0</v>
      </c>
      <c r="O35" s="153" t="b">
        <v>0</v>
      </c>
      <c r="P35" s="153" t="b">
        <v>0</v>
      </c>
      <c r="Q35" s="153" t="b">
        <v>0</v>
      </c>
      <c r="R35" s="178" t="s">
        <v>106</v>
      </c>
      <c r="S35" s="63">
        <v>0.0</v>
      </c>
      <c r="T35" s="192"/>
      <c r="U35" s="104" t="s">
        <v>106</v>
      </c>
      <c r="V35" s="192"/>
      <c r="W35" s="63">
        <v>0.0</v>
      </c>
      <c r="Y35" s="180"/>
      <c r="Z35" s="29"/>
      <c r="AA35" s="29"/>
      <c r="AB35" s="29"/>
      <c r="AC35" s="29"/>
      <c r="AD35" s="29"/>
      <c r="AE35" s="29"/>
      <c r="AF35" s="29"/>
      <c r="AG35" s="29"/>
      <c r="AH35" s="29"/>
      <c r="AI35" s="29"/>
      <c r="AJ35" s="29"/>
      <c r="AK35" s="32"/>
      <c r="AM35" s="180"/>
      <c r="AN35" s="29"/>
      <c r="AO35" s="29"/>
      <c r="AP35" s="29"/>
      <c r="AQ35" s="29"/>
      <c r="AR35" s="29"/>
      <c r="AS35" s="29"/>
      <c r="AT35" s="29"/>
      <c r="AU35" s="29"/>
      <c r="AV35" s="32"/>
      <c r="AX35" s="40"/>
      <c r="BF35" s="41"/>
    </row>
    <row r="36" ht="9.75" customHeight="1">
      <c r="A36" s="127"/>
      <c r="B36" s="215"/>
      <c r="C36" s="183"/>
      <c r="D36" s="183"/>
      <c r="E36" s="183"/>
      <c r="F36" s="183"/>
      <c r="G36" s="183"/>
      <c r="H36" s="48" t="s">
        <v>142</v>
      </c>
      <c r="J36" s="49"/>
      <c r="K36" s="48" t="s">
        <v>176</v>
      </c>
      <c r="L36" s="49"/>
      <c r="M36" s="48" t="s">
        <v>146</v>
      </c>
      <c r="N36" s="48" t="s">
        <v>126</v>
      </c>
      <c r="O36" s="48" t="s">
        <v>127</v>
      </c>
      <c r="P36" s="48" t="s">
        <v>128</v>
      </c>
      <c r="Q36" s="48" t="s">
        <v>57</v>
      </c>
      <c r="R36" s="186"/>
      <c r="S36" s="48" t="s">
        <v>35</v>
      </c>
      <c r="T36" s="49"/>
      <c r="U36" s="48"/>
      <c r="W36" s="48" t="s">
        <v>148</v>
      </c>
      <c r="Y36" s="48" t="s">
        <v>149</v>
      </c>
      <c r="AM36" s="48" t="s">
        <v>150</v>
      </c>
      <c r="AX36" s="40"/>
      <c r="BF36" s="41"/>
    </row>
    <row r="37" ht="15.75" customHeight="1">
      <c r="A37" s="10"/>
      <c r="B37" s="218"/>
      <c r="C37" s="171" t="s">
        <v>252</v>
      </c>
      <c r="H37" s="103" t="str">
        <f>MODIFIER(K37+M37+S37+W37)</f>
        <v>+0</v>
      </c>
      <c r="J37" s="104" t="s">
        <v>62</v>
      </c>
      <c r="K37" s="99">
        <f>vlookup(K36,Data!$B$14:$C$19,2,0)</f>
        <v>0</v>
      </c>
      <c r="L37" s="104" t="s">
        <v>106</v>
      </c>
      <c r="M37" s="99">
        <f>if(Q37,8+Level,if(P37,6+Level,if(O37,4+Level,if(N37,2+Level,IF('Character Sheet'!$BA$18,IF(Level&gt;= 7, Level, ROUNDDOWN(Level/2,0)),0)))))</f>
        <v>0</v>
      </c>
      <c r="N37" s="176" t="b">
        <v>0</v>
      </c>
      <c r="O37" s="153" t="b">
        <v>0</v>
      </c>
      <c r="P37" s="153" t="b">
        <v>0</v>
      </c>
      <c r="Q37" s="153" t="b">
        <v>0</v>
      </c>
      <c r="R37" s="178" t="s">
        <v>106</v>
      </c>
      <c r="S37" s="63">
        <v>0.0</v>
      </c>
      <c r="T37" s="192"/>
      <c r="U37" s="104" t="s">
        <v>106</v>
      </c>
      <c r="V37" s="192"/>
      <c r="W37" s="63">
        <v>0.0</v>
      </c>
      <c r="Y37" s="180"/>
      <c r="Z37" s="29"/>
      <c r="AA37" s="29"/>
      <c r="AB37" s="29"/>
      <c r="AC37" s="29"/>
      <c r="AD37" s="29"/>
      <c r="AE37" s="29"/>
      <c r="AF37" s="29"/>
      <c r="AG37" s="29"/>
      <c r="AH37" s="29"/>
      <c r="AI37" s="29"/>
      <c r="AJ37" s="29"/>
      <c r="AK37" s="32"/>
      <c r="AM37" s="180"/>
      <c r="AN37" s="29"/>
      <c r="AO37" s="29"/>
      <c r="AP37" s="29"/>
      <c r="AQ37" s="29"/>
      <c r="AR37" s="29"/>
      <c r="AS37" s="29"/>
      <c r="AT37" s="29"/>
      <c r="AU37" s="29"/>
      <c r="AV37" s="32"/>
      <c r="AX37" s="40"/>
      <c r="BF37" s="41"/>
    </row>
    <row r="38" ht="9.75" customHeight="1">
      <c r="A38" s="127"/>
      <c r="B38" s="183"/>
      <c r="C38" s="183"/>
      <c r="D38" s="183"/>
      <c r="E38" s="183"/>
      <c r="F38" s="183"/>
      <c r="G38" s="183"/>
      <c r="H38" s="48" t="s">
        <v>142</v>
      </c>
      <c r="J38" s="49"/>
      <c r="K38" s="48" t="s">
        <v>93</v>
      </c>
      <c r="L38" s="49"/>
      <c r="M38" s="48" t="s">
        <v>146</v>
      </c>
      <c r="N38" s="48" t="s">
        <v>126</v>
      </c>
      <c r="O38" s="48" t="s">
        <v>127</v>
      </c>
      <c r="P38" s="48" t="s">
        <v>128</v>
      </c>
      <c r="Q38" s="48" t="s">
        <v>57</v>
      </c>
      <c r="R38" s="186"/>
      <c r="S38" s="48" t="s">
        <v>35</v>
      </c>
      <c r="T38" s="49"/>
      <c r="U38" s="48" t="s">
        <v>147</v>
      </c>
      <c r="W38" s="48" t="s">
        <v>148</v>
      </c>
      <c r="Y38" s="48" t="s">
        <v>149</v>
      </c>
      <c r="AM38" s="48" t="s">
        <v>150</v>
      </c>
      <c r="AX38" s="40"/>
      <c r="BF38" s="41"/>
    </row>
    <row r="39" ht="15.75" customHeight="1">
      <c r="A39" s="10"/>
      <c r="B39" s="170"/>
      <c r="C39" s="171" t="s">
        <v>257</v>
      </c>
      <c r="H39" s="103" t="str">
        <f>MODIFIER(K39+M39+S39-U39+W39)</f>
        <v>+0</v>
      </c>
      <c r="J39" s="104" t="s">
        <v>62</v>
      </c>
      <c r="K39" s="99">
        <f>vlookup(K38,Data!$B$14:$C$19,2,0)</f>
        <v>0</v>
      </c>
      <c r="L39" s="104" t="s">
        <v>106</v>
      </c>
      <c r="M39" s="99">
        <f>if(Q39,8+Level,if(P39,6+Level,if(O39,4+Level,if(N39,2+Level,IF('Character Sheet'!$BA$18,IF(Level&gt;= 7, Level, ROUNDDOWN(Level/2,0)),0)))))</f>
        <v>0</v>
      </c>
      <c r="N39" s="176" t="b">
        <v>0</v>
      </c>
      <c r="O39" s="153" t="b">
        <v>0</v>
      </c>
      <c r="P39" s="153" t="b">
        <v>0</v>
      </c>
      <c r="Q39" s="153" t="b">
        <v>0</v>
      </c>
      <c r="R39" s="178" t="s">
        <v>106</v>
      </c>
      <c r="S39" s="63">
        <v>0.0</v>
      </c>
      <c r="T39" s="104" t="s">
        <v>174</v>
      </c>
      <c r="U39" s="80">
        <f>ABS(if(Inventory!$Y$6&gt;'Character Sheet'!$O$13,Inventory!$S$6,0))</f>
        <v>0</v>
      </c>
      <c r="V39" s="104" t="s">
        <v>106</v>
      </c>
      <c r="W39" s="63">
        <v>0.0</v>
      </c>
      <c r="Y39" s="180"/>
      <c r="Z39" s="29"/>
      <c r="AA39" s="29"/>
      <c r="AB39" s="29"/>
      <c r="AC39" s="29"/>
      <c r="AD39" s="29"/>
      <c r="AE39" s="29"/>
      <c r="AF39" s="29"/>
      <c r="AG39" s="29"/>
      <c r="AH39" s="29"/>
      <c r="AI39" s="29"/>
      <c r="AJ39" s="29"/>
      <c r="AK39" s="32"/>
      <c r="AM39" s="180"/>
      <c r="AN39" s="29"/>
      <c r="AO39" s="29"/>
      <c r="AP39" s="29"/>
      <c r="AQ39" s="29"/>
      <c r="AR39" s="29"/>
      <c r="AS39" s="29"/>
      <c r="AT39" s="29"/>
      <c r="AU39" s="29"/>
      <c r="AV39" s="32"/>
      <c r="AX39" s="40"/>
      <c r="BF39" s="41"/>
    </row>
    <row r="40" ht="9.75" customHeight="1">
      <c r="A40" s="49"/>
      <c r="B40" s="183"/>
      <c r="C40" s="183"/>
      <c r="D40" s="183"/>
      <c r="E40" s="183"/>
      <c r="F40" s="183"/>
      <c r="G40" s="183"/>
      <c r="H40" s="48" t="s">
        <v>142</v>
      </c>
      <c r="J40" s="49"/>
      <c r="K40" s="48" t="s">
        <v>59</v>
      </c>
      <c r="L40" s="49"/>
      <c r="M40" s="48" t="s">
        <v>146</v>
      </c>
      <c r="N40" s="48" t="s">
        <v>126</v>
      </c>
      <c r="O40" s="48" t="s">
        <v>127</v>
      </c>
      <c r="P40" s="48" t="s">
        <v>128</v>
      </c>
      <c r="Q40" s="48" t="s">
        <v>57</v>
      </c>
      <c r="R40" s="186"/>
      <c r="S40" s="48" t="s">
        <v>35</v>
      </c>
      <c r="T40" s="49"/>
      <c r="U40" s="48"/>
      <c r="W40" s="48" t="s">
        <v>148</v>
      </c>
      <c r="Y40" s="48" t="s">
        <v>149</v>
      </c>
      <c r="AM40" s="48" t="s">
        <v>150</v>
      </c>
      <c r="AX40" s="40"/>
      <c r="BF40" s="41"/>
    </row>
    <row r="41" ht="15.75" customHeight="1">
      <c r="A41" s="10"/>
      <c r="B41" s="170"/>
      <c r="C41" s="171" t="s">
        <v>259</v>
      </c>
      <c r="H41" s="103" t="str">
        <f>MODIFIER(K41+M41+S41+W41)</f>
        <v>+0</v>
      </c>
      <c r="J41" s="104" t="s">
        <v>62</v>
      </c>
      <c r="K41" s="99">
        <f>vlookup(K40,Data!$B$14:$C$19,2,0)</f>
        <v>0</v>
      </c>
      <c r="L41" s="104" t="s">
        <v>106</v>
      </c>
      <c r="M41" s="99">
        <f>if(Q41,8+Level,if(P41,6+Level,if(O41,4+Level,if(N41,2+Level,IF('Character Sheet'!$BA$18,IF(Level&gt;= 7, Level, ROUNDDOWN(Level/2,0)),0)))))</f>
        <v>0</v>
      </c>
      <c r="N41" s="176" t="b">
        <v>0</v>
      </c>
      <c r="O41" s="153" t="b">
        <v>0</v>
      </c>
      <c r="P41" s="153" t="b">
        <v>0</v>
      </c>
      <c r="Q41" s="153" t="b">
        <v>0</v>
      </c>
      <c r="R41" s="178" t="s">
        <v>106</v>
      </c>
      <c r="S41" s="63">
        <v>0.0</v>
      </c>
      <c r="T41" s="192"/>
      <c r="U41" s="104" t="s">
        <v>106</v>
      </c>
      <c r="W41" s="63">
        <v>0.0</v>
      </c>
      <c r="Y41" s="180"/>
      <c r="Z41" s="29"/>
      <c r="AA41" s="29"/>
      <c r="AB41" s="29"/>
      <c r="AC41" s="29"/>
      <c r="AD41" s="29"/>
      <c r="AE41" s="29"/>
      <c r="AF41" s="29"/>
      <c r="AG41" s="29"/>
      <c r="AH41" s="29"/>
      <c r="AI41" s="29"/>
      <c r="AJ41" s="29"/>
      <c r="AK41" s="32"/>
      <c r="AM41" s="180"/>
      <c r="AN41" s="29"/>
      <c r="AO41" s="29"/>
      <c r="AP41" s="29"/>
      <c r="AQ41" s="29"/>
      <c r="AR41" s="29"/>
      <c r="AS41" s="29"/>
      <c r="AT41" s="29"/>
      <c r="AU41" s="29"/>
      <c r="AV41" s="32"/>
      <c r="AX41" s="40"/>
      <c r="BF41" s="41"/>
    </row>
    <row r="42" ht="9.75" customHeight="1">
      <c r="A42" s="279"/>
      <c r="B42" s="183"/>
      <c r="C42" s="183"/>
      <c r="D42" s="183"/>
      <c r="E42" s="183"/>
      <c r="F42" s="183"/>
      <c r="G42" s="183"/>
      <c r="H42" s="48" t="s">
        <v>142</v>
      </c>
      <c r="J42" s="49"/>
      <c r="K42" s="48" t="s">
        <v>93</v>
      </c>
      <c r="L42" s="49"/>
      <c r="M42" s="48" t="s">
        <v>146</v>
      </c>
      <c r="N42" s="48" t="s">
        <v>126</v>
      </c>
      <c r="O42" s="48" t="s">
        <v>127</v>
      </c>
      <c r="P42" s="48" t="s">
        <v>128</v>
      </c>
      <c r="Q42" s="48" t="s">
        <v>57</v>
      </c>
      <c r="R42" s="186"/>
      <c r="S42" s="48" t="s">
        <v>35</v>
      </c>
      <c r="T42" s="49"/>
      <c r="U42" s="48" t="s">
        <v>147</v>
      </c>
      <c r="W42" s="48" t="s">
        <v>148</v>
      </c>
      <c r="Y42" s="48" t="s">
        <v>149</v>
      </c>
      <c r="AM42" s="48" t="s">
        <v>150</v>
      </c>
      <c r="AX42" s="40"/>
      <c r="BF42" s="41"/>
    </row>
    <row r="43" ht="15.75" customHeight="1">
      <c r="A43" s="10"/>
      <c r="B43" s="170"/>
      <c r="C43" s="171" t="s">
        <v>261</v>
      </c>
      <c r="H43" s="103" t="str">
        <f>MODIFIER(K43+M43+S43-U43+W43)</f>
        <v>+0</v>
      </c>
      <c r="J43" s="104" t="s">
        <v>62</v>
      </c>
      <c r="K43" s="99">
        <f>vlookup(K42,Data!$B$14:$C$19,2,0)</f>
        <v>0</v>
      </c>
      <c r="L43" s="104" t="s">
        <v>106</v>
      </c>
      <c r="M43" s="99">
        <f>if(Q43,8+Level,if(P43,6+Level,if(O43,4+Level,if(N43,2+Level,IF('Character Sheet'!$BA$18,IF(Level&gt;= 7, Level, ROUNDDOWN(Level/2,0)),0)))))</f>
        <v>0</v>
      </c>
      <c r="N43" s="176" t="b">
        <v>0</v>
      </c>
      <c r="O43" s="153" t="b">
        <v>0</v>
      </c>
      <c r="P43" s="153" t="b">
        <v>0</v>
      </c>
      <c r="Q43" s="153" t="b">
        <v>0</v>
      </c>
      <c r="R43" s="178" t="s">
        <v>106</v>
      </c>
      <c r="S43" s="63">
        <v>0.0</v>
      </c>
      <c r="T43" s="104" t="s">
        <v>174</v>
      </c>
      <c r="U43" s="80">
        <f>ABS(if(Inventory!$Y$6&gt;'Character Sheet'!$O$13,Inventory!$S$6,0))</f>
        <v>0</v>
      </c>
      <c r="V43" s="104" t="s">
        <v>106</v>
      </c>
      <c r="W43" s="63">
        <v>0.0</v>
      </c>
      <c r="Y43" s="180"/>
      <c r="Z43" s="29"/>
      <c r="AA43" s="29"/>
      <c r="AB43" s="29"/>
      <c r="AC43" s="29"/>
      <c r="AD43" s="29"/>
      <c r="AE43" s="29"/>
      <c r="AF43" s="29"/>
      <c r="AG43" s="29"/>
      <c r="AH43" s="29"/>
      <c r="AI43" s="29"/>
      <c r="AJ43" s="29"/>
      <c r="AK43" s="32"/>
      <c r="AL43" s="9"/>
      <c r="AM43" s="180"/>
      <c r="AN43" s="29"/>
      <c r="AO43" s="29"/>
      <c r="AP43" s="29"/>
      <c r="AQ43" s="29"/>
      <c r="AR43" s="29"/>
      <c r="AS43" s="29"/>
      <c r="AT43" s="29"/>
      <c r="AU43" s="29"/>
      <c r="AV43" s="32"/>
      <c r="AW43" s="229"/>
      <c r="AX43" s="42"/>
      <c r="AY43" s="43"/>
      <c r="AZ43" s="43"/>
      <c r="BA43" s="43"/>
      <c r="BB43" s="43"/>
      <c r="BC43" s="43"/>
      <c r="BD43" s="43"/>
      <c r="BE43" s="43"/>
      <c r="BF43" s="44"/>
    </row>
    <row r="44" ht="9.75" customHeight="1">
      <c r="A44" s="127"/>
      <c r="B44" s="170"/>
      <c r="C44" s="170"/>
      <c r="D44" s="170"/>
      <c r="E44" s="170"/>
      <c r="F44" s="170"/>
      <c r="G44" s="170"/>
      <c r="H44" s="279"/>
      <c r="I44" s="279"/>
      <c r="J44" s="279"/>
      <c r="K44" s="279"/>
      <c r="L44" s="279"/>
      <c r="M44" s="279"/>
      <c r="N44" s="279"/>
      <c r="O44" s="279"/>
      <c r="P44" s="279"/>
      <c r="Q44" s="279"/>
      <c r="R44" s="279"/>
      <c r="S44" s="279"/>
      <c r="T44" s="279"/>
      <c r="U44" s="279"/>
    </row>
    <row r="45" ht="15.75" customHeight="1">
      <c r="A45" s="10"/>
      <c r="B45" s="294" t="s">
        <v>280</v>
      </c>
      <c r="BG45" s="296"/>
    </row>
    <row r="46" ht="9.75" customHeight="1">
      <c r="A46" s="10"/>
      <c r="BG46" s="296"/>
    </row>
    <row r="47" ht="15.75" customHeight="1">
      <c r="A47" s="10"/>
      <c r="B47" s="163" t="s">
        <v>285</v>
      </c>
      <c r="C47" s="29"/>
      <c r="D47" s="29"/>
      <c r="E47" s="29"/>
      <c r="F47" s="29"/>
      <c r="G47" s="29"/>
      <c r="H47" s="29"/>
      <c r="I47" s="29"/>
      <c r="J47" s="29"/>
      <c r="K47" s="29"/>
      <c r="L47" s="29"/>
      <c r="M47" s="29"/>
      <c r="N47" s="29"/>
      <c r="O47" s="29"/>
      <c r="P47" s="29"/>
      <c r="Q47" s="29"/>
      <c r="R47" s="29"/>
      <c r="S47" s="29"/>
      <c r="T47" s="29"/>
      <c r="U47" s="32"/>
      <c r="V47" s="10"/>
      <c r="W47" s="38" t="s">
        <v>291</v>
      </c>
      <c r="X47" s="29"/>
      <c r="Y47" s="29"/>
      <c r="Z47" s="29"/>
      <c r="AA47" s="29"/>
      <c r="AB47" s="29"/>
      <c r="AC47" s="29"/>
      <c r="AD47" s="29"/>
      <c r="AE47" s="29"/>
      <c r="AF47" s="29"/>
      <c r="AG47" s="29"/>
      <c r="AH47" s="29"/>
      <c r="AI47" s="29"/>
      <c r="AJ47" s="29"/>
      <c r="AK47" s="29"/>
      <c r="AL47" s="29"/>
      <c r="AM47" s="29"/>
      <c r="AN47" s="29"/>
      <c r="AO47" s="29"/>
      <c r="AP47" s="32"/>
      <c r="AQ47" s="10"/>
      <c r="AR47" s="38" t="s">
        <v>292</v>
      </c>
      <c r="AS47" s="29"/>
      <c r="AT47" s="29"/>
      <c r="AU47" s="29"/>
      <c r="AV47" s="29"/>
      <c r="AW47" s="29"/>
      <c r="AX47" s="29"/>
      <c r="AY47" s="29"/>
      <c r="AZ47" s="29"/>
      <c r="BA47" s="29"/>
      <c r="BB47" s="29"/>
      <c r="BC47" s="29"/>
      <c r="BD47" s="29"/>
      <c r="BE47" s="29"/>
      <c r="BF47" s="32"/>
    </row>
    <row r="48" ht="9.75" customHeight="1">
      <c r="A48" s="10"/>
      <c r="B48" s="299" t="s">
        <v>293</v>
      </c>
      <c r="R48" s="300" t="s">
        <v>297</v>
      </c>
      <c r="V48" s="10"/>
      <c r="W48" s="299" t="s">
        <v>299</v>
      </c>
      <c r="AM48" s="300" t="s">
        <v>308</v>
      </c>
      <c r="AQ48" s="10"/>
      <c r="AR48" s="48" t="s">
        <v>309</v>
      </c>
    </row>
    <row r="49" ht="15.75" customHeight="1">
      <c r="A49" s="10"/>
      <c r="B49" s="43"/>
      <c r="C49" s="43"/>
      <c r="D49" s="43"/>
      <c r="E49" s="43"/>
      <c r="F49" s="43"/>
      <c r="G49" s="43"/>
      <c r="H49" s="43"/>
      <c r="I49" s="43"/>
      <c r="J49" s="43"/>
      <c r="K49" s="43"/>
      <c r="L49" s="43"/>
      <c r="M49" s="43"/>
      <c r="N49" s="43"/>
      <c r="O49" s="43"/>
      <c r="P49" s="43"/>
      <c r="Q49" s="43"/>
      <c r="R49" s="43"/>
      <c r="S49" s="43"/>
      <c r="T49" s="43"/>
      <c r="U49" s="43"/>
      <c r="V49" s="10"/>
      <c r="W49" s="43"/>
      <c r="X49" s="43"/>
      <c r="Y49" s="43"/>
      <c r="Z49" s="43"/>
      <c r="AA49" s="43"/>
      <c r="AB49" s="43"/>
      <c r="AC49" s="43"/>
      <c r="AD49" s="43"/>
      <c r="AE49" s="43"/>
      <c r="AF49" s="43"/>
      <c r="AG49" s="43"/>
      <c r="AH49" s="43"/>
      <c r="AI49" s="43"/>
      <c r="AJ49" s="43"/>
      <c r="AK49" s="43"/>
      <c r="AL49" s="43"/>
      <c r="AM49" s="43"/>
      <c r="AN49" s="43"/>
      <c r="AO49" s="43"/>
      <c r="AP49" s="43"/>
      <c r="AQ49" s="10"/>
      <c r="AR49" s="303"/>
    </row>
    <row r="50" ht="8.25" customHeight="1">
      <c r="A50" s="10"/>
      <c r="B50" s="299"/>
      <c r="R50" s="300" t="s">
        <v>320</v>
      </c>
      <c r="V50" s="10"/>
      <c r="W50" s="299"/>
      <c r="AM50" s="300" t="s">
        <v>308</v>
      </c>
      <c r="AQ50" s="10"/>
    </row>
    <row r="51" ht="15.75" customHeight="1">
      <c r="A51" s="10"/>
      <c r="B51" s="43"/>
      <c r="C51" s="43"/>
      <c r="D51" s="43"/>
      <c r="E51" s="43"/>
      <c r="F51" s="43"/>
      <c r="G51" s="43"/>
      <c r="H51" s="43"/>
      <c r="I51" s="43"/>
      <c r="J51" s="43"/>
      <c r="K51" s="43"/>
      <c r="L51" s="43"/>
      <c r="M51" s="43"/>
      <c r="N51" s="43"/>
      <c r="O51" s="43"/>
      <c r="P51" s="43"/>
      <c r="Q51" s="43"/>
      <c r="R51" s="43"/>
      <c r="S51" s="43"/>
      <c r="T51" s="43"/>
      <c r="U51" s="43"/>
      <c r="V51" s="10"/>
      <c r="W51" s="43"/>
      <c r="X51" s="43"/>
      <c r="Y51" s="43"/>
      <c r="Z51" s="43"/>
      <c r="AA51" s="43"/>
      <c r="AB51" s="43"/>
      <c r="AC51" s="43"/>
      <c r="AD51" s="43"/>
      <c r="AE51" s="43"/>
      <c r="AF51" s="43"/>
      <c r="AG51" s="43"/>
      <c r="AH51" s="43"/>
      <c r="AI51" s="43"/>
      <c r="AJ51" s="43"/>
      <c r="AK51" s="43"/>
      <c r="AL51" s="43"/>
      <c r="AM51" s="43"/>
      <c r="AN51" s="43"/>
      <c r="AO51" s="43"/>
      <c r="AP51" s="43"/>
      <c r="AQ51" s="10"/>
    </row>
    <row r="52" ht="9.75" customHeight="1">
      <c r="A52" s="279"/>
      <c r="B52" s="299"/>
      <c r="R52" s="300" t="s">
        <v>322</v>
      </c>
      <c r="V52" s="10"/>
      <c r="W52" s="299"/>
      <c r="AM52" s="300" t="s">
        <v>322</v>
      </c>
      <c r="AQ52" s="10"/>
    </row>
    <row r="53" ht="15.75" customHeight="1">
      <c r="A53" s="10"/>
      <c r="B53" s="43"/>
      <c r="C53" s="43"/>
      <c r="D53" s="43"/>
      <c r="E53" s="43"/>
      <c r="F53" s="43"/>
      <c r="G53" s="43"/>
      <c r="H53" s="43"/>
      <c r="I53" s="43"/>
      <c r="J53" s="43"/>
      <c r="K53" s="43"/>
      <c r="L53" s="43"/>
      <c r="M53" s="43"/>
      <c r="N53" s="43"/>
      <c r="O53" s="43"/>
      <c r="P53" s="43"/>
      <c r="Q53" s="43"/>
      <c r="R53" s="43"/>
      <c r="S53" s="43"/>
      <c r="T53" s="43"/>
      <c r="U53" s="43"/>
      <c r="V53" s="10"/>
      <c r="W53" s="43"/>
      <c r="X53" s="43"/>
      <c r="Y53" s="43"/>
      <c r="Z53" s="43"/>
      <c r="AA53" s="43"/>
      <c r="AB53" s="43"/>
      <c r="AC53" s="43"/>
      <c r="AD53" s="43"/>
      <c r="AE53" s="43"/>
      <c r="AF53" s="43"/>
      <c r="AG53" s="43"/>
      <c r="AH53" s="43"/>
      <c r="AI53" s="43"/>
      <c r="AJ53" s="43"/>
      <c r="AK53" s="43"/>
      <c r="AL53" s="43"/>
      <c r="AM53" s="43"/>
      <c r="AN53" s="43"/>
      <c r="AO53" s="43"/>
      <c r="AP53" s="43"/>
      <c r="AQ53" s="10"/>
    </row>
    <row r="54" ht="10.5" customHeight="1">
      <c r="A54" s="10"/>
      <c r="B54" s="299"/>
      <c r="R54" s="300" t="s">
        <v>326</v>
      </c>
      <c r="V54" s="10"/>
      <c r="W54" s="299"/>
      <c r="AM54" s="300" t="s">
        <v>329</v>
      </c>
      <c r="AQ54" s="10"/>
    </row>
    <row r="55" ht="15.75" customHeight="1">
      <c r="A55" s="10"/>
      <c r="B55" s="43"/>
      <c r="C55" s="43"/>
      <c r="D55" s="43"/>
      <c r="E55" s="43"/>
      <c r="F55" s="43"/>
      <c r="G55" s="43"/>
      <c r="H55" s="43"/>
      <c r="I55" s="43"/>
      <c r="J55" s="43"/>
      <c r="K55" s="43"/>
      <c r="L55" s="43"/>
      <c r="M55" s="43"/>
      <c r="N55" s="43"/>
      <c r="O55" s="43"/>
      <c r="P55" s="43"/>
      <c r="Q55" s="43"/>
      <c r="R55" s="43"/>
      <c r="S55" s="43"/>
      <c r="T55" s="43"/>
      <c r="U55" s="43"/>
      <c r="V55" s="10"/>
      <c r="W55" s="43"/>
      <c r="X55" s="43"/>
      <c r="Y55" s="43"/>
      <c r="Z55" s="43"/>
      <c r="AA55" s="43"/>
      <c r="AB55" s="43"/>
      <c r="AC55" s="43"/>
      <c r="AD55" s="43"/>
      <c r="AE55" s="43"/>
      <c r="AF55" s="43"/>
      <c r="AG55" s="43"/>
      <c r="AH55" s="43"/>
      <c r="AI55" s="43"/>
      <c r="AJ55" s="43"/>
      <c r="AK55" s="43"/>
      <c r="AL55" s="43"/>
      <c r="AM55" s="43"/>
      <c r="AN55" s="43"/>
      <c r="AO55" s="43"/>
      <c r="AP55" s="43"/>
      <c r="AQ55" s="10"/>
      <c r="AR55" s="43"/>
      <c r="AS55" s="43"/>
      <c r="AT55" s="43"/>
      <c r="AU55" s="43"/>
      <c r="AV55" s="43"/>
      <c r="AW55" s="43"/>
      <c r="AX55" s="43"/>
      <c r="AY55" s="43"/>
      <c r="AZ55" s="43"/>
      <c r="BA55" s="43"/>
      <c r="BB55" s="43"/>
      <c r="BC55" s="43"/>
      <c r="BD55" s="43"/>
      <c r="BE55" s="43"/>
      <c r="BF55" s="43"/>
    </row>
    <row r="56" ht="11.25" customHeight="1">
      <c r="A56" s="10"/>
      <c r="B56" s="299"/>
      <c r="R56" s="300" t="s">
        <v>338</v>
      </c>
      <c r="V56" s="10"/>
      <c r="W56" s="299"/>
      <c r="AM56" s="300" t="s">
        <v>344</v>
      </c>
      <c r="AQ56" s="10"/>
      <c r="AR56" s="48" t="s">
        <v>309</v>
      </c>
    </row>
    <row r="57" ht="15.75" customHeight="1">
      <c r="A57" s="10"/>
      <c r="B57" s="43"/>
      <c r="C57" s="43"/>
      <c r="D57" s="43"/>
      <c r="E57" s="43"/>
      <c r="F57" s="43"/>
      <c r="G57" s="43"/>
      <c r="H57" s="43"/>
      <c r="I57" s="43"/>
      <c r="J57" s="43"/>
      <c r="K57" s="43"/>
      <c r="L57" s="43"/>
      <c r="M57" s="43"/>
      <c r="N57" s="43"/>
      <c r="O57" s="43"/>
      <c r="P57" s="43"/>
      <c r="Q57" s="43"/>
      <c r="R57" s="43"/>
      <c r="S57" s="43"/>
      <c r="T57" s="43"/>
      <c r="U57" s="43"/>
      <c r="V57" s="10"/>
      <c r="W57" s="43"/>
      <c r="X57" s="43"/>
      <c r="Y57" s="43"/>
      <c r="Z57" s="43"/>
      <c r="AA57" s="43"/>
      <c r="AB57" s="43"/>
      <c r="AC57" s="43"/>
      <c r="AD57" s="43"/>
      <c r="AE57" s="43"/>
      <c r="AF57" s="43"/>
      <c r="AG57" s="43"/>
      <c r="AH57" s="43"/>
      <c r="AI57" s="43"/>
      <c r="AJ57" s="43"/>
      <c r="AK57" s="43"/>
      <c r="AL57" s="43"/>
      <c r="AM57" s="43"/>
      <c r="AN57" s="43"/>
      <c r="AO57" s="43"/>
      <c r="AP57" s="43"/>
      <c r="AQ57" s="10"/>
      <c r="AR57" s="303"/>
    </row>
    <row r="58" ht="10.5" customHeight="1">
      <c r="A58" s="10"/>
      <c r="B58" s="299"/>
      <c r="R58" s="300" t="s">
        <v>355</v>
      </c>
      <c r="V58" s="279"/>
      <c r="W58" s="299"/>
      <c r="AM58" s="300" t="s">
        <v>356</v>
      </c>
      <c r="AQ58" s="279"/>
    </row>
    <row r="59" ht="15.75" customHeight="1">
      <c r="A59" s="10"/>
      <c r="B59" s="43"/>
      <c r="C59" s="43"/>
      <c r="D59" s="43"/>
      <c r="E59" s="43"/>
      <c r="F59" s="43"/>
      <c r="G59" s="43"/>
      <c r="H59" s="43"/>
      <c r="I59" s="43"/>
      <c r="J59" s="43"/>
      <c r="K59" s="43"/>
      <c r="L59" s="43"/>
      <c r="M59" s="43"/>
      <c r="N59" s="43"/>
      <c r="O59" s="43"/>
      <c r="P59" s="43"/>
      <c r="Q59" s="43"/>
      <c r="R59" s="43"/>
      <c r="S59" s="43"/>
      <c r="T59" s="43"/>
      <c r="U59" s="43"/>
      <c r="V59" s="10"/>
      <c r="W59" s="43"/>
      <c r="X59" s="43"/>
      <c r="Y59" s="43"/>
      <c r="Z59" s="43"/>
      <c r="AA59" s="43"/>
      <c r="AB59" s="43"/>
      <c r="AC59" s="43"/>
      <c r="AD59" s="43"/>
      <c r="AE59" s="43"/>
      <c r="AF59" s="43"/>
      <c r="AG59" s="43"/>
      <c r="AH59" s="43"/>
      <c r="AI59" s="43"/>
      <c r="AJ59" s="43"/>
      <c r="AK59" s="43"/>
      <c r="AL59" s="43"/>
      <c r="AM59" s="43"/>
      <c r="AN59" s="43"/>
      <c r="AO59" s="43"/>
      <c r="AP59" s="43"/>
      <c r="AQ59" s="10"/>
    </row>
    <row r="60" ht="9.0" customHeight="1">
      <c r="A60" s="10"/>
      <c r="B60" s="299"/>
      <c r="R60" s="300" t="s">
        <v>362</v>
      </c>
      <c r="V60" s="10"/>
      <c r="W60" s="299"/>
      <c r="AM60" s="300" t="s">
        <v>366</v>
      </c>
      <c r="AQ60" s="10"/>
    </row>
    <row r="61" ht="15.75" customHeight="1">
      <c r="A61" s="10"/>
      <c r="B61" s="43"/>
      <c r="C61" s="43"/>
      <c r="D61" s="43"/>
      <c r="E61" s="43"/>
      <c r="F61" s="43"/>
      <c r="G61" s="43"/>
      <c r="H61" s="43"/>
      <c r="I61" s="43"/>
      <c r="J61" s="43"/>
      <c r="K61" s="43"/>
      <c r="L61" s="43"/>
      <c r="M61" s="43"/>
      <c r="N61" s="43"/>
      <c r="O61" s="43"/>
      <c r="P61" s="43"/>
      <c r="Q61" s="43"/>
      <c r="R61" s="43"/>
      <c r="S61" s="43"/>
      <c r="T61" s="43"/>
      <c r="U61" s="43"/>
      <c r="V61" s="10"/>
      <c r="W61" s="43"/>
      <c r="X61" s="43"/>
      <c r="Y61" s="43"/>
      <c r="Z61" s="43"/>
      <c r="AA61" s="43"/>
      <c r="AB61" s="43"/>
      <c r="AC61" s="43"/>
      <c r="AD61" s="43"/>
      <c r="AE61" s="43"/>
      <c r="AF61" s="43"/>
      <c r="AG61" s="43"/>
      <c r="AH61" s="43"/>
      <c r="AI61" s="43"/>
      <c r="AJ61" s="43"/>
      <c r="AK61" s="43"/>
      <c r="AL61" s="43"/>
      <c r="AM61" s="43"/>
      <c r="AN61" s="43"/>
      <c r="AO61" s="43"/>
      <c r="AP61" s="43"/>
      <c r="AQ61" s="10"/>
    </row>
    <row r="62" ht="10.5" customHeight="1">
      <c r="A62" s="10"/>
      <c r="B62" s="299"/>
      <c r="R62" s="300" t="s">
        <v>120</v>
      </c>
      <c r="V62" s="10"/>
      <c r="W62" s="299"/>
      <c r="AM62" s="300" t="s">
        <v>371</v>
      </c>
      <c r="AQ62" s="10"/>
    </row>
    <row r="63" ht="15.75" customHeight="1">
      <c r="A63" s="10"/>
      <c r="B63" s="43"/>
      <c r="C63" s="43"/>
      <c r="D63" s="43"/>
      <c r="E63" s="43"/>
      <c r="F63" s="43"/>
      <c r="G63" s="43"/>
      <c r="H63" s="43"/>
      <c r="I63" s="43"/>
      <c r="J63" s="43"/>
      <c r="K63" s="43"/>
      <c r="L63" s="43"/>
      <c r="M63" s="43"/>
      <c r="N63" s="43"/>
      <c r="O63" s="43"/>
      <c r="P63" s="43"/>
      <c r="Q63" s="43"/>
      <c r="R63" s="43"/>
      <c r="S63" s="43"/>
      <c r="T63" s="43"/>
      <c r="U63" s="43"/>
      <c r="V63" s="10"/>
      <c r="W63" s="43"/>
      <c r="X63" s="43"/>
      <c r="Y63" s="43"/>
      <c r="Z63" s="43"/>
      <c r="AA63" s="43"/>
      <c r="AB63" s="43"/>
      <c r="AC63" s="43"/>
      <c r="AD63" s="43"/>
      <c r="AE63" s="43"/>
      <c r="AF63" s="43"/>
      <c r="AG63" s="43"/>
      <c r="AH63" s="43"/>
      <c r="AI63" s="43"/>
      <c r="AJ63" s="43"/>
      <c r="AK63" s="43"/>
      <c r="AL63" s="43"/>
      <c r="AM63" s="43"/>
      <c r="AN63" s="43"/>
      <c r="AO63" s="43"/>
      <c r="AP63" s="43"/>
      <c r="AQ63" s="10"/>
      <c r="AR63" s="43"/>
      <c r="AS63" s="43"/>
      <c r="AT63" s="43"/>
      <c r="AU63" s="43"/>
      <c r="AV63" s="43"/>
      <c r="AW63" s="43"/>
      <c r="AX63" s="43"/>
      <c r="AY63" s="43"/>
      <c r="AZ63" s="43"/>
      <c r="BA63" s="43"/>
      <c r="BB63" s="43"/>
      <c r="BC63" s="43"/>
      <c r="BD63" s="43"/>
      <c r="BE63" s="43"/>
      <c r="BF63" s="43"/>
    </row>
    <row r="64" ht="9.75" customHeight="1">
      <c r="A64" s="10"/>
      <c r="B64" s="299"/>
      <c r="R64" s="300" t="s">
        <v>120</v>
      </c>
      <c r="V64" s="10"/>
      <c r="W64" s="299"/>
      <c r="AM64" s="300" t="s">
        <v>376</v>
      </c>
      <c r="AQ64" s="10"/>
    </row>
    <row r="65" ht="15.75" customHeight="1">
      <c r="A65" s="10"/>
      <c r="B65" s="43"/>
      <c r="C65" s="43"/>
      <c r="D65" s="43"/>
      <c r="E65" s="43"/>
      <c r="F65" s="43"/>
      <c r="G65" s="43"/>
      <c r="H65" s="43"/>
      <c r="I65" s="43"/>
      <c r="J65" s="43"/>
      <c r="K65" s="43"/>
      <c r="L65" s="43"/>
      <c r="M65" s="43"/>
      <c r="N65" s="43"/>
      <c r="O65" s="43"/>
      <c r="P65" s="43"/>
      <c r="Q65" s="43"/>
      <c r="R65" s="43"/>
      <c r="S65" s="43"/>
      <c r="T65" s="43"/>
      <c r="U65" s="43"/>
      <c r="V65" s="10"/>
      <c r="W65" s="43"/>
      <c r="X65" s="43"/>
      <c r="Y65" s="43"/>
      <c r="Z65" s="43"/>
      <c r="AA65" s="43"/>
      <c r="AB65" s="43"/>
      <c r="AC65" s="43"/>
      <c r="AD65" s="43"/>
      <c r="AE65" s="43"/>
      <c r="AF65" s="43"/>
      <c r="AG65" s="43"/>
      <c r="AH65" s="43"/>
      <c r="AI65" s="43"/>
      <c r="AJ65" s="43"/>
      <c r="AK65" s="43"/>
      <c r="AL65" s="43"/>
      <c r="AM65" s="43"/>
      <c r="AN65" s="43"/>
      <c r="AO65" s="43"/>
      <c r="AP65" s="43"/>
      <c r="AQ65" s="10"/>
      <c r="AR65" s="38" t="s">
        <v>385</v>
      </c>
      <c r="AS65" s="29"/>
      <c r="AT65" s="29"/>
      <c r="AU65" s="29"/>
      <c r="AV65" s="29"/>
      <c r="AW65" s="29"/>
      <c r="AX65" s="29"/>
      <c r="AY65" s="29"/>
      <c r="AZ65" s="29"/>
      <c r="BA65" s="29"/>
      <c r="BB65" s="29"/>
      <c r="BC65" s="29"/>
      <c r="BD65" s="29"/>
      <c r="BE65" s="29"/>
      <c r="BF65" s="32"/>
    </row>
    <row r="66" ht="9.75" customHeight="1">
      <c r="A66" s="10"/>
      <c r="B66" s="323" t="s">
        <v>391</v>
      </c>
      <c r="C66" s="19"/>
      <c r="D66" s="19"/>
      <c r="E66" s="19"/>
      <c r="F66" s="19"/>
      <c r="G66" s="19"/>
      <c r="H66" s="19"/>
      <c r="I66" s="19"/>
      <c r="J66" s="19"/>
      <c r="K66" s="19"/>
      <c r="L66" s="19"/>
      <c r="M66" s="19"/>
      <c r="N66" s="19"/>
      <c r="O66" s="19"/>
      <c r="P66" s="19"/>
      <c r="Q66" s="19"/>
      <c r="R66" s="19"/>
      <c r="S66" s="19"/>
      <c r="T66" s="19"/>
      <c r="U66" s="21"/>
      <c r="V66" s="10"/>
      <c r="W66" s="299"/>
      <c r="AM66" s="300" t="s">
        <v>397</v>
      </c>
      <c r="AQ66" s="10"/>
      <c r="AR66" s="48" t="s">
        <v>400</v>
      </c>
    </row>
    <row r="67" ht="15.75" customHeight="1">
      <c r="A67" s="10"/>
      <c r="B67" s="42"/>
      <c r="C67" s="43"/>
      <c r="D67" s="43"/>
      <c r="E67" s="43"/>
      <c r="F67" s="43"/>
      <c r="G67" s="43"/>
      <c r="H67" s="43"/>
      <c r="I67" s="43"/>
      <c r="J67" s="43"/>
      <c r="K67" s="43"/>
      <c r="L67" s="43"/>
      <c r="M67" s="43"/>
      <c r="N67" s="43"/>
      <c r="O67" s="43"/>
      <c r="P67" s="43"/>
      <c r="Q67" s="43"/>
      <c r="R67" s="43"/>
      <c r="S67" s="43"/>
      <c r="T67" s="43"/>
      <c r="U67" s="44"/>
      <c r="V67" s="10"/>
      <c r="W67" s="43"/>
      <c r="X67" s="43"/>
      <c r="Y67" s="43"/>
      <c r="Z67" s="43"/>
      <c r="AA67" s="43"/>
      <c r="AB67" s="43"/>
      <c r="AC67" s="43"/>
      <c r="AD67" s="43"/>
      <c r="AE67" s="43"/>
      <c r="AF67" s="43"/>
      <c r="AG67" s="43"/>
      <c r="AH67" s="43"/>
      <c r="AI67" s="43"/>
      <c r="AJ67" s="43"/>
      <c r="AK67" s="43"/>
      <c r="AL67" s="43"/>
      <c r="AM67" s="43"/>
      <c r="AN67" s="43"/>
      <c r="AO67" s="43"/>
      <c r="AP67" s="43"/>
      <c r="AQ67" s="10"/>
      <c r="AR67" s="326"/>
      <c r="AS67" s="43"/>
      <c r="AT67" s="43"/>
      <c r="AU67" s="43"/>
      <c r="AV67" s="43"/>
      <c r="AW67" s="43"/>
      <c r="AX67" s="43"/>
      <c r="AY67" s="43"/>
      <c r="AZ67" s="43"/>
      <c r="BA67" s="43"/>
      <c r="BB67" s="43"/>
      <c r="BC67" s="43"/>
      <c r="BD67" s="43"/>
      <c r="BE67" s="43"/>
      <c r="BF67" s="43"/>
    </row>
    <row r="68" ht="9.75" customHeight="1">
      <c r="A68" s="10"/>
      <c r="B68" s="299"/>
      <c r="R68" s="300" t="s">
        <v>33</v>
      </c>
      <c r="V68" s="10"/>
      <c r="W68" s="299"/>
      <c r="AM68" s="300" t="s">
        <v>419</v>
      </c>
      <c r="AQ68" s="10"/>
      <c r="AR68" s="48" t="s">
        <v>420</v>
      </c>
    </row>
    <row r="69" ht="15.75" customHeight="1">
      <c r="A69" s="10"/>
      <c r="B69" s="43"/>
      <c r="C69" s="43"/>
      <c r="D69" s="43"/>
      <c r="E69" s="43"/>
      <c r="F69" s="43"/>
      <c r="G69" s="43"/>
      <c r="H69" s="43"/>
      <c r="I69" s="43"/>
      <c r="J69" s="43"/>
      <c r="K69" s="43"/>
      <c r="L69" s="43"/>
      <c r="M69" s="43"/>
      <c r="N69" s="43"/>
      <c r="O69" s="43"/>
      <c r="P69" s="43"/>
      <c r="Q69" s="43"/>
      <c r="R69" s="43"/>
      <c r="S69" s="43"/>
      <c r="T69" s="43"/>
      <c r="U69" s="43"/>
      <c r="V69" s="10"/>
      <c r="W69" s="43"/>
      <c r="X69" s="43"/>
      <c r="Y69" s="43"/>
      <c r="Z69" s="43"/>
      <c r="AA69" s="43"/>
      <c r="AB69" s="43"/>
      <c r="AC69" s="43"/>
      <c r="AD69" s="43"/>
      <c r="AE69" s="43"/>
      <c r="AF69" s="43"/>
      <c r="AG69" s="43"/>
      <c r="AH69" s="43"/>
      <c r="AI69" s="43"/>
      <c r="AJ69" s="43"/>
      <c r="AK69" s="43"/>
      <c r="AL69" s="43"/>
      <c r="AM69" s="43"/>
      <c r="AN69" s="43"/>
      <c r="AO69" s="43"/>
      <c r="AP69" s="43"/>
      <c r="AQ69" s="10"/>
      <c r="AR69" s="326"/>
      <c r="AS69" s="43"/>
      <c r="AT69" s="43"/>
      <c r="AU69" s="43"/>
      <c r="AV69" s="43"/>
      <c r="AW69" s="43"/>
      <c r="AX69" s="43"/>
      <c r="AY69" s="43"/>
      <c r="AZ69" s="43"/>
      <c r="BA69" s="43"/>
      <c r="BB69" s="43"/>
      <c r="BC69" s="43"/>
      <c r="BD69" s="43"/>
      <c r="BE69" s="43"/>
      <c r="BF69" s="43"/>
    </row>
    <row r="70" ht="10.5" customHeight="1">
      <c r="A70" s="10"/>
      <c r="B70" s="299"/>
      <c r="R70" s="300" t="s">
        <v>431</v>
      </c>
      <c r="V70" s="10"/>
      <c r="W70" s="299"/>
      <c r="AM70" s="300" t="s">
        <v>433</v>
      </c>
      <c r="AQ70" s="10"/>
      <c r="AR70" s="48" t="s">
        <v>434</v>
      </c>
    </row>
    <row r="71" ht="15.75" customHeight="1">
      <c r="A71" s="10"/>
      <c r="B71" s="43"/>
      <c r="C71" s="43"/>
      <c r="D71" s="43"/>
      <c r="E71" s="43"/>
      <c r="F71" s="43"/>
      <c r="G71" s="43"/>
      <c r="H71" s="43"/>
      <c r="I71" s="43"/>
      <c r="J71" s="43"/>
      <c r="K71" s="43"/>
      <c r="L71" s="43"/>
      <c r="M71" s="43"/>
      <c r="N71" s="43"/>
      <c r="O71" s="43"/>
      <c r="P71" s="43"/>
      <c r="Q71" s="43"/>
      <c r="R71" s="43"/>
      <c r="S71" s="43"/>
      <c r="T71" s="43"/>
      <c r="U71" s="43"/>
      <c r="V71" s="10"/>
      <c r="W71" s="43"/>
      <c r="X71" s="43"/>
      <c r="Y71" s="43"/>
      <c r="Z71" s="43"/>
      <c r="AA71" s="43"/>
      <c r="AB71" s="43"/>
      <c r="AC71" s="43"/>
      <c r="AD71" s="43"/>
      <c r="AE71" s="43"/>
      <c r="AF71" s="43"/>
      <c r="AG71" s="43"/>
      <c r="AH71" s="43"/>
      <c r="AI71" s="43"/>
      <c r="AJ71" s="43"/>
      <c r="AK71" s="43"/>
      <c r="AL71" s="43"/>
      <c r="AM71" s="43"/>
      <c r="AN71" s="43"/>
      <c r="AO71" s="43"/>
      <c r="AP71" s="43"/>
      <c r="AQ71" s="10"/>
      <c r="AR71" s="326"/>
      <c r="AS71" s="43"/>
      <c r="AT71" s="43"/>
      <c r="AU71" s="43"/>
      <c r="AV71" s="43"/>
      <c r="AW71" s="43"/>
      <c r="AX71" s="43"/>
      <c r="AY71" s="43"/>
      <c r="AZ71" s="43"/>
      <c r="BA71" s="43"/>
      <c r="BB71" s="43"/>
      <c r="BC71" s="43"/>
      <c r="BD71" s="43"/>
      <c r="BE71" s="43"/>
      <c r="BF71" s="43"/>
    </row>
    <row r="72" ht="9.75" customHeight="1">
      <c r="A72" s="10"/>
      <c r="B72" s="299"/>
      <c r="R72" s="300" t="s">
        <v>441</v>
      </c>
      <c r="V72" s="10"/>
      <c r="W72" s="299"/>
      <c r="AM72" s="300" t="s">
        <v>445</v>
      </c>
      <c r="AQ72" s="10"/>
      <c r="AR72" s="48" t="s">
        <v>446</v>
      </c>
    </row>
    <row r="73" ht="15.75" customHeight="1">
      <c r="A73" s="10"/>
      <c r="B73" s="43"/>
      <c r="C73" s="43"/>
      <c r="D73" s="43"/>
      <c r="E73" s="43"/>
      <c r="F73" s="43"/>
      <c r="G73" s="43"/>
      <c r="H73" s="43"/>
      <c r="I73" s="43"/>
      <c r="J73" s="43"/>
      <c r="K73" s="43"/>
      <c r="L73" s="43"/>
      <c r="M73" s="43"/>
      <c r="N73" s="43"/>
      <c r="O73" s="43"/>
      <c r="P73" s="43"/>
      <c r="Q73" s="43"/>
      <c r="R73" s="43"/>
      <c r="S73" s="43"/>
      <c r="T73" s="43"/>
      <c r="U73" s="43"/>
      <c r="V73" s="10"/>
      <c r="W73" s="43"/>
      <c r="X73" s="43"/>
      <c r="Y73" s="43"/>
      <c r="Z73" s="43"/>
      <c r="AA73" s="43"/>
      <c r="AB73" s="43"/>
      <c r="AC73" s="43"/>
      <c r="AD73" s="43"/>
      <c r="AE73" s="43"/>
      <c r="AF73" s="43"/>
      <c r="AG73" s="43"/>
      <c r="AH73" s="43"/>
      <c r="AI73" s="43"/>
      <c r="AJ73" s="43"/>
      <c r="AK73" s="43"/>
      <c r="AL73" s="43"/>
      <c r="AM73" s="43"/>
      <c r="AN73" s="43"/>
      <c r="AO73" s="43"/>
      <c r="AP73" s="43"/>
      <c r="AQ73" s="10"/>
      <c r="AR73" s="326"/>
      <c r="AS73" s="43"/>
      <c r="AT73" s="43"/>
      <c r="AU73" s="43"/>
      <c r="AV73" s="43"/>
      <c r="AW73" s="43"/>
      <c r="AX73" s="43"/>
      <c r="AY73" s="43"/>
      <c r="AZ73" s="43"/>
      <c r="BA73" s="43"/>
      <c r="BB73" s="43"/>
      <c r="BC73" s="43"/>
      <c r="BD73" s="43"/>
      <c r="BE73" s="43"/>
      <c r="BF73" s="43"/>
    </row>
    <row r="74" ht="9.75" customHeight="1">
      <c r="A74" s="10"/>
      <c r="B74" s="299"/>
      <c r="R74" s="300" t="s">
        <v>449</v>
      </c>
      <c r="V74" s="10"/>
      <c r="W74" s="299"/>
      <c r="AM74" s="300" t="s">
        <v>452</v>
      </c>
      <c r="AQ74" s="10"/>
      <c r="AR74" s="48" t="s">
        <v>454</v>
      </c>
    </row>
    <row r="75" ht="15.75" customHeight="1">
      <c r="A75" s="10"/>
      <c r="B75" s="43"/>
      <c r="C75" s="43"/>
      <c r="D75" s="43"/>
      <c r="E75" s="43"/>
      <c r="F75" s="43"/>
      <c r="G75" s="43"/>
      <c r="H75" s="43"/>
      <c r="I75" s="43"/>
      <c r="J75" s="43"/>
      <c r="K75" s="43"/>
      <c r="L75" s="43"/>
      <c r="M75" s="43"/>
      <c r="N75" s="43"/>
      <c r="O75" s="43"/>
      <c r="P75" s="43"/>
      <c r="Q75" s="43"/>
      <c r="R75" s="43"/>
      <c r="S75" s="43"/>
      <c r="T75" s="43"/>
      <c r="U75" s="43"/>
      <c r="V75" s="10"/>
      <c r="W75" s="43"/>
      <c r="X75" s="43"/>
      <c r="Y75" s="43"/>
      <c r="Z75" s="43"/>
      <c r="AA75" s="43"/>
      <c r="AB75" s="43"/>
      <c r="AC75" s="43"/>
      <c r="AD75" s="43"/>
      <c r="AE75" s="43"/>
      <c r="AF75" s="43"/>
      <c r="AG75" s="43"/>
      <c r="AH75" s="43"/>
      <c r="AI75" s="43"/>
      <c r="AJ75" s="43"/>
      <c r="AK75" s="43"/>
      <c r="AL75" s="43"/>
      <c r="AM75" s="43"/>
      <c r="AN75" s="43"/>
      <c r="AO75" s="43"/>
      <c r="AP75" s="43"/>
      <c r="AQ75" s="10"/>
      <c r="AR75" s="326"/>
      <c r="AS75" s="43"/>
      <c r="AT75" s="43"/>
      <c r="AU75" s="43"/>
      <c r="AV75" s="43"/>
      <c r="AW75" s="43"/>
      <c r="AX75" s="43"/>
      <c r="AY75" s="43"/>
      <c r="AZ75" s="43"/>
      <c r="BA75" s="43"/>
      <c r="BB75" s="43"/>
      <c r="BC75" s="43"/>
      <c r="BD75" s="43"/>
      <c r="BE75" s="43"/>
      <c r="BF75" s="43"/>
    </row>
    <row r="76" ht="9.75" customHeight="1">
      <c r="A76" s="10"/>
      <c r="B76" s="299"/>
      <c r="R76" s="300" t="s">
        <v>463</v>
      </c>
      <c r="V76" s="10"/>
      <c r="W76" s="299"/>
      <c r="AM76" s="300" t="s">
        <v>465</v>
      </c>
      <c r="AQ76" s="10"/>
      <c r="AR76" s="48" t="s">
        <v>468</v>
      </c>
    </row>
    <row r="77" ht="15.75" customHeight="1">
      <c r="A77" s="10"/>
      <c r="B77" s="43"/>
      <c r="C77" s="43"/>
      <c r="D77" s="43"/>
      <c r="E77" s="43"/>
      <c r="F77" s="43"/>
      <c r="G77" s="43"/>
      <c r="H77" s="43"/>
      <c r="I77" s="43"/>
      <c r="J77" s="43"/>
      <c r="K77" s="43"/>
      <c r="L77" s="43"/>
      <c r="M77" s="43"/>
      <c r="N77" s="43"/>
      <c r="O77" s="43"/>
      <c r="P77" s="43"/>
      <c r="Q77" s="43"/>
      <c r="R77" s="43"/>
      <c r="S77" s="43"/>
      <c r="T77" s="43"/>
      <c r="U77" s="43"/>
      <c r="V77" s="10"/>
      <c r="W77" s="43"/>
      <c r="X77" s="43"/>
      <c r="Y77" s="43"/>
      <c r="Z77" s="43"/>
      <c r="AA77" s="43"/>
      <c r="AB77" s="43"/>
      <c r="AC77" s="43"/>
      <c r="AD77" s="43"/>
      <c r="AE77" s="43"/>
      <c r="AF77" s="43"/>
      <c r="AG77" s="43"/>
      <c r="AH77" s="43"/>
      <c r="AI77" s="43"/>
      <c r="AJ77" s="43"/>
      <c r="AK77" s="43"/>
      <c r="AL77" s="43"/>
      <c r="AM77" s="43"/>
      <c r="AN77" s="43"/>
      <c r="AO77" s="43"/>
      <c r="AP77" s="43"/>
      <c r="AQ77" s="10"/>
      <c r="AR77" s="326"/>
      <c r="AS77" s="43"/>
      <c r="AT77" s="43"/>
      <c r="AU77" s="43"/>
      <c r="AV77" s="43"/>
      <c r="AW77" s="43"/>
      <c r="AX77" s="43"/>
      <c r="AY77" s="43"/>
      <c r="AZ77" s="43"/>
      <c r="BA77" s="43"/>
      <c r="BB77" s="43"/>
      <c r="BC77" s="43"/>
      <c r="BD77" s="43"/>
      <c r="BE77" s="43"/>
      <c r="BF77" s="43"/>
    </row>
    <row r="78" ht="9.75" customHeight="1">
      <c r="A78" s="10"/>
      <c r="B78" s="299"/>
      <c r="R78" s="300" t="s">
        <v>479</v>
      </c>
      <c r="V78" s="10"/>
      <c r="W78" s="299"/>
      <c r="AM78" s="300" t="s">
        <v>481</v>
      </c>
      <c r="AQ78" s="10"/>
      <c r="AR78" s="48" t="s">
        <v>482</v>
      </c>
    </row>
    <row r="79" ht="15.75" customHeight="1">
      <c r="A79" s="10"/>
      <c r="B79" s="43"/>
      <c r="C79" s="43"/>
      <c r="D79" s="43"/>
      <c r="E79" s="43"/>
      <c r="F79" s="43"/>
      <c r="G79" s="43"/>
      <c r="H79" s="43"/>
      <c r="I79" s="43"/>
      <c r="J79" s="43"/>
      <c r="K79" s="43"/>
      <c r="L79" s="43"/>
      <c r="M79" s="43"/>
      <c r="N79" s="43"/>
      <c r="O79" s="43"/>
      <c r="P79" s="43"/>
      <c r="Q79" s="43"/>
      <c r="R79" s="43"/>
      <c r="S79" s="43"/>
      <c r="T79" s="43"/>
      <c r="U79" s="43"/>
      <c r="V79" s="10"/>
      <c r="W79" s="43"/>
      <c r="X79" s="43"/>
      <c r="Y79" s="43"/>
      <c r="Z79" s="43"/>
      <c r="AA79" s="43"/>
      <c r="AB79" s="43"/>
      <c r="AC79" s="43"/>
      <c r="AD79" s="43"/>
      <c r="AE79" s="43"/>
      <c r="AF79" s="43"/>
      <c r="AG79" s="43"/>
      <c r="AH79" s="43"/>
      <c r="AI79" s="43"/>
      <c r="AJ79" s="43"/>
      <c r="AK79" s="43"/>
      <c r="AL79" s="43"/>
      <c r="AM79" s="43"/>
      <c r="AN79" s="43"/>
      <c r="AO79" s="43"/>
      <c r="AP79" s="43"/>
      <c r="AQ79" s="10"/>
      <c r="AR79" s="326"/>
      <c r="AS79" s="43"/>
      <c r="AT79" s="43"/>
      <c r="AU79" s="43"/>
      <c r="AV79" s="43"/>
      <c r="AW79" s="43"/>
      <c r="AX79" s="43"/>
      <c r="AY79" s="43"/>
      <c r="AZ79" s="43"/>
      <c r="BA79" s="43"/>
      <c r="BB79" s="43"/>
      <c r="BC79" s="43"/>
      <c r="BD79" s="43"/>
      <c r="BE79" s="43"/>
      <c r="BF79" s="43"/>
    </row>
    <row r="80" ht="9.75" customHeight="1">
      <c r="A80" s="10"/>
      <c r="B80" s="299"/>
      <c r="R80" s="300" t="s">
        <v>492</v>
      </c>
      <c r="V80" s="10"/>
      <c r="W80" s="299"/>
      <c r="AM80" s="300" t="s">
        <v>495</v>
      </c>
      <c r="AQ80" s="10"/>
      <c r="AR80" s="48" t="s">
        <v>497</v>
      </c>
    </row>
    <row r="81" ht="15.75" customHeight="1">
      <c r="A81" s="10"/>
      <c r="B81" s="43"/>
      <c r="C81" s="43"/>
      <c r="D81" s="43"/>
      <c r="E81" s="43"/>
      <c r="F81" s="43"/>
      <c r="G81" s="43"/>
      <c r="H81" s="43"/>
      <c r="I81" s="43"/>
      <c r="J81" s="43"/>
      <c r="K81" s="43"/>
      <c r="L81" s="43"/>
      <c r="M81" s="43"/>
      <c r="N81" s="43"/>
      <c r="O81" s="43"/>
      <c r="P81" s="43"/>
      <c r="Q81" s="43"/>
      <c r="R81" s="43"/>
      <c r="S81" s="43"/>
      <c r="T81" s="43"/>
      <c r="U81" s="43"/>
      <c r="V81" s="10"/>
      <c r="W81" s="43"/>
      <c r="X81" s="43"/>
      <c r="Y81" s="43"/>
      <c r="Z81" s="43"/>
      <c r="AA81" s="43"/>
      <c r="AB81" s="43"/>
      <c r="AC81" s="43"/>
      <c r="AD81" s="43"/>
      <c r="AE81" s="43"/>
      <c r="AF81" s="43"/>
      <c r="AG81" s="43"/>
      <c r="AH81" s="43"/>
      <c r="AI81" s="43"/>
      <c r="AJ81" s="43"/>
      <c r="AK81" s="43"/>
      <c r="AL81" s="43"/>
      <c r="AM81" s="43"/>
      <c r="AN81" s="43"/>
      <c r="AO81" s="43"/>
      <c r="AP81" s="43"/>
      <c r="AQ81" s="10"/>
      <c r="AR81" s="326"/>
      <c r="AS81" s="43"/>
      <c r="AT81" s="43"/>
      <c r="AU81" s="43"/>
      <c r="AV81" s="43"/>
      <c r="AW81" s="43"/>
      <c r="AX81" s="43"/>
      <c r="AY81" s="43"/>
      <c r="AZ81" s="43"/>
      <c r="BA81" s="43"/>
      <c r="BB81" s="43"/>
      <c r="BC81" s="43"/>
      <c r="BD81" s="43"/>
      <c r="BE81" s="43"/>
      <c r="BF81" s="43"/>
    </row>
    <row r="82" ht="9.75" customHeight="1">
      <c r="A82" s="10"/>
      <c r="B82" s="299"/>
      <c r="R82" s="300" t="s">
        <v>503</v>
      </c>
      <c r="V82" s="10"/>
      <c r="W82" s="299"/>
      <c r="AM82" s="300" t="s">
        <v>504</v>
      </c>
      <c r="AQ82" s="10"/>
      <c r="AR82" s="48" t="s">
        <v>505</v>
      </c>
    </row>
    <row r="83" ht="15.75" customHeight="1">
      <c r="A83" s="10"/>
      <c r="B83" s="43"/>
      <c r="C83" s="43"/>
      <c r="D83" s="43"/>
      <c r="E83" s="43"/>
      <c r="F83" s="43"/>
      <c r="G83" s="43"/>
      <c r="H83" s="43"/>
      <c r="I83" s="43"/>
      <c r="J83" s="43"/>
      <c r="K83" s="43"/>
      <c r="L83" s="43"/>
      <c r="M83" s="43"/>
      <c r="N83" s="43"/>
      <c r="O83" s="43"/>
      <c r="P83" s="43"/>
      <c r="Q83" s="43"/>
      <c r="R83" s="43"/>
      <c r="S83" s="43"/>
      <c r="T83" s="43"/>
      <c r="U83" s="43"/>
      <c r="V83" s="10"/>
      <c r="W83" s="43"/>
      <c r="X83" s="43"/>
      <c r="Y83" s="43"/>
      <c r="Z83" s="43"/>
      <c r="AA83" s="43"/>
      <c r="AB83" s="43"/>
      <c r="AC83" s="43"/>
      <c r="AD83" s="43"/>
      <c r="AE83" s="43"/>
      <c r="AF83" s="43"/>
      <c r="AG83" s="43"/>
      <c r="AH83" s="43"/>
      <c r="AI83" s="43"/>
      <c r="AJ83" s="43"/>
      <c r="AK83" s="43"/>
      <c r="AL83" s="43"/>
      <c r="AM83" s="43"/>
      <c r="AN83" s="43"/>
      <c r="AO83" s="43"/>
      <c r="AP83" s="43"/>
      <c r="AQ83" s="10"/>
      <c r="AR83" s="326"/>
      <c r="AS83" s="43"/>
      <c r="AT83" s="43"/>
      <c r="AU83" s="43"/>
      <c r="AV83" s="43"/>
      <c r="AW83" s="43"/>
      <c r="AX83" s="43"/>
      <c r="AY83" s="43"/>
      <c r="AZ83" s="43"/>
      <c r="BA83" s="43"/>
      <c r="BB83" s="43"/>
      <c r="BC83" s="43"/>
      <c r="BD83" s="43"/>
      <c r="BE83" s="43"/>
      <c r="BF83" s="43"/>
    </row>
    <row r="84" ht="9.75" customHeight="1">
      <c r="A84" s="10"/>
      <c r="B84" s="299"/>
      <c r="R84" s="300" t="s">
        <v>510</v>
      </c>
      <c r="V84" s="10"/>
      <c r="W84" s="299"/>
      <c r="AM84" s="300" t="s">
        <v>515</v>
      </c>
      <c r="AQ84" s="10"/>
      <c r="AR84" s="48" t="s">
        <v>517</v>
      </c>
    </row>
    <row r="85" ht="15.75" customHeight="1">
      <c r="A85" s="10"/>
      <c r="B85" s="43"/>
      <c r="C85" s="43"/>
      <c r="D85" s="43"/>
      <c r="E85" s="43"/>
      <c r="F85" s="43"/>
      <c r="G85" s="43"/>
      <c r="H85" s="43"/>
      <c r="I85" s="43"/>
      <c r="J85" s="43"/>
      <c r="K85" s="43"/>
      <c r="L85" s="43"/>
      <c r="M85" s="43"/>
      <c r="N85" s="43"/>
      <c r="O85" s="43"/>
      <c r="P85" s="43"/>
      <c r="Q85" s="43"/>
      <c r="R85" s="43"/>
      <c r="S85" s="43"/>
      <c r="T85" s="43"/>
      <c r="U85" s="43"/>
      <c r="V85" s="10"/>
      <c r="W85" s="43"/>
      <c r="X85" s="43"/>
      <c r="Y85" s="43"/>
      <c r="Z85" s="43"/>
      <c r="AA85" s="43"/>
      <c r="AB85" s="43"/>
      <c r="AC85" s="43"/>
      <c r="AD85" s="43"/>
      <c r="AE85" s="43"/>
      <c r="AF85" s="43"/>
      <c r="AG85" s="43"/>
      <c r="AH85" s="43"/>
      <c r="AI85" s="43"/>
      <c r="AJ85" s="43"/>
      <c r="AK85" s="43"/>
      <c r="AL85" s="43"/>
      <c r="AM85" s="43"/>
      <c r="AN85" s="43"/>
      <c r="AO85" s="43"/>
      <c r="AP85" s="43"/>
      <c r="AQ85" s="10"/>
      <c r="AR85" s="326"/>
      <c r="AS85" s="43"/>
      <c r="AT85" s="43"/>
      <c r="AU85" s="43"/>
      <c r="AV85" s="43"/>
      <c r="AW85" s="43"/>
      <c r="AX85" s="43"/>
      <c r="AY85" s="43"/>
      <c r="AZ85" s="43"/>
      <c r="BA85" s="43"/>
      <c r="BB85" s="43"/>
      <c r="BC85" s="43"/>
      <c r="BD85" s="43"/>
      <c r="BE85" s="43"/>
      <c r="BF85" s="43"/>
    </row>
    <row r="86" ht="9.75" customHeight="1">
      <c r="A86" s="10"/>
      <c r="B86" s="299"/>
      <c r="R86" s="300" t="s">
        <v>525</v>
      </c>
      <c r="V86" s="10"/>
      <c r="W86" s="299"/>
      <c r="AM86" s="300" t="s">
        <v>531</v>
      </c>
      <c r="AQ86" s="10"/>
    </row>
    <row r="87" ht="15.75" customHeight="1">
      <c r="A87" s="10"/>
      <c r="B87" s="43"/>
      <c r="C87" s="43"/>
      <c r="D87" s="43"/>
      <c r="E87" s="43"/>
      <c r="F87" s="43"/>
      <c r="G87" s="43"/>
      <c r="H87" s="43"/>
      <c r="I87" s="43"/>
      <c r="J87" s="43"/>
      <c r="K87" s="43"/>
      <c r="L87" s="43"/>
      <c r="M87" s="43"/>
      <c r="N87" s="43"/>
      <c r="O87" s="43"/>
      <c r="P87" s="43"/>
      <c r="Q87" s="43"/>
      <c r="R87" s="43"/>
      <c r="S87" s="43"/>
      <c r="T87" s="43"/>
      <c r="U87" s="43"/>
      <c r="V87" s="10"/>
      <c r="W87" s="43"/>
      <c r="X87" s="43"/>
      <c r="Y87" s="43"/>
      <c r="Z87" s="43"/>
      <c r="AA87" s="43"/>
      <c r="AB87" s="43"/>
      <c r="AC87" s="43"/>
      <c r="AD87" s="43"/>
      <c r="AE87" s="43"/>
      <c r="AF87" s="43"/>
      <c r="AG87" s="43"/>
      <c r="AH87" s="43"/>
      <c r="AI87" s="43"/>
      <c r="AJ87" s="43"/>
      <c r="AK87" s="43"/>
      <c r="AL87" s="43"/>
      <c r="AM87" s="43"/>
      <c r="AN87" s="43"/>
      <c r="AO87" s="43"/>
      <c r="AP87" s="43"/>
      <c r="AQ87" s="10"/>
    </row>
    <row r="88" ht="9.75" customHeight="1">
      <c r="A88" s="10"/>
      <c r="B88" s="299"/>
      <c r="R88" s="300" t="s">
        <v>538</v>
      </c>
      <c r="V88" s="10"/>
      <c r="W88" s="299"/>
      <c r="AM88" s="300" t="s">
        <v>541</v>
      </c>
      <c r="AQ88" s="10"/>
    </row>
    <row r="89" ht="15.75" customHeight="1">
      <c r="A89" s="10"/>
      <c r="B89" s="43"/>
      <c r="C89" s="43"/>
      <c r="D89" s="43"/>
      <c r="E89" s="43"/>
      <c r="F89" s="43"/>
      <c r="G89" s="43"/>
      <c r="H89" s="43"/>
      <c r="I89" s="43"/>
      <c r="J89" s="43"/>
      <c r="K89" s="43"/>
      <c r="L89" s="43"/>
      <c r="M89" s="43"/>
      <c r="N89" s="43"/>
      <c r="O89" s="43"/>
      <c r="P89" s="43"/>
      <c r="Q89" s="43"/>
      <c r="R89" s="43"/>
      <c r="S89" s="43"/>
      <c r="T89" s="43"/>
      <c r="U89" s="43"/>
      <c r="V89" s="10"/>
      <c r="W89" s="43"/>
      <c r="X89" s="43"/>
      <c r="Y89" s="43"/>
      <c r="Z89" s="43"/>
      <c r="AA89" s="43"/>
      <c r="AB89" s="43"/>
      <c r="AC89" s="43"/>
      <c r="AD89" s="43"/>
      <c r="AE89" s="43"/>
      <c r="AF89" s="43"/>
      <c r="AG89" s="43"/>
      <c r="AH89" s="43"/>
      <c r="AI89" s="43"/>
      <c r="AJ89" s="43"/>
      <c r="AK89" s="43"/>
      <c r="AL89" s="43"/>
      <c r="AM89" s="43"/>
      <c r="AN89" s="43"/>
      <c r="AO89" s="43"/>
      <c r="AP89" s="43"/>
      <c r="AQ89" s="10"/>
      <c r="AR89" s="257" t="s">
        <v>544</v>
      </c>
      <c r="AS89" s="29"/>
      <c r="AT89" s="29"/>
      <c r="AU89" s="29"/>
      <c r="AV89" s="29"/>
      <c r="AW89" s="29"/>
      <c r="AX89" s="29"/>
      <c r="AY89" s="29"/>
      <c r="AZ89" s="29"/>
      <c r="BA89" s="29"/>
      <c r="BB89" s="29"/>
      <c r="BC89" s="29"/>
      <c r="BD89" s="29"/>
      <c r="BE89" s="29"/>
      <c r="BF89" s="32"/>
    </row>
    <row r="90" ht="9.75" customHeight="1">
      <c r="A90" s="10"/>
      <c r="B90" s="299"/>
      <c r="R90" s="300" t="s">
        <v>120</v>
      </c>
      <c r="V90" s="10"/>
      <c r="W90" s="299"/>
      <c r="AM90" s="300" t="s">
        <v>549</v>
      </c>
      <c r="AR90" s="196" t="s">
        <v>550</v>
      </c>
      <c r="AS90" s="19"/>
      <c r="AT90" s="19"/>
      <c r="AU90" s="19"/>
      <c r="AV90" s="19"/>
      <c r="AW90" s="19"/>
      <c r="AX90" s="19"/>
      <c r="AY90" s="19"/>
      <c r="AZ90" s="19"/>
      <c r="BA90" s="19"/>
      <c r="BB90" s="19"/>
      <c r="BC90" s="19"/>
      <c r="BD90" s="19"/>
      <c r="BE90" s="19"/>
      <c r="BF90" s="21"/>
    </row>
    <row r="91" ht="15.75" customHeight="1">
      <c r="A91" s="10"/>
      <c r="B91" s="43"/>
      <c r="C91" s="43"/>
      <c r="D91" s="43"/>
      <c r="E91" s="43"/>
      <c r="F91" s="43"/>
      <c r="G91" s="43"/>
      <c r="H91" s="43"/>
      <c r="I91" s="43"/>
      <c r="J91" s="43"/>
      <c r="K91" s="43"/>
      <c r="L91" s="43"/>
      <c r="M91" s="43"/>
      <c r="N91" s="43"/>
      <c r="O91" s="43"/>
      <c r="P91" s="43"/>
      <c r="Q91" s="43"/>
      <c r="R91" s="43"/>
      <c r="S91" s="43"/>
      <c r="T91" s="43"/>
      <c r="U91" s="43"/>
      <c r="V91" s="10"/>
      <c r="W91" s="43"/>
      <c r="X91" s="43"/>
      <c r="Y91" s="43"/>
      <c r="Z91" s="43"/>
      <c r="AA91" s="43"/>
      <c r="AB91" s="43"/>
      <c r="AC91" s="43"/>
      <c r="AD91" s="43"/>
      <c r="AE91" s="43"/>
      <c r="AF91" s="43"/>
      <c r="AG91" s="43"/>
      <c r="AH91" s="43"/>
      <c r="AI91" s="43"/>
      <c r="AJ91" s="43"/>
      <c r="AK91" s="43"/>
      <c r="AL91" s="43"/>
      <c r="AM91" s="43"/>
      <c r="AN91" s="43"/>
      <c r="AO91" s="43"/>
      <c r="AP91" s="43"/>
      <c r="AR91" s="40"/>
      <c r="BF91" s="41"/>
    </row>
    <row r="92" ht="9.75" customHeight="1">
      <c r="A92" s="10"/>
      <c r="B92" s="299"/>
      <c r="R92" s="300" t="s">
        <v>120</v>
      </c>
      <c r="V92" s="10"/>
      <c r="W92" s="299"/>
      <c r="AM92" s="300" t="s">
        <v>120</v>
      </c>
      <c r="AR92" s="40"/>
      <c r="BF92" s="41"/>
    </row>
    <row r="93" ht="15.75" customHeight="1">
      <c r="A93" s="10"/>
      <c r="B93" s="43"/>
      <c r="C93" s="43"/>
      <c r="D93" s="43"/>
      <c r="E93" s="43"/>
      <c r="F93" s="43"/>
      <c r="G93" s="43"/>
      <c r="H93" s="43"/>
      <c r="I93" s="43"/>
      <c r="J93" s="43"/>
      <c r="K93" s="43"/>
      <c r="L93" s="43"/>
      <c r="M93" s="43"/>
      <c r="N93" s="43"/>
      <c r="O93" s="43"/>
      <c r="P93" s="43"/>
      <c r="Q93" s="43"/>
      <c r="R93" s="43"/>
      <c r="S93" s="43"/>
      <c r="T93" s="43"/>
      <c r="U93" s="43"/>
      <c r="V93" s="10"/>
      <c r="W93" s="43"/>
      <c r="X93" s="43"/>
      <c r="Y93" s="43"/>
      <c r="Z93" s="43"/>
      <c r="AA93" s="43"/>
      <c r="AB93" s="43"/>
      <c r="AC93" s="43"/>
      <c r="AD93" s="43"/>
      <c r="AE93" s="43"/>
      <c r="AF93" s="43"/>
      <c r="AG93" s="43"/>
      <c r="AH93" s="43"/>
      <c r="AI93" s="43"/>
      <c r="AJ93" s="43"/>
      <c r="AK93" s="43"/>
      <c r="AL93" s="43"/>
      <c r="AM93" s="43"/>
      <c r="AN93" s="43"/>
      <c r="AO93" s="43"/>
      <c r="AP93" s="43"/>
      <c r="AR93" s="40"/>
      <c r="BF93" s="41"/>
    </row>
    <row r="94" ht="9.75" customHeight="1">
      <c r="A94" s="10"/>
      <c r="B94" s="299"/>
      <c r="R94" s="300" t="s">
        <v>120</v>
      </c>
      <c r="V94" s="10"/>
      <c r="W94" s="299"/>
      <c r="AM94" s="300" t="s">
        <v>120</v>
      </c>
      <c r="AR94" s="40"/>
      <c r="BF94" s="41"/>
    </row>
    <row r="95" ht="15.75" customHeight="1">
      <c r="B95" s="43"/>
      <c r="C95" s="43"/>
      <c r="D95" s="43"/>
      <c r="E95" s="43"/>
      <c r="F95" s="43"/>
      <c r="G95" s="43"/>
      <c r="H95" s="43"/>
      <c r="I95" s="43"/>
      <c r="J95" s="43"/>
      <c r="K95" s="43"/>
      <c r="L95" s="43"/>
      <c r="M95" s="43"/>
      <c r="N95" s="43"/>
      <c r="O95" s="43"/>
      <c r="P95" s="43"/>
      <c r="Q95" s="43"/>
      <c r="R95" s="43"/>
      <c r="S95" s="43"/>
      <c r="T95" s="43"/>
      <c r="U95" s="43"/>
      <c r="V95" s="10"/>
      <c r="W95" s="43"/>
      <c r="X95" s="43"/>
      <c r="Y95" s="43"/>
      <c r="Z95" s="43"/>
      <c r="AA95" s="43"/>
      <c r="AB95" s="43"/>
      <c r="AC95" s="43"/>
      <c r="AD95" s="43"/>
      <c r="AE95" s="43"/>
      <c r="AF95" s="43"/>
      <c r="AG95" s="43"/>
      <c r="AH95" s="43"/>
      <c r="AI95" s="43"/>
      <c r="AJ95" s="43"/>
      <c r="AK95" s="43"/>
      <c r="AL95" s="43"/>
      <c r="AM95" s="43"/>
      <c r="AN95" s="43"/>
      <c r="AO95" s="43"/>
      <c r="AP95" s="43"/>
      <c r="AR95" s="40"/>
      <c r="BF95" s="41"/>
    </row>
    <row r="96" ht="9.75" customHeight="1">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R96" s="40"/>
      <c r="BF96" s="41"/>
    </row>
    <row r="97" ht="15.75" customHeight="1">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R97" s="40"/>
      <c r="BF97" s="41"/>
    </row>
    <row r="98" ht="9.75" customHeight="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R98" s="40"/>
      <c r="BF98" s="41"/>
    </row>
    <row r="99" ht="15.75" customHeight="1">
      <c r="B99" s="163" t="s">
        <v>585</v>
      </c>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32"/>
      <c r="AR99" s="40"/>
      <c r="BF99" s="41"/>
    </row>
    <row r="100" ht="9.75" customHeight="1">
      <c r="B100" s="299"/>
      <c r="R100" s="300" t="s">
        <v>600</v>
      </c>
      <c r="V100" s="10"/>
      <c r="W100" s="299"/>
      <c r="AM100" s="300" t="s">
        <v>603</v>
      </c>
      <c r="AR100" s="40"/>
      <c r="BF100" s="41"/>
    </row>
    <row r="101" ht="15.75" customHeight="1">
      <c r="B101" s="43"/>
      <c r="C101" s="43"/>
      <c r="D101" s="43"/>
      <c r="E101" s="43"/>
      <c r="F101" s="43"/>
      <c r="G101" s="43"/>
      <c r="H101" s="43"/>
      <c r="I101" s="43"/>
      <c r="J101" s="43"/>
      <c r="K101" s="43"/>
      <c r="L101" s="43"/>
      <c r="M101" s="43"/>
      <c r="N101" s="43"/>
      <c r="O101" s="43"/>
      <c r="P101" s="43"/>
      <c r="Q101" s="43"/>
      <c r="R101" s="43"/>
      <c r="S101" s="43"/>
      <c r="T101" s="43"/>
      <c r="U101" s="43"/>
      <c r="V101" s="10"/>
      <c r="W101" s="43"/>
      <c r="X101" s="43"/>
      <c r="Y101" s="43"/>
      <c r="Z101" s="43"/>
      <c r="AA101" s="43"/>
      <c r="AB101" s="43"/>
      <c r="AC101" s="43"/>
      <c r="AD101" s="43"/>
      <c r="AE101" s="43"/>
      <c r="AF101" s="43"/>
      <c r="AG101" s="43"/>
      <c r="AH101" s="43"/>
      <c r="AI101" s="43"/>
      <c r="AJ101" s="43"/>
      <c r="AK101" s="43"/>
      <c r="AL101" s="43"/>
      <c r="AM101" s="43"/>
      <c r="AN101" s="43"/>
      <c r="AO101" s="43"/>
      <c r="AP101" s="43"/>
      <c r="AR101" s="40"/>
      <c r="BF101" s="41"/>
    </row>
    <row r="102" ht="9.75" customHeight="1">
      <c r="B102" s="299"/>
      <c r="R102" s="300" t="s">
        <v>607</v>
      </c>
      <c r="V102" s="10"/>
      <c r="W102" s="299"/>
      <c r="AM102" s="300" t="s">
        <v>120</v>
      </c>
      <c r="AR102" s="40"/>
      <c r="BF102" s="41"/>
    </row>
    <row r="103" ht="15.75" customHeight="1">
      <c r="B103" s="43"/>
      <c r="C103" s="43"/>
      <c r="D103" s="43"/>
      <c r="E103" s="43"/>
      <c r="F103" s="43"/>
      <c r="G103" s="43"/>
      <c r="H103" s="43"/>
      <c r="I103" s="43"/>
      <c r="J103" s="43"/>
      <c r="K103" s="43"/>
      <c r="L103" s="43"/>
      <c r="M103" s="43"/>
      <c r="N103" s="43"/>
      <c r="O103" s="43"/>
      <c r="P103" s="43"/>
      <c r="Q103" s="43"/>
      <c r="R103" s="43"/>
      <c r="S103" s="43"/>
      <c r="T103" s="43"/>
      <c r="U103" s="43"/>
      <c r="V103" s="10"/>
      <c r="W103" s="43"/>
      <c r="X103" s="43"/>
      <c r="Y103" s="43"/>
      <c r="Z103" s="43"/>
      <c r="AA103" s="43"/>
      <c r="AB103" s="43"/>
      <c r="AC103" s="43"/>
      <c r="AD103" s="43"/>
      <c r="AE103" s="43"/>
      <c r="AF103" s="43"/>
      <c r="AG103" s="43"/>
      <c r="AH103" s="43"/>
      <c r="AI103" s="43"/>
      <c r="AJ103" s="43"/>
      <c r="AK103" s="43"/>
      <c r="AL103" s="43"/>
      <c r="AM103" s="43"/>
      <c r="AN103" s="43"/>
      <c r="AO103" s="43"/>
      <c r="AP103" s="43"/>
      <c r="AR103" s="40"/>
      <c r="BF103" s="41"/>
    </row>
    <row r="104" ht="9.75" customHeight="1">
      <c r="B104" s="299"/>
      <c r="R104" s="300" t="s">
        <v>615</v>
      </c>
      <c r="V104" s="10"/>
      <c r="W104" s="299"/>
      <c r="AM104" s="300" t="s">
        <v>120</v>
      </c>
      <c r="AR104" s="40"/>
      <c r="BF104" s="41"/>
    </row>
    <row r="105" ht="15.75" customHeight="1">
      <c r="B105" s="43"/>
      <c r="C105" s="43"/>
      <c r="D105" s="43"/>
      <c r="E105" s="43"/>
      <c r="F105" s="43"/>
      <c r="G105" s="43"/>
      <c r="H105" s="43"/>
      <c r="I105" s="43"/>
      <c r="J105" s="43"/>
      <c r="K105" s="43"/>
      <c r="L105" s="43"/>
      <c r="M105" s="43"/>
      <c r="N105" s="43"/>
      <c r="O105" s="43"/>
      <c r="P105" s="43"/>
      <c r="Q105" s="43"/>
      <c r="R105" s="43"/>
      <c r="S105" s="43"/>
      <c r="T105" s="43"/>
      <c r="U105" s="43"/>
      <c r="V105" s="10"/>
      <c r="W105" s="43"/>
      <c r="X105" s="43"/>
      <c r="Y105" s="43"/>
      <c r="Z105" s="43"/>
      <c r="AA105" s="43"/>
      <c r="AB105" s="43"/>
      <c r="AC105" s="43"/>
      <c r="AD105" s="43"/>
      <c r="AE105" s="43"/>
      <c r="AF105" s="43"/>
      <c r="AG105" s="43"/>
      <c r="AH105" s="43"/>
      <c r="AI105" s="43"/>
      <c r="AJ105" s="43"/>
      <c r="AK105" s="43"/>
      <c r="AL105" s="43"/>
      <c r="AM105" s="43"/>
      <c r="AN105" s="43"/>
      <c r="AO105" s="43"/>
      <c r="AP105" s="43"/>
      <c r="AR105" s="40"/>
      <c r="BF105" s="41"/>
    </row>
    <row r="106" ht="9.75" customHeight="1">
      <c r="B106" s="299"/>
      <c r="R106" s="300" t="s">
        <v>629</v>
      </c>
      <c r="V106" s="10"/>
      <c r="W106" s="299"/>
      <c r="AM106" s="300" t="s">
        <v>120</v>
      </c>
      <c r="AR106" s="40"/>
      <c r="BF106" s="41"/>
    </row>
    <row r="107" ht="15.75" customHeight="1">
      <c r="B107" s="43"/>
      <c r="C107" s="43"/>
      <c r="D107" s="43"/>
      <c r="E107" s="43"/>
      <c r="F107" s="43"/>
      <c r="G107" s="43"/>
      <c r="H107" s="43"/>
      <c r="I107" s="43"/>
      <c r="J107" s="43"/>
      <c r="K107" s="43"/>
      <c r="L107" s="43"/>
      <c r="M107" s="43"/>
      <c r="N107" s="43"/>
      <c r="O107" s="43"/>
      <c r="P107" s="43"/>
      <c r="Q107" s="43"/>
      <c r="R107" s="43"/>
      <c r="S107" s="43"/>
      <c r="T107" s="43"/>
      <c r="U107" s="43"/>
      <c r="V107" s="10"/>
      <c r="W107" s="43"/>
      <c r="X107" s="43"/>
      <c r="Y107" s="43"/>
      <c r="Z107" s="43"/>
      <c r="AA107" s="43"/>
      <c r="AB107" s="43"/>
      <c r="AC107" s="43"/>
      <c r="AD107" s="43"/>
      <c r="AE107" s="43"/>
      <c r="AF107" s="43"/>
      <c r="AG107" s="43"/>
      <c r="AH107" s="43"/>
      <c r="AI107" s="43"/>
      <c r="AJ107" s="43"/>
      <c r="AK107" s="43"/>
      <c r="AL107" s="43"/>
      <c r="AM107" s="43"/>
      <c r="AN107" s="43"/>
      <c r="AO107" s="43"/>
      <c r="AP107" s="43"/>
      <c r="AR107" s="42"/>
      <c r="AS107" s="43"/>
      <c r="AT107" s="43"/>
      <c r="AU107" s="43"/>
      <c r="AV107" s="43"/>
      <c r="AW107" s="43"/>
      <c r="AX107" s="43"/>
      <c r="AY107" s="43"/>
      <c r="AZ107" s="43"/>
      <c r="BA107" s="43"/>
      <c r="BB107" s="43"/>
      <c r="BC107" s="43"/>
      <c r="BD107" s="43"/>
      <c r="BE107" s="43"/>
      <c r="BF107" s="44"/>
    </row>
    <row r="108" ht="9.75" customHeight="1">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O108" s="10"/>
    </row>
    <row r="109" ht="9.75" customHeight="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O109" s="10"/>
    </row>
  </sheetData>
  <mergeCells count="297">
    <mergeCell ref="B52:Q53"/>
    <mergeCell ref="B54:Q55"/>
    <mergeCell ref="R54:U55"/>
    <mergeCell ref="W54:AL55"/>
    <mergeCell ref="AM54:AP55"/>
    <mergeCell ref="B56:Q57"/>
    <mergeCell ref="R56:U57"/>
    <mergeCell ref="B58:Q59"/>
    <mergeCell ref="R58:U59"/>
    <mergeCell ref="W58:AL59"/>
    <mergeCell ref="AM58:AP59"/>
    <mergeCell ref="R60:U61"/>
    <mergeCell ref="W60:AL61"/>
    <mergeCell ref="AM60:AP61"/>
    <mergeCell ref="Y30:AK30"/>
    <mergeCell ref="AM30:AV30"/>
    <mergeCell ref="Y31:AK31"/>
    <mergeCell ref="AM31:AV31"/>
    <mergeCell ref="Y32:AK32"/>
    <mergeCell ref="AM32:AV32"/>
    <mergeCell ref="Y33:AK33"/>
    <mergeCell ref="Y34:AK34"/>
    <mergeCell ref="AM34:AV34"/>
    <mergeCell ref="Y35:AK35"/>
    <mergeCell ref="Y36:AK36"/>
    <mergeCell ref="Y37:AK37"/>
    <mergeCell ref="Y38:AK38"/>
    <mergeCell ref="Y39:AK39"/>
    <mergeCell ref="B45:BF46"/>
    <mergeCell ref="B47:U47"/>
    <mergeCell ref="W47:AP47"/>
    <mergeCell ref="B48:Q49"/>
    <mergeCell ref="R48:U49"/>
    <mergeCell ref="W48:AL49"/>
    <mergeCell ref="AM48:AP49"/>
    <mergeCell ref="B50:Q51"/>
    <mergeCell ref="R50:U51"/>
    <mergeCell ref="W50:AL51"/>
    <mergeCell ref="AM50:AP51"/>
    <mergeCell ref="R52:U53"/>
    <mergeCell ref="W52:AL53"/>
    <mergeCell ref="AM52:AP53"/>
    <mergeCell ref="W56:AL57"/>
    <mergeCell ref="AM56:AP57"/>
    <mergeCell ref="AR47:BF47"/>
    <mergeCell ref="AR48:BF48"/>
    <mergeCell ref="AR49:BF55"/>
    <mergeCell ref="AR56:BF56"/>
    <mergeCell ref="AR57:BF63"/>
    <mergeCell ref="AR65:BF65"/>
    <mergeCell ref="AR66:BF66"/>
    <mergeCell ref="AR71:BF71"/>
    <mergeCell ref="AR72:BF72"/>
    <mergeCell ref="B82:Q83"/>
    <mergeCell ref="R82:U83"/>
    <mergeCell ref="W82:AL83"/>
    <mergeCell ref="AM82:AP83"/>
    <mergeCell ref="R84:U85"/>
    <mergeCell ref="W84:AL85"/>
    <mergeCell ref="AM84:AP85"/>
    <mergeCell ref="B90:Q91"/>
    <mergeCell ref="R90:U91"/>
    <mergeCell ref="W90:AL91"/>
    <mergeCell ref="AM90:AP91"/>
    <mergeCell ref="B84:Q85"/>
    <mergeCell ref="B86:Q87"/>
    <mergeCell ref="R86:U87"/>
    <mergeCell ref="W86:AL87"/>
    <mergeCell ref="AM86:AP87"/>
    <mergeCell ref="B88:Q89"/>
    <mergeCell ref="R88:U89"/>
    <mergeCell ref="W100:AL101"/>
    <mergeCell ref="AM100:AP101"/>
    <mergeCell ref="B94:Q95"/>
    <mergeCell ref="R94:U95"/>
    <mergeCell ref="W94:AL95"/>
    <mergeCell ref="AM94:AP95"/>
    <mergeCell ref="B99:AP99"/>
    <mergeCell ref="B100:Q101"/>
    <mergeCell ref="R100:U101"/>
    <mergeCell ref="B104:Q105"/>
    <mergeCell ref="B106:Q107"/>
    <mergeCell ref="R106:U107"/>
    <mergeCell ref="W106:AL107"/>
    <mergeCell ref="AM106:AP107"/>
    <mergeCell ref="B102:Q103"/>
    <mergeCell ref="R102:U103"/>
    <mergeCell ref="W102:AL103"/>
    <mergeCell ref="AM102:AP103"/>
    <mergeCell ref="R104:U105"/>
    <mergeCell ref="W104:AL105"/>
    <mergeCell ref="AM104:AP105"/>
    <mergeCell ref="W70:AL71"/>
    <mergeCell ref="W72:AL73"/>
    <mergeCell ref="W74:AL75"/>
    <mergeCell ref="AM74:AP75"/>
    <mergeCell ref="W76:AL77"/>
    <mergeCell ref="AM76:AP77"/>
    <mergeCell ref="W78:AL79"/>
    <mergeCell ref="AM78:AP79"/>
    <mergeCell ref="B70:Q71"/>
    <mergeCell ref="R70:U71"/>
    <mergeCell ref="AM70:AP71"/>
    <mergeCell ref="AR70:BF70"/>
    <mergeCell ref="R72:U73"/>
    <mergeCell ref="AM72:AP73"/>
    <mergeCell ref="AR73:BF73"/>
    <mergeCell ref="B80:Q81"/>
    <mergeCell ref="R80:U81"/>
    <mergeCell ref="W80:AL81"/>
    <mergeCell ref="AM80:AP81"/>
    <mergeCell ref="AR81:BF81"/>
    <mergeCell ref="AR82:BF82"/>
    <mergeCell ref="AR83:BF83"/>
    <mergeCell ref="AR84:BF84"/>
    <mergeCell ref="AR85:BF85"/>
    <mergeCell ref="AR90:BF107"/>
    <mergeCell ref="AR74:BF74"/>
    <mergeCell ref="AR75:BF75"/>
    <mergeCell ref="AR76:BF76"/>
    <mergeCell ref="AR77:BF77"/>
    <mergeCell ref="AR78:BF78"/>
    <mergeCell ref="AR79:BF79"/>
    <mergeCell ref="AR80:BF80"/>
    <mergeCell ref="W88:AL89"/>
    <mergeCell ref="AM88:AP89"/>
    <mergeCell ref="AR89:BF89"/>
    <mergeCell ref="B92:Q93"/>
    <mergeCell ref="R92:U93"/>
    <mergeCell ref="W92:AL93"/>
    <mergeCell ref="AM92:AP93"/>
    <mergeCell ref="B72:Q73"/>
    <mergeCell ref="B74:Q75"/>
    <mergeCell ref="R74:U75"/>
    <mergeCell ref="B76:Q77"/>
    <mergeCell ref="R76:U77"/>
    <mergeCell ref="B78:Q79"/>
    <mergeCell ref="R78:U79"/>
    <mergeCell ref="AM15:AV15"/>
    <mergeCell ref="AM16:AV16"/>
    <mergeCell ref="AM17:AV17"/>
    <mergeCell ref="AM18:AV18"/>
    <mergeCell ref="AM7:AV7"/>
    <mergeCell ref="AM8:AV8"/>
    <mergeCell ref="AX8:BF19"/>
    <mergeCell ref="AM9:AV9"/>
    <mergeCell ref="AM10:AV10"/>
    <mergeCell ref="AM11:AV11"/>
    <mergeCell ref="AM12:AV12"/>
    <mergeCell ref="AM19:AV19"/>
    <mergeCell ref="A1:BG1"/>
    <mergeCell ref="B3:AV3"/>
    <mergeCell ref="H4:I4"/>
    <mergeCell ref="Y4:AK4"/>
    <mergeCell ref="AY4:AY5"/>
    <mergeCell ref="AZ4:BD5"/>
    <mergeCell ref="Y5:AK5"/>
    <mergeCell ref="AM4:AV4"/>
    <mergeCell ref="AM5:AV5"/>
    <mergeCell ref="Y6:AK6"/>
    <mergeCell ref="AM6:AV6"/>
    <mergeCell ref="Y7:AK7"/>
    <mergeCell ref="AX7:BF7"/>
    <mergeCell ref="Y8:AK8"/>
    <mergeCell ref="C5:G5"/>
    <mergeCell ref="H5:I5"/>
    <mergeCell ref="H6:I6"/>
    <mergeCell ref="C7:G7"/>
    <mergeCell ref="H7:I7"/>
    <mergeCell ref="H8:I8"/>
    <mergeCell ref="C9:G9"/>
    <mergeCell ref="AM13:AV13"/>
    <mergeCell ref="AM14:AV14"/>
    <mergeCell ref="Y9:AK9"/>
    <mergeCell ref="Y10:AK10"/>
    <mergeCell ref="Y11:AK11"/>
    <mergeCell ref="Y12:AK12"/>
    <mergeCell ref="Y13:AK13"/>
    <mergeCell ref="Y14:AK14"/>
    <mergeCell ref="Y15:AK15"/>
    <mergeCell ref="C17:G17"/>
    <mergeCell ref="B19:E19"/>
    <mergeCell ref="F19:G19"/>
    <mergeCell ref="H19:I19"/>
    <mergeCell ref="AM21:AV21"/>
    <mergeCell ref="AX21:BF21"/>
    <mergeCell ref="H40:I40"/>
    <mergeCell ref="H41:I41"/>
    <mergeCell ref="H42:I42"/>
    <mergeCell ref="H29:I29"/>
    <mergeCell ref="H30:I30"/>
    <mergeCell ref="H32:I32"/>
    <mergeCell ref="H34:I34"/>
    <mergeCell ref="H36:I36"/>
    <mergeCell ref="H38:I38"/>
    <mergeCell ref="H39:I39"/>
    <mergeCell ref="C11:G11"/>
    <mergeCell ref="H11:I11"/>
    <mergeCell ref="C13:G13"/>
    <mergeCell ref="H13:I13"/>
    <mergeCell ref="C15:G15"/>
    <mergeCell ref="H15:I15"/>
    <mergeCell ref="H17:I17"/>
    <mergeCell ref="H22:I22"/>
    <mergeCell ref="H24:I24"/>
    <mergeCell ref="H9:I9"/>
    <mergeCell ref="H10:I10"/>
    <mergeCell ref="H12:I12"/>
    <mergeCell ref="H14:I14"/>
    <mergeCell ref="H16:I16"/>
    <mergeCell ref="H18:I18"/>
    <mergeCell ref="H20:I20"/>
    <mergeCell ref="B21:E21"/>
    <mergeCell ref="F21:G21"/>
    <mergeCell ref="H21:I21"/>
    <mergeCell ref="B23:E23"/>
    <mergeCell ref="F23:G23"/>
    <mergeCell ref="H23:I23"/>
    <mergeCell ref="B25:E25"/>
    <mergeCell ref="F25:G25"/>
    <mergeCell ref="H25:I25"/>
    <mergeCell ref="H26:I26"/>
    <mergeCell ref="C27:G27"/>
    <mergeCell ref="H27:I27"/>
    <mergeCell ref="H28:I28"/>
    <mergeCell ref="C29:G29"/>
    <mergeCell ref="C37:G37"/>
    <mergeCell ref="C39:G39"/>
    <mergeCell ref="C41:G41"/>
    <mergeCell ref="C43:G43"/>
    <mergeCell ref="H43:I43"/>
    <mergeCell ref="C31:G31"/>
    <mergeCell ref="H31:I31"/>
    <mergeCell ref="C33:G33"/>
    <mergeCell ref="H33:I33"/>
    <mergeCell ref="C35:G35"/>
    <mergeCell ref="H35:I35"/>
    <mergeCell ref="H37:I37"/>
    <mergeCell ref="Y16:AK16"/>
    <mergeCell ref="Y17:AK17"/>
    <mergeCell ref="Y18:AK18"/>
    <mergeCell ref="Y19:AK19"/>
    <mergeCell ref="Y20:AK20"/>
    <mergeCell ref="AM20:AV20"/>
    <mergeCell ref="Y21:AK21"/>
    <mergeCell ref="Y22:AK22"/>
    <mergeCell ref="AM22:AV22"/>
    <mergeCell ref="Y23:AK23"/>
    <mergeCell ref="AM23:AV23"/>
    <mergeCell ref="Y24:AK24"/>
    <mergeCell ref="AM24:AV24"/>
    <mergeCell ref="AM25:AV25"/>
    <mergeCell ref="AM28:AV28"/>
    <mergeCell ref="AM29:AV29"/>
    <mergeCell ref="Y25:AK25"/>
    <mergeCell ref="Y26:AK26"/>
    <mergeCell ref="AM26:AV26"/>
    <mergeCell ref="Y27:AK27"/>
    <mergeCell ref="AM27:AV27"/>
    <mergeCell ref="Y28:AK28"/>
    <mergeCell ref="Y29:AK29"/>
    <mergeCell ref="AM39:AV39"/>
    <mergeCell ref="AM40:AV40"/>
    <mergeCell ref="Y40:AK40"/>
    <mergeCell ref="Y41:AK41"/>
    <mergeCell ref="Y42:AK42"/>
    <mergeCell ref="Y43:AK43"/>
    <mergeCell ref="Y44:AK44"/>
    <mergeCell ref="AM41:AV41"/>
    <mergeCell ref="AM42:AV42"/>
    <mergeCell ref="AM33:AV33"/>
    <mergeCell ref="AX33:BF33"/>
    <mergeCell ref="AX34:BF43"/>
    <mergeCell ref="AM35:AV35"/>
    <mergeCell ref="AM36:AV36"/>
    <mergeCell ref="AM37:AV37"/>
    <mergeCell ref="AM38:AV38"/>
    <mergeCell ref="AM43:AV43"/>
    <mergeCell ref="W64:AL65"/>
    <mergeCell ref="AM64:AP65"/>
    <mergeCell ref="B60:Q61"/>
    <mergeCell ref="B62:Q63"/>
    <mergeCell ref="R62:U63"/>
    <mergeCell ref="W62:AL63"/>
    <mergeCell ref="AM62:AP63"/>
    <mergeCell ref="B64:Q65"/>
    <mergeCell ref="R64:U65"/>
    <mergeCell ref="AR67:BF67"/>
    <mergeCell ref="AR68:BF68"/>
    <mergeCell ref="AR69:BF69"/>
    <mergeCell ref="B66:U67"/>
    <mergeCell ref="W66:AL67"/>
    <mergeCell ref="AM66:AP67"/>
    <mergeCell ref="B68:Q69"/>
    <mergeCell ref="R68:U69"/>
    <mergeCell ref="W68:AL69"/>
    <mergeCell ref="AM68:AP69"/>
  </mergeCells>
  <conditionalFormatting sqref="J4:U43 W4:W43 Y4 AM4 V5 Y6 AM6 V7 Y8 AM8 V9 Y10 AM10 V11 Y12 AM12 V13 Y14 AM14 V15 Y16 AM16 V17 Y18 AM18 V19 Y20 AM20 V21 Y22 AM22 V23 Y24 AM24 V25 Y26 AM26 V27 Y28 AM28 V29 Y30 AM30 V31 Y32 AM32 V33 Y34 AM34 V35 Y36 AM36 V37 Y38 AM38 V39 Y40 AM40 V41 Y42 AM42 V43 AR48 AR56 AR66 AR68 AR70 AR72 AR74 AR76 AR78 AR80 AR82 AR84">
    <cfRule type="expression" dxfId="2" priority="1">
      <formula>$AY$4</formula>
    </cfRule>
  </conditionalFormatting>
  <dataValidations>
    <dataValidation type="list" allowBlank="1" showDropDown="1" showInputMessage="1" showErrorMessage="1" prompt="Select an ability (three letter abbreviation)" sqref="K4">
      <formula1>Data!$B$14:$B$19</formula1>
    </dataValidation>
    <dataValidation type="list" allowBlank="1" showDropDown="1" showErrorMessage="1" sqref="K6 K8 K10 K12 K14 K16 K18 K20 K22 K24 K26 K28 K30 K32 K34 K36 K38 K40 K42">
      <formula1>Data!$B$14:$B$19</formula1>
    </dataValidation>
  </dataValidations>
  <printOptions gridLines="1" horizontalCentered="1" verticalCentered="1"/>
  <pageMargins bottom="0.2" footer="0.0" header="0.0" left="0.2" right="0.2" top="0.2"/>
  <pageSetup orientation="landscape" pageOrder="overThenDown"/>
  <rowBreaks count="3" manualBreakCount="3">
    <brk id="1" man="1"/>
    <brk id="107" man="1"/>
    <brk id="45" man="1"/>
  </rowBreaks>
  <colBreaks count="2" manualBreakCount="2">
    <brk man="1"/>
    <brk id="59" man="1"/>
  </colBrea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showGridLines="0" workbookViewId="0"/>
  </sheetViews>
  <sheetFormatPr customHeight="1" defaultColWidth="12.63" defaultRowHeight="15.75"/>
  <cols>
    <col customWidth="1" min="1" max="1" width="2.0"/>
    <col customWidth="1" min="2" max="89" width="2.63"/>
    <col customWidth="1" min="90" max="90" width="1.63"/>
  </cols>
  <sheetData>
    <row r="1" ht="9.75" customHeight="1">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row>
    <row r="2" ht="15.75" customHeight="1">
      <c r="A2" s="11"/>
      <c r="B2" s="28" t="s">
        <v>19</v>
      </c>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32"/>
      <c r="CL2" s="11"/>
    </row>
    <row r="3" ht="9.75" customHeight="1">
      <c r="A3" s="33"/>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5"/>
      <c r="CK3" s="35"/>
      <c r="CL3" s="35"/>
    </row>
    <row r="4" ht="15.75" customHeight="1">
      <c r="A4" s="11"/>
      <c r="B4" s="38" t="s">
        <v>27</v>
      </c>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29"/>
      <c r="AE4" s="32"/>
      <c r="AG4" s="38" t="s">
        <v>30</v>
      </c>
      <c r="AH4" s="29"/>
      <c r="AI4" s="29"/>
      <c r="AJ4" s="29"/>
      <c r="AK4" s="29"/>
      <c r="AL4" s="29"/>
      <c r="AM4" s="29"/>
      <c r="AN4" s="29"/>
      <c r="AO4" s="29"/>
      <c r="AP4" s="29"/>
      <c r="AQ4" s="29"/>
      <c r="AR4" s="29"/>
      <c r="AS4" s="29"/>
      <c r="AT4" s="29"/>
      <c r="AU4" s="29"/>
      <c r="AV4" s="29"/>
      <c r="AW4" s="29"/>
      <c r="AX4" s="29"/>
      <c r="AY4" s="29"/>
      <c r="AZ4" s="29"/>
      <c r="BA4" s="29"/>
      <c r="BB4" s="29"/>
      <c r="BC4" s="29"/>
      <c r="BD4" s="29"/>
      <c r="BE4" s="29"/>
      <c r="BF4" s="32"/>
      <c r="BH4" s="38" t="s">
        <v>32</v>
      </c>
      <c r="BI4" s="29"/>
      <c r="BJ4" s="29"/>
      <c r="BK4" s="29"/>
      <c r="BL4" s="29"/>
      <c r="BM4" s="29"/>
      <c r="BN4" s="29"/>
      <c r="BO4" s="29"/>
      <c r="BP4" s="29"/>
      <c r="BQ4" s="29"/>
      <c r="BR4" s="29"/>
      <c r="BS4" s="29"/>
      <c r="BT4" s="29"/>
      <c r="BU4" s="29"/>
      <c r="BV4" s="29"/>
      <c r="BW4" s="29"/>
      <c r="BX4" s="29"/>
      <c r="BY4" s="29"/>
      <c r="BZ4" s="29"/>
      <c r="CA4" s="29"/>
      <c r="CB4" s="29"/>
      <c r="CC4" s="29"/>
      <c r="CD4" s="29"/>
      <c r="CE4" s="29"/>
      <c r="CF4" s="29"/>
      <c r="CG4" s="32"/>
      <c r="CI4" s="46" t="s">
        <v>34</v>
      </c>
      <c r="CL4" s="34"/>
    </row>
    <row r="5" ht="9.75" customHeight="1">
      <c r="A5" s="33"/>
      <c r="B5" s="48" t="s">
        <v>35</v>
      </c>
      <c r="M5" s="48" t="s">
        <v>37</v>
      </c>
      <c r="O5" s="49"/>
      <c r="P5" s="48" t="s">
        <v>38</v>
      </c>
      <c r="R5" s="50"/>
      <c r="S5" s="51" t="s">
        <v>39</v>
      </c>
      <c r="V5" s="48" t="s">
        <v>40</v>
      </c>
      <c r="Y5" s="48" t="s">
        <v>41</v>
      </c>
      <c r="AA5" s="52"/>
      <c r="AB5" s="48" t="s">
        <v>42</v>
      </c>
      <c r="AD5" s="35"/>
      <c r="AE5" s="53" t="s">
        <v>43</v>
      </c>
      <c r="AG5" s="54" t="s">
        <v>45</v>
      </c>
      <c r="AZ5" s="53"/>
      <c r="BA5" s="55" t="s">
        <v>47</v>
      </c>
      <c r="BB5" s="56"/>
      <c r="BC5" s="58" t="s">
        <v>42</v>
      </c>
      <c r="BD5" s="59"/>
      <c r="BE5" s="48" t="s">
        <v>49</v>
      </c>
      <c r="BG5" s="35"/>
      <c r="BH5" s="60" t="s">
        <v>50</v>
      </c>
      <c r="CA5" s="53"/>
      <c r="CB5" s="53"/>
      <c r="CC5" s="53"/>
      <c r="CD5" s="53"/>
      <c r="CE5" s="53"/>
      <c r="CF5" s="48" t="s">
        <v>49</v>
      </c>
      <c r="CJ5" s="61" t="s">
        <v>52</v>
      </c>
      <c r="CL5" s="35"/>
    </row>
    <row r="6" ht="15.75" customHeight="1">
      <c r="A6" s="11"/>
      <c r="B6" s="62" t="s">
        <v>53</v>
      </c>
      <c r="C6" s="43"/>
      <c r="D6" s="43"/>
      <c r="E6" s="43"/>
      <c r="F6" s="43"/>
      <c r="G6" s="43"/>
      <c r="H6" s="43"/>
      <c r="I6" s="43"/>
      <c r="J6" s="43"/>
      <c r="K6" s="43"/>
      <c r="M6" s="63">
        <v>1.0</v>
      </c>
      <c r="O6" s="14"/>
      <c r="P6" s="63">
        <v>3.0</v>
      </c>
      <c r="R6" s="64"/>
      <c r="S6" s="65">
        <v>0.0</v>
      </c>
      <c r="V6" s="63">
        <v>0.0</v>
      </c>
      <c r="Y6" s="65">
        <v>10.0</v>
      </c>
      <c r="AA6" s="14"/>
      <c r="AB6" s="63" t="s">
        <v>57</v>
      </c>
      <c r="AD6" s="34"/>
      <c r="AE6" s="68">
        <v>0.0</v>
      </c>
      <c r="AF6" s="69"/>
      <c r="AG6" s="43"/>
      <c r="AH6" s="43"/>
      <c r="AI6" s="43"/>
      <c r="AJ6" s="43"/>
      <c r="AK6" s="43"/>
      <c r="AL6" s="43"/>
      <c r="AM6" s="43"/>
      <c r="AN6" s="43"/>
      <c r="AO6" s="43"/>
      <c r="AP6" s="43"/>
      <c r="AQ6" s="43"/>
      <c r="AR6" s="43"/>
      <c r="AS6" s="43"/>
      <c r="AT6" s="43"/>
      <c r="AU6" s="43"/>
      <c r="AV6" s="43"/>
      <c r="AW6" s="43"/>
      <c r="AX6" s="43"/>
      <c r="AY6" s="43"/>
      <c r="AZ6" s="68"/>
      <c r="BA6" s="71"/>
      <c r="BB6" s="72" t="s">
        <v>61</v>
      </c>
      <c r="BC6" s="71">
        <v>1.0</v>
      </c>
      <c r="BD6" s="74" t="s">
        <v>62</v>
      </c>
      <c r="BE6" s="80">
        <f>IF(BC6="",0,IF(BA6="", CALCBULK(BC6), BA6*CALCBULK(BC6)))</f>
        <v>1</v>
      </c>
      <c r="BH6" s="43"/>
      <c r="BI6" s="43"/>
      <c r="BJ6" s="43"/>
      <c r="BK6" s="43"/>
      <c r="BL6" s="43"/>
      <c r="BM6" s="43"/>
      <c r="BN6" s="43"/>
      <c r="BO6" s="43"/>
      <c r="BP6" s="43"/>
      <c r="BQ6" s="43"/>
      <c r="BR6" s="43"/>
      <c r="BS6" s="43"/>
      <c r="BT6" s="43"/>
      <c r="BU6" s="43"/>
      <c r="BV6" s="43"/>
      <c r="BW6" s="43"/>
      <c r="BX6" s="43"/>
      <c r="BY6" s="43"/>
      <c r="BZ6" s="43"/>
      <c r="CA6" s="68"/>
      <c r="CB6" s="68"/>
      <c r="CC6" s="68"/>
      <c r="CD6" s="68"/>
      <c r="CE6" s="68"/>
      <c r="CF6" s="80">
        <f>MAX(SUM(CF8:CG38) - 2, 0)</f>
        <v>0</v>
      </c>
      <c r="CJ6" s="68">
        <v>0.0</v>
      </c>
      <c r="CL6" s="34"/>
    </row>
    <row r="7" ht="9.75" customHeight="1">
      <c r="A7" s="33"/>
      <c r="B7" s="48" t="s">
        <v>73</v>
      </c>
      <c r="M7" s="48" t="s">
        <v>74</v>
      </c>
      <c r="O7" s="48"/>
      <c r="P7" s="48" t="s">
        <v>75</v>
      </c>
      <c r="AF7" s="69"/>
      <c r="AG7" s="54" t="s">
        <v>76</v>
      </c>
      <c r="AZ7" s="53"/>
      <c r="BA7" s="55" t="s">
        <v>47</v>
      </c>
      <c r="BB7" s="56"/>
      <c r="BC7" s="58" t="s">
        <v>42</v>
      </c>
      <c r="BD7" s="59"/>
      <c r="BE7" s="48" t="s">
        <v>49</v>
      </c>
      <c r="BI7" s="84" t="s">
        <v>77</v>
      </c>
      <c r="CA7" s="53"/>
      <c r="CB7" s="55" t="s">
        <v>47</v>
      </c>
      <c r="CC7" s="56"/>
      <c r="CD7" s="58" t="s">
        <v>42</v>
      </c>
      <c r="CE7" s="59"/>
      <c r="CF7" s="48" t="s">
        <v>49</v>
      </c>
      <c r="CJ7" s="61" t="s">
        <v>78</v>
      </c>
      <c r="CL7" s="35"/>
    </row>
    <row r="8" ht="15.75" customHeight="1">
      <c r="A8" s="11"/>
      <c r="B8" s="86" t="s">
        <v>79</v>
      </c>
      <c r="C8" s="43"/>
      <c r="D8" s="43"/>
      <c r="E8" s="43"/>
      <c r="F8" s="43"/>
      <c r="G8" s="43"/>
      <c r="H8" s="43"/>
      <c r="I8" s="43"/>
      <c r="J8" s="43"/>
      <c r="K8" s="43"/>
      <c r="M8" s="63">
        <v>0.0</v>
      </c>
      <c r="O8" s="48"/>
      <c r="P8" s="87"/>
      <c r="Q8" s="43"/>
      <c r="R8" s="43"/>
      <c r="S8" s="43"/>
      <c r="T8" s="43"/>
      <c r="U8" s="43"/>
      <c r="V8" s="43"/>
      <c r="W8" s="43"/>
      <c r="X8" s="43"/>
      <c r="Y8" s="43"/>
      <c r="Z8" s="43"/>
      <c r="AA8" s="43"/>
      <c r="AB8" s="43"/>
      <c r="AC8" s="43"/>
      <c r="AD8" s="43"/>
      <c r="AE8" s="43"/>
      <c r="AF8" s="69"/>
      <c r="AG8" s="43"/>
      <c r="AH8" s="43"/>
      <c r="AI8" s="43"/>
      <c r="AJ8" s="43"/>
      <c r="AK8" s="43"/>
      <c r="AL8" s="43"/>
      <c r="AM8" s="43"/>
      <c r="AN8" s="43"/>
      <c r="AO8" s="43"/>
      <c r="AP8" s="43"/>
      <c r="AQ8" s="43"/>
      <c r="AR8" s="43"/>
      <c r="AS8" s="43"/>
      <c r="AT8" s="43"/>
      <c r="AU8" s="43"/>
      <c r="AV8" s="43"/>
      <c r="AW8" s="43"/>
      <c r="AX8" s="43"/>
      <c r="AY8" s="43"/>
      <c r="AZ8" s="68"/>
      <c r="BA8" s="71"/>
      <c r="BB8" s="72" t="s">
        <v>61</v>
      </c>
      <c r="BC8" s="71">
        <v>1.0</v>
      </c>
      <c r="BD8" s="74" t="s">
        <v>62</v>
      </c>
      <c r="BE8" s="80">
        <f>IF(BC8="",0,IF(BA8="", CALCBULK(BC8), BA8*CALCBULK(BC8)))</f>
        <v>1</v>
      </c>
      <c r="BI8" s="43"/>
      <c r="BJ8" s="43"/>
      <c r="BK8" s="43"/>
      <c r="BL8" s="43"/>
      <c r="BM8" s="43"/>
      <c r="BN8" s="43"/>
      <c r="BO8" s="43"/>
      <c r="BP8" s="43"/>
      <c r="BQ8" s="43"/>
      <c r="BR8" s="43"/>
      <c r="BS8" s="43"/>
      <c r="BT8" s="43"/>
      <c r="BU8" s="43"/>
      <c r="BV8" s="43"/>
      <c r="BW8" s="43"/>
      <c r="BX8" s="43"/>
      <c r="BY8" s="43"/>
      <c r="BZ8" s="43"/>
      <c r="CA8" s="68"/>
      <c r="CB8" s="71"/>
      <c r="CC8" s="72" t="s">
        <v>61</v>
      </c>
      <c r="CD8" s="71">
        <v>1.0</v>
      </c>
      <c r="CE8" s="74" t="s">
        <v>62</v>
      </c>
      <c r="CF8" s="80">
        <f>IF(CD8="",0,IF(CB8="", CALCBULK(CD8), CB8*CALCBULK(CD8)))</f>
        <v>1</v>
      </c>
      <c r="CJ8" s="68">
        <v>0.0</v>
      </c>
      <c r="CL8" s="34"/>
    </row>
    <row r="9" ht="9.75" customHeight="1">
      <c r="A9" s="33"/>
      <c r="AD9" s="35"/>
      <c r="AE9" s="35"/>
      <c r="AF9" s="69"/>
      <c r="AG9" s="54" t="s">
        <v>82</v>
      </c>
      <c r="AZ9" s="53"/>
      <c r="BA9" s="55" t="s">
        <v>47</v>
      </c>
      <c r="BB9" s="91"/>
      <c r="BC9" s="58" t="s">
        <v>42</v>
      </c>
      <c r="BD9" s="49"/>
      <c r="BE9" s="48" t="s">
        <v>49</v>
      </c>
      <c r="BI9" s="92" t="s">
        <v>84</v>
      </c>
      <c r="CA9" s="53"/>
      <c r="CB9" s="55" t="s">
        <v>47</v>
      </c>
      <c r="CC9" s="91"/>
      <c r="CD9" s="58" t="s">
        <v>42</v>
      </c>
      <c r="CE9" s="49"/>
      <c r="CF9" s="48" t="s">
        <v>49</v>
      </c>
      <c r="CJ9" s="61" t="s">
        <v>85</v>
      </c>
      <c r="CL9" s="35"/>
    </row>
    <row r="10" ht="15.75" customHeight="1">
      <c r="A10" s="11"/>
      <c r="B10" s="38" t="s">
        <v>86</v>
      </c>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32"/>
      <c r="AF10" s="69"/>
      <c r="AG10" s="43"/>
      <c r="AH10" s="43"/>
      <c r="AI10" s="43"/>
      <c r="AJ10" s="43"/>
      <c r="AK10" s="43"/>
      <c r="AL10" s="43"/>
      <c r="AM10" s="43"/>
      <c r="AN10" s="43"/>
      <c r="AO10" s="43"/>
      <c r="AP10" s="43"/>
      <c r="AQ10" s="43"/>
      <c r="AR10" s="43"/>
      <c r="AS10" s="43"/>
      <c r="AT10" s="43"/>
      <c r="AU10" s="43"/>
      <c r="AV10" s="43"/>
      <c r="AW10" s="43"/>
      <c r="AX10" s="43"/>
      <c r="AY10" s="43"/>
      <c r="AZ10" s="68"/>
      <c r="BA10" s="71"/>
      <c r="BB10" s="72" t="s">
        <v>61</v>
      </c>
      <c r="BC10" s="71">
        <v>1.0</v>
      </c>
      <c r="BD10" s="74" t="s">
        <v>62</v>
      </c>
      <c r="BE10" s="80">
        <f>IF(BC10="",0,IF(BA10="", CALCBULK(BC10), BA10*CALCBULK(BC10)))</f>
        <v>1</v>
      </c>
      <c r="BI10" s="43"/>
      <c r="BJ10" s="43"/>
      <c r="BK10" s="43"/>
      <c r="BL10" s="43"/>
      <c r="BM10" s="43"/>
      <c r="BN10" s="43"/>
      <c r="BO10" s="43"/>
      <c r="BP10" s="43"/>
      <c r="BQ10" s="43"/>
      <c r="BR10" s="43"/>
      <c r="BS10" s="43"/>
      <c r="BT10" s="43"/>
      <c r="BU10" s="43"/>
      <c r="BV10" s="43"/>
      <c r="BW10" s="43"/>
      <c r="BX10" s="43"/>
      <c r="BY10" s="43"/>
      <c r="BZ10" s="43"/>
      <c r="CA10" s="68"/>
      <c r="CB10" s="71"/>
      <c r="CC10" s="72" t="s">
        <v>61</v>
      </c>
      <c r="CD10" s="71">
        <v>1.0</v>
      </c>
      <c r="CE10" s="74" t="s">
        <v>62</v>
      </c>
      <c r="CF10" s="80">
        <f>IF(CD10="",0,IF(CB10="", CALCBULK(CD10), CB10*CALCBULK(CD10)))</f>
        <v>1</v>
      </c>
      <c r="CI10" s="99" t="str">
        <f>IFS(CJ8,(Sum(X16,X18,AB16,AB18)/1000),CJ6=1,ROUNDDOWN(SUM(X16,X18,AB16,AB18)/1000,0),CJ6=0, "0")</f>
        <v>0</v>
      </c>
      <c r="CL10" s="34"/>
    </row>
    <row r="11" ht="9.75" customHeight="1">
      <c r="A11" s="33"/>
      <c r="B11" s="48" t="s">
        <v>35</v>
      </c>
      <c r="M11" s="48" t="s">
        <v>37</v>
      </c>
      <c r="O11" s="49"/>
      <c r="P11" s="48" t="s">
        <v>40</v>
      </c>
      <c r="R11" s="50"/>
      <c r="S11" s="48" t="s">
        <v>95</v>
      </c>
      <c r="V11" s="48" t="s">
        <v>96</v>
      </c>
      <c r="Y11" s="48" t="s">
        <v>98</v>
      </c>
      <c r="AA11" s="52"/>
      <c r="AB11" s="48" t="s">
        <v>42</v>
      </c>
      <c r="AD11" s="35"/>
      <c r="AE11" s="53" t="s">
        <v>43</v>
      </c>
      <c r="AF11" s="69"/>
      <c r="AG11" s="54"/>
      <c r="AZ11" s="53"/>
      <c r="BA11" s="55" t="s">
        <v>47</v>
      </c>
      <c r="BB11" s="91"/>
      <c r="BC11" s="58" t="s">
        <v>42</v>
      </c>
      <c r="BD11" s="49"/>
      <c r="BE11" s="48" t="s">
        <v>49</v>
      </c>
      <c r="BI11" s="92"/>
      <c r="CA11" s="53"/>
      <c r="CB11" s="55" t="s">
        <v>47</v>
      </c>
      <c r="CC11" s="91"/>
      <c r="CD11" s="58" t="s">
        <v>42</v>
      </c>
      <c r="CE11" s="49"/>
      <c r="CF11" s="48" t="s">
        <v>49</v>
      </c>
      <c r="CL11" s="35"/>
    </row>
    <row r="12" ht="15.75" customHeight="1">
      <c r="A12" s="11"/>
      <c r="B12" s="62" t="s">
        <v>104</v>
      </c>
      <c r="C12" s="43"/>
      <c r="D12" s="43"/>
      <c r="E12" s="43"/>
      <c r="F12" s="43"/>
      <c r="G12" s="43"/>
      <c r="H12" s="43"/>
      <c r="I12" s="43"/>
      <c r="J12" s="43"/>
      <c r="K12" s="43"/>
      <c r="M12" s="63">
        <v>1.0</v>
      </c>
      <c r="O12" s="14"/>
      <c r="P12" s="63">
        <v>0.0</v>
      </c>
      <c r="R12" s="64"/>
      <c r="S12" s="65">
        <v>3.0</v>
      </c>
      <c r="V12" s="65">
        <v>6.0</v>
      </c>
      <c r="Y12" s="63">
        <v>3.0</v>
      </c>
      <c r="AA12" s="14"/>
      <c r="AB12" s="63" t="s">
        <v>57</v>
      </c>
      <c r="AD12" s="34"/>
      <c r="AE12" s="68">
        <v>0.0</v>
      </c>
      <c r="AF12" s="69"/>
      <c r="AG12" s="43"/>
      <c r="AH12" s="43"/>
      <c r="AI12" s="43"/>
      <c r="AJ12" s="43"/>
      <c r="AK12" s="43"/>
      <c r="AL12" s="43"/>
      <c r="AM12" s="43"/>
      <c r="AN12" s="43"/>
      <c r="AO12" s="43"/>
      <c r="AP12" s="43"/>
      <c r="AQ12" s="43"/>
      <c r="AR12" s="43"/>
      <c r="AS12" s="43"/>
      <c r="AT12" s="43"/>
      <c r="AU12" s="43"/>
      <c r="AV12" s="43"/>
      <c r="AW12" s="43"/>
      <c r="AX12" s="43"/>
      <c r="AY12" s="43"/>
      <c r="AZ12" s="68"/>
      <c r="BA12" s="71"/>
      <c r="BB12" s="72" t="s">
        <v>61</v>
      </c>
      <c r="BC12" s="71">
        <v>0.0</v>
      </c>
      <c r="BD12" s="74" t="s">
        <v>62</v>
      </c>
      <c r="BE12" s="80">
        <f>IF(BC12="",0,IF(BA12="", CALCBULK(BC12), BA12*CALCBULK(BC12)))</f>
        <v>0</v>
      </c>
      <c r="BI12" s="43"/>
      <c r="BJ12" s="43"/>
      <c r="BK12" s="43"/>
      <c r="BL12" s="43"/>
      <c r="BM12" s="43"/>
      <c r="BN12" s="43"/>
      <c r="BO12" s="43"/>
      <c r="BP12" s="43"/>
      <c r="BQ12" s="43"/>
      <c r="BR12" s="43"/>
      <c r="BS12" s="43"/>
      <c r="BT12" s="43"/>
      <c r="BU12" s="43"/>
      <c r="BV12" s="43"/>
      <c r="BW12" s="43"/>
      <c r="BX12" s="43"/>
      <c r="BY12" s="43"/>
      <c r="BZ12" s="43"/>
      <c r="CA12" s="68"/>
      <c r="CB12" s="71"/>
      <c r="CC12" s="72" t="s">
        <v>61</v>
      </c>
      <c r="CD12" s="71">
        <v>0.0</v>
      </c>
      <c r="CE12" s="74" t="s">
        <v>62</v>
      </c>
      <c r="CF12" s="80">
        <f>IF(CD12="",0,IF(CB12="", CALCBULK(CD12), CB12*CALCBULK(CD12)))</f>
        <v>0</v>
      </c>
      <c r="CL12" s="34"/>
    </row>
    <row r="13" ht="9.75" customHeight="1">
      <c r="A13" s="33"/>
      <c r="B13" s="10"/>
      <c r="C13" s="10"/>
      <c r="D13" s="10"/>
      <c r="E13" s="10"/>
      <c r="F13" s="10"/>
      <c r="G13" s="10"/>
      <c r="H13" s="10"/>
      <c r="I13" s="10"/>
      <c r="J13" s="10"/>
      <c r="K13" s="10"/>
      <c r="L13" s="10"/>
      <c r="M13" s="10"/>
      <c r="N13" s="10"/>
      <c r="O13" s="10"/>
      <c r="P13" s="10"/>
      <c r="Q13" s="10"/>
      <c r="R13" s="9"/>
      <c r="S13" s="10"/>
      <c r="T13" s="10"/>
      <c r="U13" s="10"/>
      <c r="V13" s="10"/>
      <c r="W13" s="34"/>
      <c r="X13" s="34"/>
      <c r="Y13" s="34"/>
      <c r="Z13" s="34"/>
      <c r="AA13" s="34"/>
      <c r="AB13" s="34"/>
      <c r="AC13" s="34"/>
      <c r="AD13" s="35"/>
      <c r="AE13" s="35"/>
      <c r="AF13" s="69"/>
      <c r="AG13" s="54"/>
      <c r="AZ13" s="53"/>
      <c r="BA13" s="55" t="s">
        <v>47</v>
      </c>
      <c r="BB13" s="91"/>
      <c r="BC13" s="58" t="s">
        <v>42</v>
      </c>
      <c r="BD13" s="49"/>
      <c r="BE13" s="48" t="s">
        <v>49</v>
      </c>
      <c r="BI13" s="92"/>
      <c r="CA13" s="53"/>
      <c r="CB13" s="55" t="s">
        <v>47</v>
      </c>
      <c r="CC13" s="91"/>
      <c r="CD13" s="58" t="s">
        <v>42</v>
      </c>
      <c r="CE13" s="49"/>
      <c r="CF13" s="48" t="s">
        <v>49</v>
      </c>
      <c r="CL13" s="35"/>
    </row>
    <row r="14" ht="15.75" customHeight="1">
      <c r="A14" s="11"/>
      <c r="B14" s="105" t="s">
        <v>19</v>
      </c>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32"/>
      <c r="AF14" s="69"/>
      <c r="AG14" s="43"/>
      <c r="AH14" s="43"/>
      <c r="AI14" s="43"/>
      <c r="AJ14" s="43"/>
      <c r="AK14" s="43"/>
      <c r="AL14" s="43"/>
      <c r="AM14" s="43"/>
      <c r="AN14" s="43"/>
      <c r="AO14" s="43"/>
      <c r="AP14" s="43"/>
      <c r="AQ14" s="43"/>
      <c r="AR14" s="43"/>
      <c r="AS14" s="43"/>
      <c r="AT14" s="43"/>
      <c r="AU14" s="43"/>
      <c r="AV14" s="43"/>
      <c r="AW14" s="43"/>
      <c r="AX14" s="43"/>
      <c r="AY14" s="43"/>
      <c r="AZ14" s="68"/>
      <c r="BA14" s="71"/>
      <c r="BB14" s="72" t="s">
        <v>61</v>
      </c>
      <c r="BC14" s="71"/>
      <c r="BD14" s="74" t="s">
        <v>62</v>
      </c>
      <c r="BE14" s="80">
        <f>IF(BC14="",0,IF(BA14="", CALCBULK(BC14), BA14*CALCBULK(BC14)))</f>
        <v>0</v>
      </c>
      <c r="BI14" s="43"/>
      <c r="BJ14" s="43"/>
      <c r="BK14" s="43"/>
      <c r="BL14" s="43"/>
      <c r="BM14" s="43"/>
      <c r="BN14" s="43"/>
      <c r="BO14" s="43"/>
      <c r="BP14" s="43"/>
      <c r="BQ14" s="43"/>
      <c r="BR14" s="43"/>
      <c r="BS14" s="43"/>
      <c r="BT14" s="43"/>
      <c r="BU14" s="43"/>
      <c r="BV14" s="43"/>
      <c r="BW14" s="43"/>
      <c r="BX14" s="43"/>
      <c r="BY14" s="43"/>
      <c r="BZ14" s="43"/>
      <c r="CA14" s="68"/>
      <c r="CB14" s="71"/>
      <c r="CC14" s="72" t="s">
        <v>61</v>
      </c>
      <c r="CD14" s="71">
        <v>0.0</v>
      </c>
      <c r="CE14" s="74" t="s">
        <v>62</v>
      </c>
      <c r="CF14" s="80">
        <f>IF(CD14="",0,IF(CB14="", CALCBULK(CD14), CB14*CALCBULK(CD14)))</f>
        <v>0</v>
      </c>
      <c r="CK14" s="106"/>
      <c r="CL14" s="34"/>
    </row>
    <row r="15" ht="9.75" customHeight="1">
      <c r="A15" s="33"/>
      <c r="B15" s="53" t="s">
        <v>107</v>
      </c>
      <c r="E15" s="107" t="s">
        <v>108</v>
      </c>
      <c r="I15" s="51" t="s">
        <v>109</v>
      </c>
      <c r="L15" s="51"/>
      <c r="M15" s="48" t="s">
        <v>101</v>
      </c>
      <c r="O15" s="51" t="s">
        <v>110</v>
      </c>
      <c r="W15" s="51"/>
      <c r="X15" s="55" t="s">
        <v>111</v>
      </c>
      <c r="Y15" s="43"/>
      <c r="Z15" s="43"/>
      <c r="AA15" s="108"/>
      <c r="AB15" s="109" t="s">
        <v>112</v>
      </c>
      <c r="AC15" s="29"/>
      <c r="AD15" s="29"/>
      <c r="AE15" s="29"/>
      <c r="AF15" s="69"/>
      <c r="AG15" s="54"/>
      <c r="AZ15" s="53"/>
      <c r="BA15" s="55" t="s">
        <v>47</v>
      </c>
      <c r="BB15" s="91"/>
      <c r="BC15" s="58" t="s">
        <v>42</v>
      </c>
      <c r="BD15" s="49"/>
      <c r="BE15" s="48" t="s">
        <v>49</v>
      </c>
      <c r="BI15" s="92"/>
      <c r="CA15" s="53"/>
      <c r="CB15" s="55" t="s">
        <v>47</v>
      </c>
      <c r="CC15" s="91"/>
      <c r="CD15" s="58" t="s">
        <v>42</v>
      </c>
      <c r="CE15" s="49"/>
      <c r="CF15" s="48" t="s">
        <v>49</v>
      </c>
      <c r="CL15" s="35"/>
    </row>
    <row r="16" ht="15.75" customHeight="1">
      <c r="A16" s="11"/>
      <c r="B16" s="103">
        <f>ROUNDDOWN(E16,0)</f>
        <v>3</v>
      </c>
      <c r="E16" s="115">
        <f>SUM(CALCBULK(AB6,AB12),BE6:BE40,CF6,BE50)+Sum(AE26:AE54)+(IF(CC40,CF40))+CI10</f>
        <v>3.2</v>
      </c>
      <c r="I16" s="118">
        <f>SUM($I$26:$I$54,AE12,AE6)</f>
        <v>1</v>
      </c>
      <c r="L16" s="119" t="s">
        <v>113</v>
      </c>
      <c r="M16" s="120">
        <v>10.0</v>
      </c>
      <c r="N16" s="121"/>
      <c r="O16" s="122"/>
      <c r="P16" s="43"/>
      <c r="Q16" s="43"/>
      <c r="R16" s="43"/>
      <c r="S16" s="43"/>
      <c r="T16" s="43"/>
      <c r="U16" s="43"/>
      <c r="V16" s="43"/>
      <c r="W16" s="123"/>
      <c r="X16" s="124">
        <v>0.0</v>
      </c>
      <c r="Y16" s="43"/>
      <c r="Z16" s="44"/>
      <c r="AA16" s="108"/>
      <c r="AB16" s="125">
        <v>15.0</v>
      </c>
      <c r="AC16" s="43"/>
      <c r="AD16" s="43"/>
      <c r="AE16" s="44"/>
      <c r="AF16" s="69"/>
      <c r="AG16" s="43"/>
      <c r="AH16" s="43"/>
      <c r="AI16" s="43"/>
      <c r="AJ16" s="43"/>
      <c r="AK16" s="43"/>
      <c r="AL16" s="43"/>
      <c r="AM16" s="43"/>
      <c r="AN16" s="43"/>
      <c r="AO16" s="43"/>
      <c r="AP16" s="43"/>
      <c r="AQ16" s="43"/>
      <c r="AR16" s="43"/>
      <c r="AS16" s="43"/>
      <c r="AT16" s="43"/>
      <c r="AU16" s="43"/>
      <c r="AV16" s="43"/>
      <c r="AW16" s="43"/>
      <c r="AX16" s="43"/>
      <c r="AY16" s="43"/>
      <c r="AZ16" s="68"/>
      <c r="BA16" s="71"/>
      <c r="BB16" s="72" t="s">
        <v>61</v>
      </c>
      <c r="BC16" s="71"/>
      <c r="BD16" s="74" t="s">
        <v>62</v>
      </c>
      <c r="BE16" s="80">
        <f>IF(BC16="",0,IF(BA16="", CALCBULK(BC16), BA16*CALCBULK(BC16)))</f>
        <v>0</v>
      </c>
      <c r="BI16" s="43"/>
      <c r="BJ16" s="43"/>
      <c r="BK16" s="43"/>
      <c r="BL16" s="43"/>
      <c r="BM16" s="43"/>
      <c r="BN16" s="43"/>
      <c r="BO16" s="43"/>
      <c r="BP16" s="43"/>
      <c r="BQ16" s="43"/>
      <c r="BR16" s="43"/>
      <c r="BS16" s="43"/>
      <c r="BT16" s="43"/>
      <c r="BU16" s="43"/>
      <c r="BV16" s="43"/>
      <c r="BW16" s="43"/>
      <c r="BX16" s="43"/>
      <c r="BY16" s="43"/>
      <c r="BZ16" s="43"/>
      <c r="CA16" s="68"/>
      <c r="CB16" s="71"/>
      <c r="CC16" s="72" t="s">
        <v>61</v>
      </c>
      <c r="CD16" s="71">
        <v>0.0</v>
      </c>
      <c r="CE16" s="74" t="s">
        <v>62</v>
      </c>
      <c r="CF16" s="80">
        <f>IF(CD16="",0,IF(CB16="", CALCBULK(CD16), CB16*CALCBULK(CD16)))</f>
        <v>0</v>
      </c>
      <c r="CL16" s="34"/>
    </row>
    <row r="17" ht="9.75" customHeight="1">
      <c r="A17" s="33"/>
      <c r="B17" s="53" t="s">
        <v>115</v>
      </c>
      <c r="C17" s="50"/>
      <c r="D17" s="53" t="s">
        <v>101</v>
      </c>
      <c r="E17" s="132"/>
      <c r="F17" s="133" t="s">
        <v>116</v>
      </c>
      <c r="H17" s="50"/>
      <c r="I17" s="51" t="s">
        <v>119</v>
      </c>
      <c r="J17" s="134"/>
      <c r="K17" s="135" t="s">
        <v>120</v>
      </c>
      <c r="L17" s="132"/>
      <c r="M17" s="51" t="s">
        <v>35</v>
      </c>
      <c r="N17" s="136"/>
      <c r="P17" s="136"/>
      <c r="Q17" s="136"/>
      <c r="R17" s="136"/>
      <c r="S17" s="136"/>
      <c r="T17" s="136"/>
      <c r="U17" s="136"/>
      <c r="V17" s="136"/>
      <c r="W17" s="136"/>
      <c r="X17" s="138" t="s">
        <v>122</v>
      </c>
      <c r="Y17" s="43"/>
      <c r="Z17" s="43"/>
      <c r="AA17" s="108"/>
      <c r="AB17" s="139" t="s">
        <v>123</v>
      </c>
      <c r="AC17" s="43"/>
      <c r="AD17" s="43"/>
      <c r="AE17" s="43"/>
      <c r="AF17" s="69"/>
      <c r="AG17" s="54"/>
      <c r="AZ17" s="53"/>
      <c r="BA17" s="55" t="s">
        <v>47</v>
      </c>
      <c r="BB17" s="91"/>
      <c r="BC17" s="58" t="s">
        <v>42</v>
      </c>
      <c r="BD17" s="49"/>
      <c r="BE17" s="48" t="s">
        <v>49</v>
      </c>
      <c r="BI17" s="92"/>
      <c r="CA17" s="53"/>
      <c r="CB17" s="55" t="s">
        <v>47</v>
      </c>
      <c r="CC17" s="91"/>
      <c r="CD17" s="58" t="s">
        <v>42</v>
      </c>
      <c r="CE17" s="49"/>
      <c r="CF17" s="48" t="s">
        <v>49</v>
      </c>
      <c r="CL17" s="35"/>
    </row>
    <row r="18" ht="15.75" customHeight="1">
      <c r="A18" s="11"/>
      <c r="B18" s="80">
        <f>5+$I$18+$K$18+$M$18</f>
        <v>5</v>
      </c>
      <c r="C18" s="143" t="s">
        <v>113</v>
      </c>
      <c r="D18" s="80">
        <f>10+$I$18+$K$18+$M$18</f>
        <v>10</v>
      </c>
      <c r="E18" s="146" t="s">
        <v>62</v>
      </c>
      <c r="F18" s="147" t="s">
        <v>133</v>
      </c>
      <c r="H18" s="149" t="s">
        <v>106</v>
      </c>
      <c r="I18" s="80">
        <f>vlookup(I17,Data!$B$14:$C$19,2,0)</f>
        <v>0</v>
      </c>
      <c r="J18" s="150" t="s">
        <v>106</v>
      </c>
      <c r="K18" s="151">
        <v>0.0</v>
      </c>
      <c r="L18" s="150" t="s">
        <v>106</v>
      </c>
      <c r="M18" s="151">
        <v>0.0</v>
      </c>
      <c r="N18" s="10"/>
      <c r="O18" s="122"/>
      <c r="P18" s="43"/>
      <c r="Q18" s="43"/>
      <c r="R18" s="43"/>
      <c r="S18" s="43"/>
      <c r="T18" s="43"/>
      <c r="U18" s="43"/>
      <c r="V18" s="43"/>
      <c r="W18" s="152"/>
      <c r="X18" s="154">
        <v>0.0</v>
      </c>
      <c r="Y18" s="29"/>
      <c r="Z18" s="32"/>
      <c r="AA18" s="108"/>
      <c r="AB18" s="156">
        <v>0.0</v>
      </c>
      <c r="AC18" s="43"/>
      <c r="AD18" s="43"/>
      <c r="AE18" s="44"/>
      <c r="AF18" s="69"/>
      <c r="AG18" s="43"/>
      <c r="AH18" s="43"/>
      <c r="AI18" s="43"/>
      <c r="AJ18" s="43"/>
      <c r="AK18" s="43"/>
      <c r="AL18" s="43"/>
      <c r="AM18" s="43"/>
      <c r="AN18" s="43"/>
      <c r="AO18" s="43"/>
      <c r="AP18" s="43"/>
      <c r="AQ18" s="43"/>
      <c r="AR18" s="43"/>
      <c r="AS18" s="43"/>
      <c r="AT18" s="43"/>
      <c r="AU18" s="43"/>
      <c r="AV18" s="43"/>
      <c r="AW18" s="43"/>
      <c r="AX18" s="43"/>
      <c r="AY18" s="43"/>
      <c r="AZ18" s="68"/>
      <c r="BA18" s="71"/>
      <c r="BB18" s="72" t="s">
        <v>61</v>
      </c>
      <c r="BC18" s="71"/>
      <c r="BD18" s="74" t="s">
        <v>62</v>
      </c>
      <c r="BE18" s="80">
        <f>IF(BC18="",0,IF(BA18="", CALCBULK(BC18), BA18*CALCBULK(BC18)))</f>
        <v>0</v>
      </c>
      <c r="BI18" s="43"/>
      <c r="BJ18" s="43"/>
      <c r="BK18" s="43"/>
      <c r="BL18" s="43"/>
      <c r="BM18" s="43"/>
      <c r="BN18" s="43"/>
      <c r="BO18" s="43"/>
      <c r="BP18" s="43"/>
      <c r="BQ18" s="43"/>
      <c r="BR18" s="43"/>
      <c r="BS18" s="43"/>
      <c r="BT18" s="43"/>
      <c r="BU18" s="43"/>
      <c r="BV18" s="43"/>
      <c r="BW18" s="43"/>
      <c r="BX18" s="43"/>
      <c r="BY18" s="43"/>
      <c r="BZ18" s="43"/>
      <c r="CA18" s="68"/>
      <c r="CB18" s="71"/>
      <c r="CC18" s="72" t="s">
        <v>61</v>
      </c>
      <c r="CD18" s="71">
        <v>0.0</v>
      </c>
      <c r="CE18" s="74" t="s">
        <v>62</v>
      </c>
      <c r="CF18" s="80">
        <f>IF(CD18="",0,IF(CB18="", CALCBULK(CD18), CB18*CALCBULK(CD18)))</f>
        <v>0</v>
      </c>
      <c r="CL18" s="34"/>
    </row>
    <row r="19" ht="9.75" customHeight="1">
      <c r="A19" s="33"/>
      <c r="W19" s="34"/>
      <c r="X19" s="34"/>
      <c r="Y19" s="34"/>
      <c r="Z19" s="34"/>
      <c r="AA19" s="34"/>
      <c r="AB19" s="34"/>
      <c r="AC19" s="34"/>
      <c r="AD19" s="35"/>
      <c r="AE19" s="35"/>
      <c r="AF19" s="69"/>
      <c r="AG19" s="54"/>
      <c r="AZ19" s="53"/>
      <c r="BA19" s="55" t="s">
        <v>47</v>
      </c>
      <c r="BB19" s="91"/>
      <c r="BC19" s="58" t="s">
        <v>42</v>
      </c>
      <c r="BD19" s="49"/>
      <c r="BE19" s="48" t="s">
        <v>49</v>
      </c>
      <c r="BI19" s="92"/>
      <c r="CA19" s="53"/>
      <c r="CB19" s="55" t="s">
        <v>47</v>
      </c>
      <c r="CC19" s="91"/>
      <c r="CD19" s="58" t="s">
        <v>42</v>
      </c>
      <c r="CE19" s="49"/>
      <c r="CF19" s="48" t="s">
        <v>49</v>
      </c>
      <c r="CL19" s="35"/>
    </row>
    <row r="20" ht="15.75" customHeight="1">
      <c r="A20" s="33"/>
      <c r="B20" s="28" t="s">
        <v>144</v>
      </c>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32"/>
      <c r="AF20" s="69"/>
      <c r="AG20" s="43"/>
      <c r="AH20" s="43"/>
      <c r="AI20" s="43"/>
      <c r="AJ20" s="43"/>
      <c r="AK20" s="43"/>
      <c r="AL20" s="43"/>
      <c r="AM20" s="43"/>
      <c r="AN20" s="43"/>
      <c r="AO20" s="43"/>
      <c r="AP20" s="43"/>
      <c r="AQ20" s="43"/>
      <c r="AR20" s="43"/>
      <c r="AS20" s="43"/>
      <c r="AT20" s="43"/>
      <c r="AU20" s="43"/>
      <c r="AV20" s="43"/>
      <c r="AW20" s="43"/>
      <c r="AX20" s="43"/>
      <c r="AY20" s="43"/>
      <c r="AZ20" s="68"/>
      <c r="BA20" s="71"/>
      <c r="BB20" s="72" t="s">
        <v>61</v>
      </c>
      <c r="BC20" s="71"/>
      <c r="BD20" s="74" t="s">
        <v>62</v>
      </c>
      <c r="BE20" s="80">
        <f>IF(BC20="",0,IF(BA20="", CALCBULK(BC20), BA20*CALCBULK(BC20)))</f>
        <v>0</v>
      </c>
      <c r="BI20" s="43"/>
      <c r="BJ20" s="43"/>
      <c r="BK20" s="43"/>
      <c r="BL20" s="43"/>
      <c r="BM20" s="43"/>
      <c r="BN20" s="43"/>
      <c r="BO20" s="43"/>
      <c r="BP20" s="43"/>
      <c r="BQ20" s="43"/>
      <c r="BR20" s="43"/>
      <c r="BS20" s="43"/>
      <c r="BT20" s="43"/>
      <c r="BU20" s="43"/>
      <c r="BV20" s="43"/>
      <c r="BW20" s="43"/>
      <c r="BX20" s="43"/>
      <c r="BY20" s="43"/>
      <c r="BZ20" s="43"/>
      <c r="CA20" s="68"/>
      <c r="CB20" s="71"/>
      <c r="CC20" s="72" t="s">
        <v>61</v>
      </c>
      <c r="CD20" s="71">
        <v>0.0</v>
      </c>
      <c r="CE20" s="74" t="s">
        <v>62</v>
      </c>
      <c r="CF20" s="80">
        <f>IF(CD20="",0,IF(CB20="", CALCBULK(CD20), CB20*CALCBULK(CD20)))</f>
        <v>0</v>
      </c>
      <c r="CL20" s="35"/>
    </row>
    <row r="21" ht="9.75" customHeight="1">
      <c r="A21" s="33"/>
      <c r="B21" s="53" t="s">
        <v>158</v>
      </c>
      <c r="F21" s="53" t="s">
        <v>161</v>
      </c>
      <c r="J21" s="53" t="s">
        <v>163</v>
      </c>
      <c r="N21" s="53" t="s">
        <v>165</v>
      </c>
      <c r="T21" s="53" t="s">
        <v>166</v>
      </c>
      <c r="Y21" s="34"/>
      <c r="Z21" s="53" t="s">
        <v>167</v>
      </c>
      <c r="AD21" s="53" t="s">
        <v>42</v>
      </c>
      <c r="AF21" s="69"/>
      <c r="AG21" s="54"/>
      <c r="AZ21" s="53"/>
      <c r="BA21" s="55" t="s">
        <v>47</v>
      </c>
      <c r="BB21" s="91"/>
      <c r="BC21" s="58" t="s">
        <v>42</v>
      </c>
      <c r="BD21" s="49"/>
      <c r="BE21" s="48" t="s">
        <v>49</v>
      </c>
      <c r="BI21" s="92"/>
      <c r="CA21" s="53"/>
      <c r="CB21" s="55" t="s">
        <v>47</v>
      </c>
      <c r="CC21" s="91"/>
      <c r="CD21" s="58" t="s">
        <v>42</v>
      </c>
      <c r="CE21" s="49"/>
      <c r="CF21" s="48" t="s">
        <v>49</v>
      </c>
      <c r="CL21" s="35"/>
    </row>
    <row r="22" ht="15.75" customHeight="1">
      <c r="A22" s="33"/>
      <c r="B22" s="174">
        <v>0.0</v>
      </c>
      <c r="C22" s="29"/>
      <c r="D22" s="32"/>
      <c r="F22" s="174">
        <v>0.0</v>
      </c>
      <c r="G22" s="29"/>
      <c r="H22" s="32"/>
      <c r="J22" s="174">
        <v>0.0</v>
      </c>
      <c r="K22" s="29"/>
      <c r="L22" s="32"/>
      <c r="N22" s="174">
        <v>0.0</v>
      </c>
      <c r="O22" s="29"/>
      <c r="P22" s="29"/>
      <c r="Q22" s="29"/>
      <c r="R22" s="32"/>
      <c r="T22" s="174">
        <v>0.0</v>
      </c>
      <c r="U22" s="29"/>
      <c r="V22" s="29"/>
      <c r="W22" s="29"/>
      <c r="X22" s="32"/>
      <c r="Y22" s="34"/>
      <c r="Z22" s="174">
        <v>0.0</v>
      </c>
      <c r="AA22" s="29"/>
      <c r="AB22" s="32"/>
      <c r="AD22" s="80">
        <f>Sum(B22,F22,J22,N22,T22,Z22)*0.01</f>
        <v>0</v>
      </c>
      <c r="AF22" s="69"/>
      <c r="AG22" s="43"/>
      <c r="AH22" s="43"/>
      <c r="AI22" s="43"/>
      <c r="AJ22" s="43"/>
      <c r="AK22" s="43"/>
      <c r="AL22" s="43"/>
      <c r="AM22" s="43"/>
      <c r="AN22" s="43"/>
      <c r="AO22" s="43"/>
      <c r="AP22" s="43"/>
      <c r="AQ22" s="43"/>
      <c r="AR22" s="43"/>
      <c r="AS22" s="43"/>
      <c r="AT22" s="43"/>
      <c r="AU22" s="43"/>
      <c r="AV22" s="43"/>
      <c r="AW22" s="43"/>
      <c r="AX22" s="43"/>
      <c r="AY22" s="43"/>
      <c r="AZ22" s="68"/>
      <c r="BA22" s="71"/>
      <c r="BB22" s="72" t="s">
        <v>61</v>
      </c>
      <c r="BC22" s="71"/>
      <c r="BD22" s="74" t="s">
        <v>62</v>
      </c>
      <c r="BE22" s="80">
        <f>IF(BC22="",0,IF(BA22="", CALCBULK(BC22), BA22*CALCBULK(BC22)))</f>
        <v>0</v>
      </c>
      <c r="BI22" s="43"/>
      <c r="BJ22" s="43"/>
      <c r="BK22" s="43"/>
      <c r="BL22" s="43"/>
      <c r="BM22" s="43"/>
      <c r="BN22" s="43"/>
      <c r="BO22" s="43"/>
      <c r="BP22" s="43"/>
      <c r="BQ22" s="43"/>
      <c r="BR22" s="43"/>
      <c r="BS22" s="43"/>
      <c r="BT22" s="43"/>
      <c r="BU22" s="43"/>
      <c r="BV22" s="43"/>
      <c r="BW22" s="43"/>
      <c r="BX22" s="43"/>
      <c r="BY22" s="43"/>
      <c r="BZ22" s="43"/>
      <c r="CA22" s="68"/>
      <c r="CB22" s="71"/>
      <c r="CC22" s="72" t="s">
        <v>61</v>
      </c>
      <c r="CD22" s="71">
        <v>0.0</v>
      </c>
      <c r="CE22" s="74" t="s">
        <v>62</v>
      </c>
      <c r="CF22" s="80">
        <f>IF(CD22="",0,IF(CB22="", CALCBULK(CD22), CB22*CALCBULK(CD22)))</f>
        <v>0</v>
      </c>
      <c r="CL22" s="35"/>
    </row>
    <row r="23" ht="9.75" customHeight="1">
      <c r="A23" s="33"/>
      <c r="W23" s="34"/>
      <c r="X23" s="34"/>
      <c r="Y23" s="34"/>
      <c r="Z23" s="34"/>
      <c r="AA23" s="34"/>
      <c r="AB23" s="34"/>
      <c r="AC23" s="34"/>
      <c r="AD23" s="35"/>
      <c r="AE23" s="35"/>
      <c r="AF23" s="69"/>
      <c r="AG23" s="54"/>
      <c r="AZ23" s="53"/>
      <c r="BA23" s="55" t="s">
        <v>47</v>
      </c>
      <c r="BB23" s="91"/>
      <c r="BC23" s="58" t="s">
        <v>42</v>
      </c>
      <c r="BD23" s="49"/>
      <c r="BE23" s="48" t="s">
        <v>49</v>
      </c>
      <c r="BI23" s="92"/>
      <c r="CA23" s="53"/>
      <c r="CB23" s="55" t="s">
        <v>47</v>
      </c>
      <c r="CC23" s="91"/>
      <c r="CD23" s="58" t="s">
        <v>42</v>
      </c>
      <c r="CE23" s="49"/>
      <c r="CF23" s="48" t="s">
        <v>49</v>
      </c>
      <c r="CL23" s="35"/>
    </row>
    <row r="24" ht="15.75" customHeight="1">
      <c r="A24" s="11"/>
      <c r="B24" s="28" t="s">
        <v>178</v>
      </c>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32"/>
      <c r="AF24" s="69"/>
      <c r="AG24" s="43"/>
      <c r="AH24" s="43"/>
      <c r="AI24" s="43"/>
      <c r="AJ24" s="43"/>
      <c r="AK24" s="43"/>
      <c r="AL24" s="43"/>
      <c r="AM24" s="43"/>
      <c r="AN24" s="43"/>
      <c r="AO24" s="43"/>
      <c r="AP24" s="43"/>
      <c r="AQ24" s="43"/>
      <c r="AR24" s="43"/>
      <c r="AS24" s="43"/>
      <c r="AT24" s="43"/>
      <c r="AU24" s="43"/>
      <c r="AV24" s="43"/>
      <c r="AW24" s="43"/>
      <c r="AX24" s="43"/>
      <c r="AY24" s="43"/>
      <c r="AZ24" s="68"/>
      <c r="BA24" s="71"/>
      <c r="BB24" s="72" t="s">
        <v>61</v>
      </c>
      <c r="BC24" s="71"/>
      <c r="BD24" s="74" t="s">
        <v>62</v>
      </c>
      <c r="BE24" s="80">
        <f>IF(BC24="",0,IF(BA24="", CALCBULK(BC24), BA24*CALCBULK(BC24)))</f>
        <v>0</v>
      </c>
      <c r="BI24" s="43"/>
      <c r="BJ24" s="43"/>
      <c r="BK24" s="43"/>
      <c r="BL24" s="43"/>
      <c r="BM24" s="43"/>
      <c r="BN24" s="43"/>
      <c r="BO24" s="43"/>
      <c r="BP24" s="43"/>
      <c r="BQ24" s="43"/>
      <c r="BR24" s="43"/>
      <c r="BS24" s="43"/>
      <c r="BT24" s="43"/>
      <c r="BU24" s="43"/>
      <c r="BV24" s="43"/>
      <c r="BW24" s="43"/>
      <c r="BX24" s="43"/>
      <c r="BY24" s="43"/>
      <c r="BZ24" s="43"/>
      <c r="CA24" s="68"/>
      <c r="CB24" s="71"/>
      <c r="CC24" s="72" t="s">
        <v>61</v>
      </c>
      <c r="CD24" s="71">
        <v>0.0</v>
      </c>
      <c r="CE24" s="74" t="s">
        <v>62</v>
      </c>
      <c r="CF24" s="80">
        <f>IF(CD24="",0,IF(CB24="", CALCBULK(CD24), CB24*CALCBULK(CD24)))</f>
        <v>0</v>
      </c>
      <c r="CL24" s="34"/>
    </row>
    <row r="25" ht="9.75" customHeight="1">
      <c r="A25" s="33"/>
      <c r="B25" s="53" t="s">
        <v>164</v>
      </c>
      <c r="I25" s="53" t="s">
        <v>43</v>
      </c>
      <c r="L25" s="53" t="s">
        <v>181</v>
      </c>
      <c r="X25" s="34"/>
      <c r="Y25" s="34"/>
      <c r="Z25" s="34"/>
      <c r="AA25" s="34"/>
      <c r="AB25" s="34"/>
      <c r="AC25" s="34"/>
      <c r="AD25" s="35"/>
      <c r="AE25" s="58" t="s">
        <v>42</v>
      </c>
      <c r="AF25" s="60"/>
      <c r="AG25" s="54"/>
      <c r="AZ25" s="53"/>
      <c r="BA25" s="55" t="s">
        <v>47</v>
      </c>
      <c r="BB25" s="91"/>
      <c r="BC25" s="58" t="s">
        <v>42</v>
      </c>
      <c r="BD25" s="49"/>
      <c r="BE25" s="48" t="s">
        <v>49</v>
      </c>
      <c r="BI25" s="92"/>
      <c r="CA25" s="53"/>
      <c r="CB25" s="55" t="s">
        <v>47</v>
      </c>
      <c r="CC25" s="91"/>
      <c r="CD25" s="58" t="s">
        <v>42</v>
      </c>
      <c r="CE25" s="49"/>
      <c r="CF25" s="48" t="s">
        <v>49</v>
      </c>
      <c r="CL25" s="53"/>
    </row>
    <row r="26" ht="15.75" customHeight="1">
      <c r="A26" s="11"/>
      <c r="B26" s="193" t="s">
        <v>182</v>
      </c>
      <c r="C26" s="43"/>
      <c r="D26" s="43"/>
      <c r="E26" s="43"/>
      <c r="F26" s="43"/>
      <c r="G26" s="43"/>
      <c r="I26" s="68">
        <v>1.0</v>
      </c>
      <c r="K26" s="194" t="s">
        <v>183</v>
      </c>
      <c r="L26" s="43"/>
      <c r="M26" s="43"/>
      <c r="N26" s="43"/>
      <c r="O26" s="43"/>
      <c r="P26" s="43"/>
      <c r="Q26" s="43"/>
      <c r="R26" s="43"/>
      <c r="S26" s="43"/>
      <c r="T26" s="43"/>
      <c r="U26" s="43"/>
      <c r="V26" s="43"/>
      <c r="W26" s="43"/>
      <c r="X26" s="43"/>
      <c r="Y26" s="43"/>
      <c r="Z26" s="43"/>
      <c r="AA26" s="43"/>
      <c r="AB26" s="43"/>
      <c r="AC26" s="43"/>
      <c r="AD26" s="34"/>
      <c r="AE26" s="71">
        <v>0.0</v>
      </c>
      <c r="AF26" s="60"/>
      <c r="AG26" s="43"/>
      <c r="AH26" s="43"/>
      <c r="AI26" s="43"/>
      <c r="AJ26" s="43"/>
      <c r="AK26" s="43"/>
      <c r="AL26" s="43"/>
      <c r="AM26" s="43"/>
      <c r="AN26" s="43"/>
      <c r="AO26" s="43"/>
      <c r="AP26" s="43"/>
      <c r="AQ26" s="43"/>
      <c r="AR26" s="43"/>
      <c r="AS26" s="43"/>
      <c r="AT26" s="43"/>
      <c r="AU26" s="43"/>
      <c r="AV26" s="43"/>
      <c r="AW26" s="43"/>
      <c r="AX26" s="43"/>
      <c r="AY26" s="43"/>
      <c r="AZ26" s="68"/>
      <c r="BA26" s="71"/>
      <c r="BB26" s="72" t="s">
        <v>61</v>
      </c>
      <c r="BC26" s="71"/>
      <c r="BD26" s="74" t="s">
        <v>62</v>
      </c>
      <c r="BE26" s="80">
        <f>IF(BC26="",0,IF(BA26="", CALCBULK(BC26), BA26*CALCBULK(BC26)))</f>
        <v>0</v>
      </c>
      <c r="BI26" s="43"/>
      <c r="BJ26" s="43"/>
      <c r="BK26" s="43"/>
      <c r="BL26" s="43"/>
      <c r="BM26" s="43"/>
      <c r="BN26" s="43"/>
      <c r="BO26" s="43"/>
      <c r="BP26" s="43"/>
      <c r="BQ26" s="43"/>
      <c r="BR26" s="43"/>
      <c r="BS26" s="43"/>
      <c r="BT26" s="43"/>
      <c r="BU26" s="43"/>
      <c r="BV26" s="43"/>
      <c r="BW26" s="43"/>
      <c r="BX26" s="43"/>
      <c r="BY26" s="43"/>
      <c r="BZ26" s="43"/>
      <c r="CA26" s="68"/>
      <c r="CB26" s="71"/>
      <c r="CC26" s="72" t="s">
        <v>61</v>
      </c>
      <c r="CD26" s="71">
        <v>0.0</v>
      </c>
      <c r="CE26" s="74" t="s">
        <v>62</v>
      </c>
      <c r="CF26" s="80">
        <f>IF(CD26="",0,IF(CB26="", CALCBULK(CD26), CB26*CALCBULK(CD26)))</f>
        <v>0</v>
      </c>
      <c r="CL26" s="172"/>
    </row>
    <row r="27" ht="9.75" customHeight="1">
      <c r="A27" s="33"/>
      <c r="B27" s="201"/>
      <c r="H27" s="202"/>
      <c r="I27" s="203">
        <v>0.0</v>
      </c>
      <c r="J27" s="202"/>
      <c r="K27" s="205"/>
      <c r="AD27" s="35"/>
      <c r="AE27" s="58" t="s">
        <v>42</v>
      </c>
      <c r="AF27" s="206"/>
      <c r="AG27" s="54"/>
      <c r="AZ27" s="53"/>
      <c r="BA27" s="55" t="s">
        <v>47</v>
      </c>
      <c r="BB27" s="91"/>
      <c r="BC27" s="58" t="s">
        <v>42</v>
      </c>
      <c r="BD27" s="49"/>
      <c r="BE27" s="48" t="s">
        <v>49</v>
      </c>
      <c r="BH27" s="206"/>
      <c r="BI27" s="92"/>
      <c r="CA27" s="53"/>
      <c r="CB27" s="55" t="s">
        <v>47</v>
      </c>
      <c r="CC27" s="91"/>
      <c r="CD27" s="58" t="s">
        <v>42</v>
      </c>
      <c r="CE27" s="49"/>
      <c r="CF27" s="48" t="s">
        <v>49</v>
      </c>
      <c r="CL27" s="53"/>
    </row>
    <row r="28" ht="15.75" customHeight="1">
      <c r="A28" s="11"/>
      <c r="B28" s="43"/>
      <c r="C28" s="43"/>
      <c r="D28" s="43"/>
      <c r="E28" s="43"/>
      <c r="F28" s="43"/>
      <c r="G28" s="43"/>
      <c r="H28" s="202"/>
      <c r="J28" s="202"/>
      <c r="K28" s="43"/>
      <c r="L28" s="43"/>
      <c r="M28" s="43"/>
      <c r="N28" s="43"/>
      <c r="O28" s="43"/>
      <c r="P28" s="43"/>
      <c r="Q28" s="43"/>
      <c r="R28" s="43"/>
      <c r="S28" s="43"/>
      <c r="T28" s="43"/>
      <c r="U28" s="43"/>
      <c r="V28" s="43"/>
      <c r="W28" s="43"/>
      <c r="X28" s="43"/>
      <c r="Y28" s="43"/>
      <c r="Z28" s="43"/>
      <c r="AA28" s="43"/>
      <c r="AB28" s="43"/>
      <c r="AC28" s="43"/>
      <c r="AD28" s="34"/>
      <c r="AE28" s="71">
        <v>0.0</v>
      </c>
      <c r="AF28" s="206"/>
      <c r="AG28" s="43"/>
      <c r="AH28" s="43"/>
      <c r="AI28" s="43"/>
      <c r="AJ28" s="43"/>
      <c r="AK28" s="43"/>
      <c r="AL28" s="43"/>
      <c r="AM28" s="43"/>
      <c r="AN28" s="43"/>
      <c r="AO28" s="43"/>
      <c r="AP28" s="43"/>
      <c r="AQ28" s="43"/>
      <c r="AR28" s="43"/>
      <c r="AS28" s="43"/>
      <c r="AT28" s="43"/>
      <c r="AU28" s="43"/>
      <c r="AV28" s="43"/>
      <c r="AW28" s="43"/>
      <c r="AX28" s="43"/>
      <c r="AY28" s="43"/>
      <c r="AZ28" s="68"/>
      <c r="BA28" s="71"/>
      <c r="BB28" s="72" t="s">
        <v>61</v>
      </c>
      <c r="BC28" s="71"/>
      <c r="BD28" s="74" t="s">
        <v>62</v>
      </c>
      <c r="BE28" s="80">
        <f>IF(BC28="",0,IF(BA28="", CALCBULK(BC28), BA28*CALCBULK(BC28)))</f>
        <v>0</v>
      </c>
      <c r="BH28" s="206"/>
      <c r="BI28" s="43"/>
      <c r="BJ28" s="43"/>
      <c r="BK28" s="43"/>
      <c r="BL28" s="43"/>
      <c r="BM28" s="43"/>
      <c r="BN28" s="43"/>
      <c r="BO28" s="43"/>
      <c r="BP28" s="43"/>
      <c r="BQ28" s="43"/>
      <c r="BR28" s="43"/>
      <c r="BS28" s="43"/>
      <c r="BT28" s="43"/>
      <c r="BU28" s="43"/>
      <c r="BV28" s="43"/>
      <c r="BW28" s="43"/>
      <c r="BX28" s="43"/>
      <c r="BY28" s="43"/>
      <c r="BZ28" s="43"/>
      <c r="CA28" s="68"/>
      <c r="CB28" s="71"/>
      <c r="CC28" s="72" t="s">
        <v>61</v>
      </c>
      <c r="CD28" s="71">
        <v>0.0</v>
      </c>
      <c r="CE28" s="74" t="s">
        <v>62</v>
      </c>
      <c r="CF28" s="80">
        <f>IF(CD28="",0,IF(CB28="", CALCBULK(CD28), CB28*CALCBULK(CD28)))</f>
        <v>0</v>
      </c>
      <c r="CL28" s="172"/>
    </row>
    <row r="29" ht="9.75" customHeight="1">
      <c r="A29" s="33"/>
      <c r="B29" s="201"/>
      <c r="H29" s="202"/>
      <c r="I29" s="203">
        <v>0.0</v>
      </c>
      <c r="J29" s="202"/>
      <c r="K29" s="205"/>
      <c r="AD29" s="35"/>
      <c r="AE29" s="58" t="s">
        <v>42</v>
      </c>
      <c r="AF29" s="206"/>
      <c r="AG29" s="54"/>
      <c r="AZ29" s="53"/>
      <c r="BA29" s="55" t="s">
        <v>47</v>
      </c>
      <c r="BB29" s="91"/>
      <c r="BC29" s="58" t="s">
        <v>42</v>
      </c>
      <c r="BD29" s="49"/>
      <c r="BE29" s="48" t="s">
        <v>49</v>
      </c>
      <c r="BH29" s="206"/>
      <c r="BI29" s="92"/>
      <c r="CA29" s="53"/>
      <c r="CB29" s="55" t="s">
        <v>47</v>
      </c>
      <c r="CC29" s="91"/>
      <c r="CD29" s="58" t="s">
        <v>42</v>
      </c>
      <c r="CE29" s="49"/>
      <c r="CF29" s="48" t="s">
        <v>49</v>
      </c>
      <c r="CL29" s="53"/>
    </row>
    <row r="30" ht="15.75" customHeight="1">
      <c r="A30" s="11"/>
      <c r="B30" s="43"/>
      <c r="C30" s="43"/>
      <c r="D30" s="43"/>
      <c r="E30" s="43"/>
      <c r="F30" s="43"/>
      <c r="G30" s="43"/>
      <c r="H30" s="202"/>
      <c r="J30" s="202"/>
      <c r="K30" s="43"/>
      <c r="L30" s="43"/>
      <c r="M30" s="43"/>
      <c r="N30" s="43"/>
      <c r="O30" s="43"/>
      <c r="P30" s="43"/>
      <c r="Q30" s="43"/>
      <c r="R30" s="43"/>
      <c r="S30" s="43"/>
      <c r="T30" s="43"/>
      <c r="U30" s="43"/>
      <c r="V30" s="43"/>
      <c r="W30" s="43"/>
      <c r="X30" s="43"/>
      <c r="Y30" s="43"/>
      <c r="Z30" s="43"/>
      <c r="AA30" s="43"/>
      <c r="AB30" s="43"/>
      <c r="AC30" s="43"/>
      <c r="AD30" s="34"/>
      <c r="AE30" s="71"/>
      <c r="AF30" s="206"/>
      <c r="AG30" s="43"/>
      <c r="AH30" s="43"/>
      <c r="AI30" s="43"/>
      <c r="AJ30" s="43"/>
      <c r="AK30" s="43"/>
      <c r="AL30" s="43"/>
      <c r="AM30" s="43"/>
      <c r="AN30" s="43"/>
      <c r="AO30" s="43"/>
      <c r="AP30" s="43"/>
      <c r="AQ30" s="43"/>
      <c r="AR30" s="43"/>
      <c r="AS30" s="43"/>
      <c r="AT30" s="43"/>
      <c r="AU30" s="43"/>
      <c r="AV30" s="43"/>
      <c r="AW30" s="43"/>
      <c r="AX30" s="43"/>
      <c r="AY30" s="43"/>
      <c r="AZ30" s="68"/>
      <c r="BA30" s="71"/>
      <c r="BB30" s="72" t="s">
        <v>61</v>
      </c>
      <c r="BC30" s="71"/>
      <c r="BD30" s="74" t="s">
        <v>62</v>
      </c>
      <c r="BE30" s="80">
        <f>IF(BC30="",0,IF(BA30="", CALCBULK(BC30), BA30*CALCBULK(BC30)))</f>
        <v>0</v>
      </c>
      <c r="BH30" s="206"/>
      <c r="BI30" s="43"/>
      <c r="BJ30" s="43"/>
      <c r="BK30" s="43"/>
      <c r="BL30" s="43"/>
      <c r="BM30" s="43"/>
      <c r="BN30" s="43"/>
      <c r="BO30" s="43"/>
      <c r="BP30" s="43"/>
      <c r="BQ30" s="43"/>
      <c r="BR30" s="43"/>
      <c r="BS30" s="43"/>
      <c r="BT30" s="43"/>
      <c r="BU30" s="43"/>
      <c r="BV30" s="43"/>
      <c r="BW30" s="43"/>
      <c r="BX30" s="43"/>
      <c r="BY30" s="43"/>
      <c r="BZ30" s="43"/>
      <c r="CA30" s="68"/>
      <c r="CB30" s="71"/>
      <c r="CC30" s="72" t="s">
        <v>61</v>
      </c>
      <c r="CD30" s="71">
        <v>0.0</v>
      </c>
      <c r="CE30" s="74" t="s">
        <v>62</v>
      </c>
      <c r="CF30" s="80">
        <f>IF(CD30="",0,IF(CB30="", CALCBULK(CD30), CB30*CALCBULK(CD30)))</f>
        <v>0</v>
      </c>
      <c r="CL30" s="172"/>
    </row>
    <row r="31" ht="9.75" customHeight="1">
      <c r="A31" s="33"/>
      <c r="B31" s="201"/>
      <c r="H31" s="202"/>
      <c r="I31" s="203">
        <v>0.0</v>
      </c>
      <c r="J31" s="202"/>
      <c r="K31" s="205"/>
      <c r="AD31" s="35"/>
      <c r="AE31" s="58" t="s">
        <v>42</v>
      </c>
      <c r="AF31" s="206"/>
      <c r="AG31" s="54"/>
      <c r="AZ31" s="53"/>
      <c r="BA31" s="55" t="s">
        <v>47</v>
      </c>
      <c r="BB31" s="91"/>
      <c r="BC31" s="58" t="s">
        <v>42</v>
      </c>
      <c r="BD31" s="49"/>
      <c r="BE31" s="48" t="s">
        <v>49</v>
      </c>
      <c r="BH31" s="206"/>
      <c r="BI31" s="92"/>
      <c r="CA31" s="53"/>
      <c r="CB31" s="55" t="s">
        <v>47</v>
      </c>
      <c r="CC31" s="91"/>
      <c r="CD31" s="58" t="s">
        <v>42</v>
      </c>
      <c r="CE31" s="49"/>
      <c r="CF31" s="48" t="s">
        <v>49</v>
      </c>
      <c r="CL31" s="53"/>
    </row>
    <row r="32" ht="15.75" customHeight="1">
      <c r="A32" s="11"/>
      <c r="B32" s="43"/>
      <c r="C32" s="43"/>
      <c r="D32" s="43"/>
      <c r="E32" s="43"/>
      <c r="F32" s="43"/>
      <c r="G32" s="43"/>
      <c r="H32" s="202"/>
      <c r="J32" s="202"/>
      <c r="K32" s="43"/>
      <c r="L32" s="43"/>
      <c r="M32" s="43"/>
      <c r="N32" s="43"/>
      <c r="O32" s="43"/>
      <c r="P32" s="43"/>
      <c r="Q32" s="43"/>
      <c r="R32" s="43"/>
      <c r="S32" s="43"/>
      <c r="T32" s="43"/>
      <c r="U32" s="43"/>
      <c r="V32" s="43"/>
      <c r="W32" s="43"/>
      <c r="X32" s="43"/>
      <c r="Y32" s="43"/>
      <c r="Z32" s="43"/>
      <c r="AA32" s="43"/>
      <c r="AB32" s="43"/>
      <c r="AC32" s="43"/>
      <c r="AD32" s="34"/>
      <c r="AE32" s="71"/>
      <c r="AF32" s="206"/>
      <c r="AG32" s="43"/>
      <c r="AH32" s="43"/>
      <c r="AI32" s="43"/>
      <c r="AJ32" s="43"/>
      <c r="AK32" s="43"/>
      <c r="AL32" s="43"/>
      <c r="AM32" s="43"/>
      <c r="AN32" s="43"/>
      <c r="AO32" s="43"/>
      <c r="AP32" s="43"/>
      <c r="AQ32" s="43"/>
      <c r="AR32" s="43"/>
      <c r="AS32" s="43"/>
      <c r="AT32" s="43"/>
      <c r="AU32" s="43"/>
      <c r="AV32" s="43"/>
      <c r="AW32" s="43"/>
      <c r="AX32" s="43"/>
      <c r="AY32" s="43"/>
      <c r="AZ32" s="68"/>
      <c r="BA32" s="71"/>
      <c r="BB32" s="72" t="s">
        <v>61</v>
      </c>
      <c r="BC32" s="71"/>
      <c r="BD32" s="74" t="s">
        <v>62</v>
      </c>
      <c r="BE32" s="80">
        <f>IF(BC32="",0,IF(BA32="", CALCBULK(BC32), BA32*CALCBULK(BC32)))</f>
        <v>0</v>
      </c>
      <c r="BH32" s="206"/>
      <c r="BI32" s="43"/>
      <c r="BJ32" s="43"/>
      <c r="BK32" s="43"/>
      <c r="BL32" s="43"/>
      <c r="BM32" s="43"/>
      <c r="BN32" s="43"/>
      <c r="BO32" s="43"/>
      <c r="BP32" s="43"/>
      <c r="BQ32" s="43"/>
      <c r="BR32" s="43"/>
      <c r="BS32" s="43"/>
      <c r="BT32" s="43"/>
      <c r="BU32" s="43"/>
      <c r="BV32" s="43"/>
      <c r="BW32" s="43"/>
      <c r="BX32" s="43"/>
      <c r="BY32" s="43"/>
      <c r="BZ32" s="43"/>
      <c r="CA32" s="68"/>
      <c r="CB32" s="71"/>
      <c r="CC32" s="72" t="s">
        <v>61</v>
      </c>
      <c r="CD32" s="71">
        <v>0.0</v>
      </c>
      <c r="CE32" s="74" t="s">
        <v>62</v>
      </c>
      <c r="CF32" s="80">
        <f>IF(CD32="",0,IF(CB32="", CALCBULK(CD32), CB32*CALCBULK(CD32)))</f>
        <v>0</v>
      </c>
      <c r="CL32" s="172"/>
    </row>
    <row r="33" ht="9.75" customHeight="1">
      <c r="A33" s="33"/>
      <c r="B33" s="201"/>
      <c r="H33" s="202"/>
      <c r="I33" s="203">
        <v>0.0</v>
      </c>
      <c r="J33" s="202"/>
      <c r="K33" s="205"/>
      <c r="AD33" s="35"/>
      <c r="AE33" s="58" t="s">
        <v>42</v>
      </c>
      <c r="AF33" s="206"/>
      <c r="AG33" s="54"/>
      <c r="AZ33" s="53"/>
      <c r="BA33" s="55" t="s">
        <v>47</v>
      </c>
      <c r="BB33" s="91"/>
      <c r="BC33" s="58" t="s">
        <v>42</v>
      </c>
      <c r="BD33" s="49"/>
      <c r="BE33" s="48" t="s">
        <v>49</v>
      </c>
      <c r="BH33" s="206"/>
      <c r="BI33" s="92"/>
      <c r="CA33" s="53"/>
      <c r="CB33" s="55" t="s">
        <v>47</v>
      </c>
      <c r="CC33" s="91"/>
      <c r="CD33" s="58" t="s">
        <v>42</v>
      </c>
      <c r="CE33" s="49"/>
      <c r="CF33" s="48" t="s">
        <v>49</v>
      </c>
      <c r="CL33" s="53"/>
    </row>
    <row r="34" ht="15.75" customHeight="1">
      <c r="A34" s="11"/>
      <c r="B34" s="43"/>
      <c r="C34" s="43"/>
      <c r="D34" s="43"/>
      <c r="E34" s="43"/>
      <c r="F34" s="43"/>
      <c r="G34" s="43"/>
      <c r="H34" s="202"/>
      <c r="J34" s="202"/>
      <c r="K34" s="43"/>
      <c r="L34" s="43"/>
      <c r="M34" s="43"/>
      <c r="N34" s="43"/>
      <c r="O34" s="43"/>
      <c r="P34" s="43"/>
      <c r="Q34" s="43"/>
      <c r="R34" s="43"/>
      <c r="S34" s="43"/>
      <c r="T34" s="43"/>
      <c r="U34" s="43"/>
      <c r="V34" s="43"/>
      <c r="W34" s="43"/>
      <c r="X34" s="43"/>
      <c r="Y34" s="43"/>
      <c r="Z34" s="43"/>
      <c r="AA34" s="43"/>
      <c r="AB34" s="43"/>
      <c r="AC34" s="43"/>
      <c r="AD34" s="34"/>
      <c r="AE34" s="71"/>
      <c r="AF34" s="206"/>
      <c r="AG34" s="43"/>
      <c r="AH34" s="43"/>
      <c r="AI34" s="43"/>
      <c r="AJ34" s="43"/>
      <c r="AK34" s="43"/>
      <c r="AL34" s="43"/>
      <c r="AM34" s="43"/>
      <c r="AN34" s="43"/>
      <c r="AO34" s="43"/>
      <c r="AP34" s="43"/>
      <c r="AQ34" s="43"/>
      <c r="AR34" s="43"/>
      <c r="AS34" s="43"/>
      <c r="AT34" s="43"/>
      <c r="AU34" s="43"/>
      <c r="AV34" s="43"/>
      <c r="AW34" s="43"/>
      <c r="AX34" s="43"/>
      <c r="AY34" s="43"/>
      <c r="AZ34" s="68"/>
      <c r="BA34" s="71"/>
      <c r="BB34" s="72" t="s">
        <v>61</v>
      </c>
      <c r="BC34" s="71"/>
      <c r="BD34" s="74" t="s">
        <v>62</v>
      </c>
      <c r="BE34" s="80">
        <f>IF(BC34="",0,IF(BA34="", CALCBULK(BC34), BA34*CALCBULK(BC34)))</f>
        <v>0</v>
      </c>
      <c r="BH34" s="206"/>
      <c r="BI34" s="43"/>
      <c r="BJ34" s="43"/>
      <c r="BK34" s="43"/>
      <c r="BL34" s="43"/>
      <c r="BM34" s="43"/>
      <c r="BN34" s="43"/>
      <c r="BO34" s="43"/>
      <c r="BP34" s="43"/>
      <c r="BQ34" s="43"/>
      <c r="BR34" s="43"/>
      <c r="BS34" s="43"/>
      <c r="BT34" s="43"/>
      <c r="BU34" s="43"/>
      <c r="BV34" s="43"/>
      <c r="BW34" s="43"/>
      <c r="BX34" s="43"/>
      <c r="BY34" s="43"/>
      <c r="BZ34" s="43"/>
      <c r="CA34" s="68"/>
      <c r="CB34" s="71"/>
      <c r="CC34" s="72" t="s">
        <v>61</v>
      </c>
      <c r="CD34" s="71">
        <v>0.0</v>
      </c>
      <c r="CE34" s="74" t="s">
        <v>62</v>
      </c>
      <c r="CF34" s="80">
        <f>IF(CD34="",0,IF(CB34="", CALCBULK(CD34), CB34*CALCBULK(CD34)))</f>
        <v>0</v>
      </c>
      <c r="CL34" s="172"/>
    </row>
    <row r="35" ht="9.75" customHeight="1">
      <c r="A35" s="33"/>
      <c r="B35" s="201"/>
      <c r="H35" s="202"/>
      <c r="I35" s="203">
        <v>0.0</v>
      </c>
      <c r="J35" s="202"/>
      <c r="K35" s="205"/>
      <c r="AD35" s="35"/>
      <c r="AE35" s="58" t="s">
        <v>42</v>
      </c>
      <c r="AF35" s="206"/>
      <c r="AG35" s="54"/>
      <c r="AZ35" s="53"/>
      <c r="BA35" s="55" t="s">
        <v>47</v>
      </c>
      <c r="BB35" s="91"/>
      <c r="BC35" s="58" t="s">
        <v>42</v>
      </c>
      <c r="BD35" s="49"/>
      <c r="BE35" s="48" t="s">
        <v>49</v>
      </c>
      <c r="BH35" s="206"/>
      <c r="BI35" s="92"/>
      <c r="CA35" s="53"/>
      <c r="CB35" s="55" t="s">
        <v>47</v>
      </c>
      <c r="CC35" s="91"/>
      <c r="CD35" s="58" t="s">
        <v>42</v>
      </c>
      <c r="CE35" s="49"/>
      <c r="CF35" s="48" t="s">
        <v>49</v>
      </c>
      <c r="CL35" s="53"/>
    </row>
    <row r="36" ht="15.75" customHeight="1">
      <c r="A36" s="11"/>
      <c r="B36" s="43"/>
      <c r="C36" s="43"/>
      <c r="D36" s="43"/>
      <c r="E36" s="43"/>
      <c r="F36" s="43"/>
      <c r="G36" s="43"/>
      <c r="H36" s="202"/>
      <c r="J36" s="202"/>
      <c r="K36" s="43"/>
      <c r="L36" s="43"/>
      <c r="M36" s="43"/>
      <c r="N36" s="43"/>
      <c r="O36" s="43"/>
      <c r="P36" s="43"/>
      <c r="Q36" s="43"/>
      <c r="R36" s="43"/>
      <c r="S36" s="43"/>
      <c r="T36" s="43"/>
      <c r="U36" s="43"/>
      <c r="V36" s="43"/>
      <c r="W36" s="43"/>
      <c r="X36" s="43"/>
      <c r="Y36" s="43"/>
      <c r="Z36" s="43"/>
      <c r="AA36" s="43"/>
      <c r="AB36" s="43"/>
      <c r="AC36" s="43"/>
      <c r="AD36" s="34"/>
      <c r="AE36" s="71"/>
      <c r="AF36" s="206"/>
      <c r="AG36" s="43"/>
      <c r="AH36" s="43"/>
      <c r="AI36" s="43"/>
      <c r="AJ36" s="43"/>
      <c r="AK36" s="43"/>
      <c r="AL36" s="43"/>
      <c r="AM36" s="43"/>
      <c r="AN36" s="43"/>
      <c r="AO36" s="43"/>
      <c r="AP36" s="43"/>
      <c r="AQ36" s="43"/>
      <c r="AR36" s="43"/>
      <c r="AS36" s="43"/>
      <c r="AT36" s="43"/>
      <c r="AU36" s="43"/>
      <c r="AV36" s="43"/>
      <c r="AW36" s="43"/>
      <c r="AX36" s="43"/>
      <c r="AY36" s="43"/>
      <c r="AZ36" s="68"/>
      <c r="BA36" s="71"/>
      <c r="BB36" s="72" t="s">
        <v>61</v>
      </c>
      <c r="BC36" s="71"/>
      <c r="BD36" s="74" t="s">
        <v>62</v>
      </c>
      <c r="BE36" s="80">
        <f>IF(BC36="",0,IF(BA36="", CALCBULK(BC36), BA36*CALCBULK(BC36)))</f>
        <v>0</v>
      </c>
      <c r="BH36" s="206"/>
      <c r="BI36" s="43"/>
      <c r="BJ36" s="43"/>
      <c r="BK36" s="43"/>
      <c r="BL36" s="43"/>
      <c r="BM36" s="43"/>
      <c r="BN36" s="43"/>
      <c r="BO36" s="43"/>
      <c r="BP36" s="43"/>
      <c r="BQ36" s="43"/>
      <c r="BR36" s="43"/>
      <c r="BS36" s="43"/>
      <c r="BT36" s="43"/>
      <c r="BU36" s="43"/>
      <c r="BV36" s="43"/>
      <c r="BW36" s="43"/>
      <c r="BX36" s="43"/>
      <c r="BY36" s="43"/>
      <c r="BZ36" s="43"/>
      <c r="CA36" s="68"/>
      <c r="CB36" s="71"/>
      <c r="CC36" s="72" t="s">
        <v>61</v>
      </c>
      <c r="CD36" s="71">
        <v>0.0</v>
      </c>
      <c r="CE36" s="74" t="s">
        <v>62</v>
      </c>
      <c r="CF36" s="80">
        <f>IF(CD36="",0,IF(CB36="", CALCBULK(CD36), CB36*CALCBULK(CD36)))</f>
        <v>0</v>
      </c>
      <c r="CL36" s="172"/>
    </row>
    <row r="37" ht="9.75" customHeight="1">
      <c r="A37" s="33"/>
      <c r="B37" s="201"/>
      <c r="H37" s="202"/>
      <c r="I37" s="203">
        <v>0.0</v>
      </c>
      <c r="J37" s="202"/>
      <c r="K37" s="205"/>
      <c r="AD37" s="35"/>
      <c r="AE37" s="58" t="s">
        <v>42</v>
      </c>
      <c r="AF37" s="206"/>
      <c r="AG37" s="54"/>
      <c r="AZ37" s="53"/>
      <c r="BA37" s="55" t="s">
        <v>47</v>
      </c>
      <c r="BB37" s="91"/>
      <c r="BC37" s="58" t="s">
        <v>42</v>
      </c>
      <c r="BD37" s="49"/>
      <c r="BE37" s="48" t="s">
        <v>49</v>
      </c>
      <c r="BH37" s="206"/>
      <c r="BI37" s="92"/>
      <c r="CA37" s="53"/>
      <c r="CB37" s="55" t="s">
        <v>47</v>
      </c>
      <c r="CC37" s="91"/>
      <c r="CD37" s="58" t="s">
        <v>42</v>
      </c>
      <c r="CE37" s="49"/>
      <c r="CF37" s="48" t="s">
        <v>49</v>
      </c>
      <c r="CL37" s="53"/>
    </row>
    <row r="38" ht="15.75" customHeight="1">
      <c r="A38" s="11"/>
      <c r="B38" s="43"/>
      <c r="C38" s="43"/>
      <c r="D38" s="43"/>
      <c r="E38" s="43"/>
      <c r="F38" s="43"/>
      <c r="G38" s="43"/>
      <c r="H38" s="202"/>
      <c r="J38" s="202"/>
      <c r="K38" s="43"/>
      <c r="L38" s="43"/>
      <c r="M38" s="43"/>
      <c r="N38" s="43"/>
      <c r="O38" s="43"/>
      <c r="P38" s="43"/>
      <c r="Q38" s="43"/>
      <c r="R38" s="43"/>
      <c r="S38" s="43"/>
      <c r="T38" s="43"/>
      <c r="U38" s="43"/>
      <c r="V38" s="43"/>
      <c r="W38" s="43"/>
      <c r="X38" s="43"/>
      <c r="Y38" s="43"/>
      <c r="Z38" s="43"/>
      <c r="AA38" s="43"/>
      <c r="AB38" s="43"/>
      <c r="AC38" s="43"/>
      <c r="AD38" s="34"/>
      <c r="AE38" s="71"/>
      <c r="AF38" s="206"/>
      <c r="AG38" s="43"/>
      <c r="AH38" s="43"/>
      <c r="AI38" s="43"/>
      <c r="AJ38" s="43"/>
      <c r="AK38" s="43"/>
      <c r="AL38" s="43"/>
      <c r="AM38" s="43"/>
      <c r="AN38" s="43"/>
      <c r="AO38" s="43"/>
      <c r="AP38" s="43"/>
      <c r="AQ38" s="43"/>
      <c r="AR38" s="43"/>
      <c r="AS38" s="43"/>
      <c r="AT38" s="43"/>
      <c r="AU38" s="43"/>
      <c r="AV38" s="43"/>
      <c r="AW38" s="43"/>
      <c r="AX38" s="43"/>
      <c r="AY38" s="43"/>
      <c r="AZ38" s="68"/>
      <c r="BA38" s="71"/>
      <c r="BB38" s="72" t="s">
        <v>61</v>
      </c>
      <c r="BC38" s="71"/>
      <c r="BD38" s="74" t="s">
        <v>62</v>
      </c>
      <c r="BE38" s="80">
        <f>IF(BC38="",0,IF(BA38="", CALCBULK(BC38), BA38*CALCBULK(BC38)))</f>
        <v>0</v>
      </c>
      <c r="BH38" s="206"/>
      <c r="BI38" s="43"/>
      <c r="BJ38" s="43"/>
      <c r="BK38" s="43"/>
      <c r="BL38" s="43"/>
      <c r="BM38" s="43"/>
      <c r="BN38" s="43"/>
      <c r="BO38" s="43"/>
      <c r="BP38" s="43"/>
      <c r="BQ38" s="43"/>
      <c r="BR38" s="43"/>
      <c r="BS38" s="43"/>
      <c r="BT38" s="43"/>
      <c r="BU38" s="43"/>
      <c r="BV38" s="43"/>
      <c r="BW38" s="43"/>
      <c r="BX38" s="43"/>
      <c r="BY38" s="43"/>
      <c r="BZ38" s="43"/>
      <c r="CA38" s="68"/>
      <c r="CB38" s="71"/>
      <c r="CC38" s="72" t="s">
        <v>61</v>
      </c>
      <c r="CD38" s="71">
        <v>0.0</v>
      </c>
      <c r="CE38" s="74" t="s">
        <v>62</v>
      </c>
      <c r="CF38" s="80">
        <f>IF(CD38="",0,IF(CB38="", CALCBULK(CD38), CB38*CALCBULK(CD38)))</f>
        <v>0</v>
      </c>
      <c r="CL38" s="172"/>
    </row>
    <row r="39" ht="9.75" customHeight="1">
      <c r="A39" s="33"/>
      <c r="B39" s="201"/>
      <c r="H39" s="202"/>
      <c r="I39" s="203">
        <v>0.0</v>
      </c>
      <c r="J39" s="202"/>
      <c r="K39" s="205"/>
      <c r="AD39" s="35"/>
      <c r="AE39" s="58" t="s">
        <v>42</v>
      </c>
      <c r="AF39" s="60"/>
      <c r="AG39" s="60" t="s">
        <v>219</v>
      </c>
      <c r="AZ39" s="53"/>
      <c r="BA39" s="48"/>
      <c r="BB39" s="91"/>
      <c r="BC39" s="244"/>
      <c r="BD39" s="49"/>
      <c r="BE39" s="48" t="s">
        <v>49</v>
      </c>
      <c r="BH39" s="60" t="s">
        <v>221</v>
      </c>
      <c r="CA39" s="48" t="s">
        <v>222</v>
      </c>
      <c r="CE39" s="247"/>
      <c r="CF39" s="48" t="s">
        <v>49</v>
      </c>
      <c r="CL39" s="53"/>
    </row>
    <row r="40" ht="15.75" customHeight="1">
      <c r="A40" s="11"/>
      <c r="B40" s="43"/>
      <c r="C40" s="43"/>
      <c r="D40" s="43"/>
      <c r="E40" s="43"/>
      <c r="F40" s="43"/>
      <c r="G40" s="43"/>
      <c r="H40" s="202"/>
      <c r="J40" s="202"/>
      <c r="K40" s="43"/>
      <c r="L40" s="43"/>
      <c r="M40" s="43"/>
      <c r="N40" s="43"/>
      <c r="O40" s="43"/>
      <c r="P40" s="43"/>
      <c r="Q40" s="43"/>
      <c r="R40" s="43"/>
      <c r="S40" s="43"/>
      <c r="T40" s="43"/>
      <c r="U40" s="43"/>
      <c r="V40" s="43"/>
      <c r="W40" s="43"/>
      <c r="X40" s="43"/>
      <c r="Y40" s="43"/>
      <c r="Z40" s="43"/>
      <c r="AA40" s="43"/>
      <c r="AB40" s="43"/>
      <c r="AC40" s="43"/>
      <c r="AD40" s="34"/>
      <c r="AE40" s="71"/>
      <c r="AF40" s="60"/>
      <c r="AG40" s="43"/>
      <c r="AH40" s="43"/>
      <c r="AI40" s="43"/>
      <c r="AJ40" s="43"/>
      <c r="AK40" s="43"/>
      <c r="AL40" s="43"/>
      <c r="AM40" s="43"/>
      <c r="AN40" s="43"/>
      <c r="AO40" s="43"/>
      <c r="AP40" s="43"/>
      <c r="AQ40" s="43"/>
      <c r="AR40" s="43"/>
      <c r="AS40" s="43"/>
      <c r="AT40" s="43"/>
      <c r="AU40" s="43"/>
      <c r="AV40" s="43"/>
      <c r="AW40" s="43"/>
      <c r="AX40" s="43"/>
      <c r="AY40" s="43"/>
      <c r="AZ40" s="68"/>
      <c r="BA40" s="172"/>
      <c r="BB40" s="172"/>
      <c r="BC40" s="172"/>
      <c r="BD40" s="172"/>
      <c r="BE40" s="80">
        <f>SUM(BE42,BE44,BE46,BE48)</f>
        <v>0</v>
      </c>
      <c r="BH40" s="43"/>
      <c r="BI40" s="43"/>
      <c r="BJ40" s="43"/>
      <c r="BK40" s="43"/>
      <c r="BL40" s="43"/>
      <c r="BM40" s="43"/>
      <c r="BN40" s="43"/>
      <c r="BO40" s="43"/>
      <c r="BP40" s="43"/>
      <c r="BQ40" s="43"/>
      <c r="BR40" s="43"/>
      <c r="BS40" s="43"/>
      <c r="BT40" s="43"/>
      <c r="BU40" s="43"/>
      <c r="BV40" s="43"/>
      <c r="BW40" s="43"/>
      <c r="BX40" s="43"/>
      <c r="BY40" s="43"/>
      <c r="BZ40" s="43"/>
      <c r="CA40" s="68"/>
      <c r="CB40" s="172"/>
      <c r="CC40" s="68">
        <v>0.0</v>
      </c>
      <c r="CD40" s="172"/>
      <c r="CE40" s="172"/>
      <c r="CF40" s="80">
        <f>SUM(CF42:CF54)</f>
        <v>0</v>
      </c>
      <c r="CL40" s="172"/>
    </row>
    <row r="41" ht="9.75" customHeight="1">
      <c r="A41" s="33"/>
      <c r="B41" s="201"/>
      <c r="H41" s="202"/>
      <c r="I41" s="203">
        <v>0.0</v>
      </c>
      <c r="J41" s="202"/>
      <c r="K41" s="205"/>
      <c r="AD41" s="35"/>
      <c r="AE41" s="58" t="s">
        <v>42</v>
      </c>
      <c r="AF41" s="206"/>
      <c r="AG41" s="206"/>
      <c r="AH41" s="206"/>
      <c r="AI41" s="254"/>
      <c r="AQ41" s="254"/>
      <c r="AR41" s="254"/>
      <c r="AZ41" s="53"/>
      <c r="BA41" s="55" t="s">
        <v>47</v>
      </c>
      <c r="BB41" s="91"/>
      <c r="BC41" s="58" t="s">
        <v>42</v>
      </c>
      <c r="BD41" s="49"/>
      <c r="BE41" s="48" t="s">
        <v>49</v>
      </c>
      <c r="BH41" s="206"/>
      <c r="BI41" s="206"/>
      <c r="BJ41" s="254"/>
      <c r="BR41" s="254"/>
      <c r="BS41" s="254"/>
      <c r="CA41" s="53"/>
      <c r="CB41" s="55" t="s">
        <v>47</v>
      </c>
      <c r="CC41" s="91"/>
      <c r="CD41" s="58" t="s">
        <v>42</v>
      </c>
      <c r="CE41" s="49"/>
      <c r="CF41" s="48" t="s">
        <v>49</v>
      </c>
      <c r="CL41" s="35"/>
    </row>
    <row r="42" ht="15.75" customHeight="1">
      <c r="A42" s="11"/>
      <c r="B42" s="43"/>
      <c r="C42" s="43"/>
      <c r="D42" s="43"/>
      <c r="E42" s="43"/>
      <c r="F42" s="43"/>
      <c r="G42" s="43"/>
      <c r="H42" s="202"/>
      <c r="J42" s="202"/>
      <c r="K42" s="43"/>
      <c r="L42" s="43"/>
      <c r="M42" s="43"/>
      <c r="N42" s="43"/>
      <c r="O42" s="43"/>
      <c r="P42" s="43"/>
      <c r="Q42" s="43"/>
      <c r="R42" s="43"/>
      <c r="S42" s="43"/>
      <c r="T42" s="43"/>
      <c r="U42" s="43"/>
      <c r="V42" s="43"/>
      <c r="W42" s="43"/>
      <c r="X42" s="43"/>
      <c r="Y42" s="43"/>
      <c r="Z42" s="43"/>
      <c r="AA42" s="43"/>
      <c r="AB42" s="43"/>
      <c r="AC42" s="43"/>
      <c r="AD42" s="34"/>
      <c r="AE42" s="71"/>
      <c r="AF42" s="206"/>
      <c r="AG42" s="206"/>
      <c r="AH42" s="206"/>
      <c r="AI42" s="43"/>
      <c r="AJ42" s="43"/>
      <c r="AK42" s="43"/>
      <c r="AL42" s="43"/>
      <c r="AM42" s="43"/>
      <c r="AN42" s="43"/>
      <c r="AO42" s="43"/>
      <c r="AP42" s="43"/>
      <c r="AQ42" s="254"/>
      <c r="AR42" s="43"/>
      <c r="AS42" s="43"/>
      <c r="AT42" s="43"/>
      <c r="AU42" s="43"/>
      <c r="AV42" s="43"/>
      <c r="AW42" s="43"/>
      <c r="AX42" s="43"/>
      <c r="AY42" s="43"/>
      <c r="AZ42" s="68"/>
      <c r="BA42" s="71">
        <v>0.0</v>
      </c>
      <c r="BB42" s="72" t="s">
        <v>61</v>
      </c>
      <c r="BC42" s="71" t="s">
        <v>57</v>
      </c>
      <c r="BD42" s="74" t="s">
        <v>62</v>
      </c>
      <c r="BE42" s="80">
        <f>IF(BC42="",0,IF(BA42="", CALCBULK(BC42), BA42*CALCBULK(BC42)))</f>
        <v>0</v>
      </c>
      <c r="BH42" s="206"/>
      <c r="BI42" s="206"/>
      <c r="BJ42" s="43"/>
      <c r="BK42" s="43"/>
      <c r="BL42" s="43"/>
      <c r="BM42" s="43"/>
      <c r="BN42" s="43"/>
      <c r="BO42" s="43"/>
      <c r="BP42" s="43"/>
      <c r="BQ42" s="43"/>
      <c r="BR42" s="254"/>
      <c r="BS42" s="43"/>
      <c r="BT42" s="43"/>
      <c r="BU42" s="43"/>
      <c r="BV42" s="43"/>
      <c r="BW42" s="43"/>
      <c r="BX42" s="43"/>
      <c r="BY42" s="43"/>
      <c r="BZ42" s="43"/>
      <c r="CA42" s="68"/>
      <c r="CB42" s="71"/>
      <c r="CC42" s="72" t="s">
        <v>61</v>
      </c>
      <c r="CD42" s="71">
        <v>0.0</v>
      </c>
      <c r="CE42" s="74" t="s">
        <v>62</v>
      </c>
      <c r="CF42" s="80">
        <f>IF(CD42="",0,IF(CB42="", CALCBULK(CD42), CB42*CALCBULK(CD42)))</f>
        <v>0</v>
      </c>
      <c r="CL42" s="34"/>
    </row>
    <row r="43" ht="9.75" customHeight="1">
      <c r="A43" s="33"/>
      <c r="B43" s="201"/>
      <c r="H43" s="202"/>
      <c r="I43" s="203">
        <v>0.0</v>
      </c>
      <c r="J43" s="202"/>
      <c r="K43" s="205"/>
      <c r="AD43" s="35"/>
      <c r="AE43" s="58" t="s">
        <v>42</v>
      </c>
      <c r="AF43" s="206"/>
      <c r="AG43" s="206"/>
      <c r="AH43" s="206"/>
      <c r="AI43" s="254"/>
      <c r="AQ43" s="254"/>
      <c r="AR43" s="254"/>
      <c r="AZ43" s="53"/>
      <c r="BA43" s="55" t="s">
        <v>47</v>
      </c>
      <c r="BB43" s="91"/>
      <c r="BC43" s="58" t="s">
        <v>42</v>
      </c>
      <c r="BD43" s="49"/>
      <c r="BE43" s="48" t="s">
        <v>49</v>
      </c>
      <c r="BH43" s="206"/>
      <c r="BI43" s="206"/>
      <c r="BJ43" s="254"/>
      <c r="BR43" s="254"/>
      <c r="BS43" s="254"/>
      <c r="CA43" s="53"/>
      <c r="CB43" s="55" t="s">
        <v>47</v>
      </c>
      <c r="CC43" s="91"/>
      <c r="CD43" s="58" t="s">
        <v>42</v>
      </c>
      <c r="CE43" s="49"/>
      <c r="CF43" s="48" t="s">
        <v>49</v>
      </c>
      <c r="CL43" s="35"/>
    </row>
    <row r="44" ht="15.75" customHeight="1">
      <c r="A44" s="11"/>
      <c r="B44" s="43"/>
      <c r="C44" s="43"/>
      <c r="D44" s="43"/>
      <c r="E44" s="43"/>
      <c r="F44" s="43"/>
      <c r="G44" s="43"/>
      <c r="H44" s="202"/>
      <c r="J44" s="202"/>
      <c r="K44" s="43"/>
      <c r="L44" s="43"/>
      <c r="M44" s="43"/>
      <c r="N44" s="43"/>
      <c r="O44" s="43"/>
      <c r="P44" s="43"/>
      <c r="Q44" s="43"/>
      <c r="R44" s="43"/>
      <c r="S44" s="43"/>
      <c r="T44" s="43"/>
      <c r="U44" s="43"/>
      <c r="V44" s="43"/>
      <c r="W44" s="43"/>
      <c r="X44" s="43"/>
      <c r="Y44" s="43"/>
      <c r="Z44" s="43"/>
      <c r="AA44" s="43"/>
      <c r="AB44" s="43"/>
      <c r="AC44" s="43"/>
      <c r="AD44" s="34"/>
      <c r="AE44" s="71"/>
      <c r="AF44" s="206"/>
      <c r="AG44" s="206"/>
      <c r="AH44" s="206"/>
      <c r="AI44" s="43"/>
      <c r="AJ44" s="43"/>
      <c r="AK44" s="43"/>
      <c r="AL44" s="43"/>
      <c r="AM44" s="43"/>
      <c r="AN44" s="43"/>
      <c r="AO44" s="43"/>
      <c r="AP44" s="43"/>
      <c r="AQ44" s="254"/>
      <c r="AR44" s="43"/>
      <c r="AS44" s="43"/>
      <c r="AT44" s="43"/>
      <c r="AU44" s="43"/>
      <c r="AV44" s="43"/>
      <c r="AW44" s="43"/>
      <c r="AX44" s="43"/>
      <c r="AY44" s="43"/>
      <c r="AZ44" s="68"/>
      <c r="BA44" s="71">
        <v>0.0</v>
      </c>
      <c r="BB44" s="72" t="s">
        <v>61</v>
      </c>
      <c r="BC44" s="71" t="s">
        <v>57</v>
      </c>
      <c r="BD44" s="74" t="s">
        <v>62</v>
      </c>
      <c r="BE44" s="80">
        <f>IF(BC44="",0,IF(BA44="", CALCBULK(BC44), BA44*CALCBULK(BC44)))</f>
        <v>0</v>
      </c>
      <c r="BH44" s="206"/>
      <c r="BI44" s="206"/>
      <c r="BJ44" s="43"/>
      <c r="BK44" s="43"/>
      <c r="BL44" s="43"/>
      <c r="BM44" s="43"/>
      <c r="BN44" s="43"/>
      <c r="BO44" s="43"/>
      <c r="BP44" s="43"/>
      <c r="BQ44" s="43"/>
      <c r="BR44" s="254"/>
      <c r="BS44" s="43"/>
      <c r="BT44" s="43"/>
      <c r="BU44" s="43"/>
      <c r="BV44" s="43"/>
      <c r="BW44" s="43"/>
      <c r="BX44" s="43"/>
      <c r="BY44" s="43"/>
      <c r="BZ44" s="43"/>
      <c r="CA44" s="68"/>
      <c r="CB44" s="71"/>
      <c r="CC44" s="72" t="s">
        <v>61</v>
      </c>
      <c r="CD44" s="71">
        <v>0.0</v>
      </c>
      <c r="CE44" s="74" t="s">
        <v>62</v>
      </c>
      <c r="CF44" s="80">
        <f>IF(CD44="",0,IF(CB44="", CALCBULK(CD44), CB44*CALCBULK(CD44)))</f>
        <v>0</v>
      </c>
      <c r="CL44" s="34"/>
    </row>
    <row r="45" ht="9.75" customHeight="1">
      <c r="A45" s="33"/>
      <c r="B45" s="201"/>
      <c r="H45" s="202"/>
      <c r="I45" s="203">
        <v>0.0</v>
      </c>
      <c r="J45" s="202"/>
      <c r="K45" s="205"/>
      <c r="AD45" s="35"/>
      <c r="AE45" s="58" t="s">
        <v>42</v>
      </c>
      <c r="AF45" s="206"/>
      <c r="AG45" s="206"/>
      <c r="AH45" s="206"/>
      <c r="AI45" s="254"/>
      <c r="AQ45" s="254"/>
      <c r="AR45" s="254"/>
      <c r="AZ45" s="53"/>
      <c r="BA45" s="55" t="s">
        <v>47</v>
      </c>
      <c r="BB45" s="91"/>
      <c r="BC45" s="58" t="s">
        <v>42</v>
      </c>
      <c r="BD45" s="49"/>
      <c r="BE45" s="48" t="s">
        <v>49</v>
      </c>
      <c r="BH45" s="206"/>
      <c r="BI45" s="206"/>
      <c r="BJ45" s="254"/>
      <c r="BR45" s="254"/>
      <c r="BS45" s="254"/>
      <c r="CA45" s="53"/>
      <c r="CB45" s="55" t="s">
        <v>47</v>
      </c>
      <c r="CC45" s="91"/>
      <c r="CD45" s="58" t="s">
        <v>42</v>
      </c>
      <c r="CE45" s="49"/>
      <c r="CF45" s="48" t="s">
        <v>49</v>
      </c>
      <c r="CL45" s="35"/>
    </row>
    <row r="46" ht="15.75" customHeight="1">
      <c r="A46" s="11"/>
      <c r="B46" s="43"/>
      <c r="C46" s="43"/>
      <c r="D46" s="43"/>
      <c r="E46" s="43"/>
      <c r="F46" s="43"/>
      <c r="G46" s="43"/>
      <c r="H46" s="202"/>
      <c r="J46" s="202"/>
      <c r="K46" s="43"/>
      <c r="L46" s="43"/>
      <c r="M46" s="43"/>
      <c r="N46" s="43"/>
      <c r="O46" s="43"/>
      <c r="P46" s="43"/>
      <c r="Q46" s="43"/>
      <c r="R46" s="43"/>
      <c r="S46" s="43"/>
      <c r="T46" s="43"/>
      <c r="U46" s="43"/>
      <c r="V46" s="43"/>
      <c r="W46" s="43"/>
      <c r="X46" s="43"/>
      <c r="Y46" s="43"/>
      <c r="Z46" s="43"/>
      <c r="AA46" s="43"/>
      <c r="AB46" s="43"/>
      <c r="AC46" s="43"/>
      <c r="AD46" s="34"/>
      <c r="AE46" s="71"/>
      <c r="AF46" s="206"/>
      <c r="AG46" s="206"/>
      <c r="AH46" s="206"/>
      <c r="AI46" s="43"/>
      <c r="AJ46" s="43"/>
      <c r="AK46" s="43"/>
      <c r="AL46" s="43"/>
      <c r="AM46" s="43"/>
      <c r="AN46" s="43"/>
      <c r="AO46" s="43"/>
      <c r="AP46" s="43"/>
      <c r="AQ46" s="254"/>
      <c r="AR46" s="43"/>
      <c r="AS46" s="43"/>
      <c r="AT46" s="43"/>
      <c r="AU46" s="43"/>
      <c r="AV46" s="43"/>
      <c r="AW46" s="43"/>
      <c r="AX46" s="43"/>
      <c r="AY46" s="43"/>
      <c r="AZ46" s="68"/>
      <c r="BA46" s="71">
        <v>0.0</v>
      </c>
      <c r="BB46" s="72" t="s">
        <v>61</v>
      </c>
      <c r="BC46" s="71" t="s">
        <v>57</v>
      </c>
      <c r="BD46" s="74" t="s">
        <v>62</v>
      </c>
      <c r="BE46" s="80">
        <f>IF(BC46="",0,IF(BA46="", CALCBULK(BC46), BA46*CALCBULK(BC46)))</f>
        <v>0</v>
      </c>
      <c r="BH46" s="206"/>
      <c r="BI46" s="206"/>
      <c r="BJ46" s="43"/>
      <c r="BK46" s="43"/>
      <c r="BL46" s="43"/>
      <c r="BM46" s="43"/>
      <c r="BN46" s="43"/>
      <c r="BO46" s="43"/>
      <c r="BP46" s="43"/>
      <c r="BQ46" s="43"/>
      <c r="BR46" s="254"/>
      <c r="BS46" s="43"/>
      <c r="BT46" s="43"/>
      <c r="BU46" s="43"/>
      <c r="BV46" s="43"/>
      <c r="BW46" s="43"/>
      <c r="BX46" s="43"/>
      <c r="BY46" s="43"/>
      <c r="BZ46" s="43"/>
      <c r="CA46" s="68"/>
      <c r="CB46" s="71"/>
      <c r="CC46" s="72" t="s">
        <v>61</v>
      </c>
      <c r="CD46" s="71">
        <v>0.0</v>
      </c>
      <c r="CE46" s="74" t="s">
        <v>62</v>
      </c>
      <c r="CF46" s="80">
        <f>IF(CD46="",0,IF(CB46="", CALCBULK(CD46), CB46*CALCBULK(CD46)))</f>
        <v>0</v>
      </c>
      <c r="CL46" s="34"/>
    </row>
    <row r="47" ht="9.75" customHeight="1">
      <c r="A47" s="33"/>
      <c r="B47" s="201"/>
      <c r="H47" s="202"/>
      <c r="I47" s="203">
        <v>0.0</v>
      </c>
      <c r="J47" s="202"/>
      <c r="K47" s="205"/>
      <c r="AD47" s="35"/>
      <c r="AE47" s="58" t="s">
        <v>42</v>
      </c>
      <c r="AF47" s="206"/>
      <c r="AG47" s="206"/>
      <c r="AH47" s="206"/>
      <c r="AI47" s="254"/>
      <c r="AQ47" s="254"/>
      <c r="AR47" s="254"/>
      <c r="AZ47" s="53"/>
      <c r="BA47" s="55" t="s">
        <v>47</v>
      </c>
      <c r="BB47" s="91"/>
      <c r="BC47" s="58" t="s">
        <v>42</v>
      </c>
      <c r="BD47" s="49"/>
      <c r="BE47" s="48" t="s">
        <v>49</v>
      </c>
      <c r="BH47" s="206"/>
      <c r="BI47" s="206"/>
      <c r="BJ47" s="254"/>
      <c r="BR47" s="254"/>
      <c r="BS47" s="254"/>
      <c r="CA47" s="53"/>
      <c r="CB47" s="55" t="s">
        <v>47</v>
      </c>
      <c r="CC47" s="91"/>
      <c r="CD47" s="58" t="s">
        <v>42</v>
      </c>
      <c r="CE47" s="49"/>
      <c r="CF47" s="48" t="s">
        <v>49</v>
      </c>
      <c r="CL47" s="35"/>
    </row>
    <row r="48" ht="15.75" customHeight="1">
      <c r="A48" s="11"/>
      <c r="B48" s="43"/>
      <c r="C48" s="43"/>
      <c r="D48" s="43"/>
      <c r="E48" s="43"/>
      <c r="F48" s="43"/>
      <c r="G48" s="43"/>
      <c r="H48" s="202"/>
      <c r="J48" s="202"/>
      <c r="K48" s="43"/>
      <c r="L48" s="43"/>
      <c r="M48" s="43"/>
      <c r="N48" s="43"/>
      <c r="O48" s="43"/>
      <c r="P48" s="43"/>
      <c r="Q48" s="43"/>
      <c r="R48" s="43"/>
      <c r="S48" s="43"/>
      <c r="T48" s="43"/>
      <c r="U48" s="43"/>
      <c r="V48" s="43"/>
      <c r="W48" s="43"/>
      <c r="X48" s="43"/>
      <c r="Y48" s="43"/>
      <c r="Z48" s="43"/>
      <c r="AA48" s="43"/>
      <c r="AB48" s="43"/>
      <c r="AC48" s="43"/>
      <c r="AD48" s="34"/>
      <c r="AE48" s="71"/>
      <c r="AF48" s="206"/>
      <c r="AG48" s="206"/>
      <c r="AH48" s="206"/>
      <c r="AI48" s="43"/>
      <c r="AJ48" s="43"/>
      <c r="AK48" s="43"/>
      <c r="AL48" s="43"/>
      <c r="AM48" s="43"/>
      <c r="AN48" s="43"/>
      <c r="AO48" s="43"/>
      <c r="AP48" s="43"/>
      <c r="AQ48" s="254"/>
      <c r="AR48" s="43"/>
      <c r="AS48" s="43"/>
      <c r="AT48" s="43"/>
      <c r="AU48" s="43"/>
      <c r="AV48" s="43"/>
      <c r="AW48" s="43"/>
      <c r="AX48" s="43"/>
      <c r="AY48" s="43"/>
      <c r="AZ48" s="68"/>
      <c r="BA48" s="71">
        <v>0.0</v>
      </c>
      <c r="BB48" s="72" t="s">
        <v>61</v>
      </c>
      <c r="BC48" s="71" t="s">
        <v>57</v>
      </c>
      <c r="BD48" s="74" t="s">
        <v>62</v>
      </c>
      <c r="BE48" s="80">
        <f>IF(BC48="",0,IF(BA48="", CALCBULK(BC48), BA48*CALCBULK(BC48)))</f>
        <v>0</v>
      </c>
      <c r="BH48" s="206"/>
      <c r="BI48" s="206"/>
      <c r="BJ48" s="43"/>
      <c r="BK48" s="43"/>
      <c r="BL48" s="43"/>
      <c r="BM48" s="43"/>
      <c r="BN48" s="43"/>
      <c r="BO48" s="43"/>
      <c r="BP48" s="43"/>
      <c r="BQ48" s="43"/>
      <c r="BR48" s="254"/>
      <c r="BS48" s="43"/>
      <c r="BT48" s="43"/>
      <c r="BU48" s="43"/>
      <c r="BV48" s="43"/>
      <c r="BW48" s="43"/>
      <c r="BX48" s="43"/>
      <c r="BY48" s="43"/>
      <c r="BZ48" s="43"/>
      <c r="CA48" s="68"/>
      <c r="CB48" s="71"/>
      <c r="CC48" s="72" t="s">
        <v>61</v>
      </c>
      <c r="CD48" s="71">
        <v>0.0</v>
      </c>
      <c r="CE48" s="74" t="s">
        <v>62</v>
      </c>
      <c r="CF48" s="80">
        <f>IF(CD48="",0,IF(CB48="", CALCBULK(CD48), CB48*CALCBULK(CD48)))</f>
        <v>0</v>
      </c>
      <c r="CL48" s="34"/>
    </row>
    <row r="49" ht="9.75" customHeight="1">
      <c r="A49" s="33"/>
      <c r="B49" s="201"/>
      <c r="H49" s="202"/>
      <c r="I49" s="203">
        <v>0.0</v>
      </c>
      <c r="J49" s="202"/>
      <c r="K49" s="205"/>
      <c r="AD49" s="35"/>
      <c r="AE49" s="58" t="s">
        <v>42</v>
      </c>
      <c r="AF49" s="60"/>
      <c r="AG49" s="60" t="s">
        <v>243</v>
      </c>
      <c r="AZ49" s="53"/>
      <c r="BA49" s="48"/>
      <c r="BB49" s="91"/>
      <c r="BC49" s="244"/>
      <c r="BD49" s="49"/>
      <c r="BE49" s="48" t="s">
        <v>49</v>
      </c>
      <c r="BH49" s="206"/>
      <c r="BI49" s="206"/>
      <c r="BJ49" s="254"/>
      <c r="BR49" s="254"/>
      <c r="BS49" s="254"/>
      <c r="CA49" s="53"/>
      <c r="CB49" s="55" t="s">
        <v>47</v>
      </c>
      <c r="CC49" s="91"/>
      <c r="CD49" s="58" t="s">
        <v>42</v>
      </c>
      <c r="CE49" s="49"/>
      <c r="CF49" s="48" t="s">
        <v>49</v>
      </c>
      <c r="CL49" s="35"/>
    </row>
    <row r="50" ht="15.75" customHeight="1">
      <c r="A50" s="11"/>
      <c r="B50" s="43"/>
      <c r="C50" s="43"/>
      <c r="D50" s="43"/>
      <c r="E50" s="43"/>
      <c r="F50" s="43"/>
      <c r="G50" s="43"/>
      <c r="H50" s="202"/>
      <c r="J50" s="202"/>
      <c r="K50" s="43"/>
      <c r="L50" s="43"/>
      <c r="M50" s="43"/>
      <c r="N50" s="43"/>
      <c r="O50" s="43"/>
      <c r="P50" s="43"/>
      <c r="Q50" s="43"/>
      <c r="R50" s="43"/>
      <c r="S50" s="43"/>
      <c r="T50" s="43"/>
      <c r="U50" s="43"/>
      <c r="V50" s="43"/>
      <c r="W50" s="43"/>
      <c r="X50" s="43"/>
      <c r="Y50" s="43"/>
      <c r="Z50" s="43"/>
      <c r="AA50" s="43"/>
      <c r="AB50" s="43"/>
      <c r="AC50" s="43"/>
      <c r="AD50" s="34"/>
      <c r="AE50" s="71"/>
      <c r="AF50" s="60"/>
      <c r="AG50" s="43"/>
      <c r="AH50" s="43"/>
      <c r="AI50" s="43"/>
      <c r="AJ50" s="43"/>
      <c r="AK50" s="43"/>
      <c r="AL50" s="43"/>
      <c r="AM50" s="43"/>
      <c r="AN50" s="43"/>
      <c r="AO50" s="43"/>
      <c r="AP50" s="43"/>
      <c r="AQ50" s="43"/>
      <c r="AR50" s="43"/>
      <c r="AS50" s="43"/>
      <c r="AT50" s="43"/>
      <c r="AU50" s="43"/>
      <c r="AV50" s="43"/>
      <c r="AW50" s="43"/>
      <c r="AX50" s="43"/>
      <c r="AY50" s="43"/>
      <c r="AZ50" s="68"/>
      <c r="BA50" s="172"/>
      <c r="BB50" s="172"/>
      <c r="BC50" s="172"/>
      <c r="BD50" s="172"/>
      <c r="BE50" s="80">
        <f>SUM(BE52,BE54)</f>
        <v>0</v>
      </c>
      <c r="BH50" s="206"/>
      <c r="BI50" s="206"/>
      <c r="BJ50" s="43"/>
      <c r="BK50" s="43"/>
      <c r="BL50" s="43"/>
      <c r="BM50" s="43"/>
      <c r="BN50" s="43"/>
      <c r="BO50" s="43"/>
      <c r="BP50" s="43"/>
      <c r="BQ50" s="43"/>
      <c r="BR50" s="254"/>
      <c r="BS50" s="43"/>
      <c r="BT50" s="43"/>
      <c r="BU50" s="43"/>
      <c r="BV50" s="43"/>
      <c r="BW50" s="43"/>
      <c r="BX50" s="43"/>
      <c r="BY50" s="43"/>
      <c r="BZ50" s="43"/>
      <c r="CA50" s="68"/>
      <c r="CB50" s="71"/>
      <c r="CC50" s="72" t="s">
        <v>61</v>
      </c>
      <c r="CD50" s="71">
        <v>0.0</v>
      </c>
      <c r="CE50" s="74" t="s">
        <v>62</v>
      </c>
      <c r="CF50" s="80">
        <f>IF(CD50="",0,IF(CB50="", CALCBULK(CD50), CB50*CALCBULK(CD50)))</f>
        <v>0</v>
      </c>
      <c r="CL50" s="34"/>
    </row>
    <row r="51" ht="9.75" customHeight="1">
      <c r="A51" s="33"/>
      <c r="B51" s="201"/>
      <c r="H51" s="281"/>
      <c r="I51" s="203">
        <v>0.0</v>
      </c>
      <c r="J51" s="281"/>
      <c r="K51" s="205"/>
      <c r="AD51" s="35"/>
      <c r="AE51" s="58" t="s">
        <v>42</v>
      </c>
      <c r="AF51" s="206"/>
      <c r="AG51" s="206"/>
      <c r="AH51" s="206"/>
      <c r="AI51" s="254"/>
      <c r="AQ51" s="254"/>
      <c r="AR51" s="254"/>
      <c r="AZ51" s="53"/>
      <c r="BA51" s="55" t="s">
        <v>47</v>
      </c>
      <c r="BB51" s="91"/>
      <c r="BC51" s="58" t="s">
        <v>42</v>
      </c>
      <c r="BD51" s="49"/>
      <c r="BE51" s="48" t="s">
        <v>49</v>
      </c>
      <c r="BH51" s="206"/>
      <c r="BI51" s="206"/>
      <c r="BJ51" s="254"/>
      <c r="BR51" s="254"/>
      <c r="BS51" s="254"/>
      <c r="CA51" s="53"/>
      <c r="CB51" s="55" t="s">
        <v>47</v>
      </c>
      <c r="CC51" s="91"/>
      <c r="CD51" s="58" t="s">
        <v>42</v>
      </c>
      <c r="CE51" s="49"/>
      <c r="CF51" s="48" t="s">
        <v>49</v>
      </c>
      <c r="CL51" s="35"/>
    </row>
    <row r="52" ht="15.0" customHeight="1">
      <c r="A52" s="33"/>
      <c r="B52" s="43"/>
      <c r="C52" s="43"/>
      <c r="D52" s="43"/>
      <c r="E52" s="43"/>
      <c r="F52" s="43"/>
      <c r="G52" s="43"/>
      <c r="H52" s="202"/>
      <c r="J52" s="202"/>
      <c r="K52" s="43"/>
      <c r="L52" s="43"/>
      <c r="M52" s="43"/>
      <c r="N52" s="43"/>
      <c r="O52" s="43"/>
      <c r="P52" s="43"/>
      <c r="Q52" s="43"/>
      <c r="R52" s="43"/>
      <c r="S52" s="43"/>
      <c r="T52" s="43"/>
      <c r="U52" s="43"/>
      <c r="V52" s="43"/>
      <c r="W52" s="43"/>
      <c r="X52" s="43"/>
      <c r="Y52" s="43"/>
      <c r="Z52" s="43"/>
      <c r="AA52" s="43"/>
      <c r="AB52" s="43"/>
      <c r="AC52" s="43"/>
      <c r="AD52" s="35"/>
      <c r="AE52" s="71"/>
      <c r="AF52" s="206"/>
      <c r="AG52" s="206"/>
      <c r="AH52" s="206"/>
      <c r="AI52" s="43"/>
      <c r="AJ52" s="43"/>
      <c r="AK52" s="43"/>
      <c r="AL52" s="43"/>
      <c r="AM52" s="43"/>
      <c r="AN52" s="43"/>
      <c r="AO52" s="43"/>
      <c r="AP52" s="43"/>
      <c r="AQ52" s="254"/>
      <c r="AR52" s="43"/>
      <c r="AS52" s="43"/>
      <c r="AT52" s="43"/>
      <c r="AU52" s="43"/>
      <c r="AV52" s="43"/>
      <c r="AW52" s="43"/>
      <c r="AX52" s="43"/>
      <c r="AY52" s="43"/>
      <c r="AZ52" s="68"/>
      <c r="BA52" s="71">
        <v>0.0</v>
      </c>
      <c r="BB52" s="72" t="s">
        <v>61</v>
      </c>
      <c r="BC52" s="71" t="s">
        <v>57</v>
      </c>
      <c r="BD52" s="74" t="s">
        <v>62</v>
      </c>
      <c r="BE52" s="80">
        <f>IF(BC52="",0,IF(BA52="", CALCBULK(BC52), BA52*CALCBULK(BC52)))</f>
        <v>0</v>
      </c>
      <c r="BH52" s="206"/>
      <c r="BI52" s="206"/>
      <c r="BJ52" s="43"/>
      <c r="BK52" s="43"/>
      <c r="BL52" s="43"/>
      <c r="BM52" s="43"/>
      <c r="BN52" s="43"/>
      <c r="BO52" s="43"/>
      <c r="BP52" s="43"/>
      <c r="BQ52" s="43"/>
      <c r="BR52" s="254"/>
      <c r="BS52" s="43"/>
      <c r="BT52" s="43"/>
      <c r="BU52" s="43"/>
      <c r="BV52" s="43"/>
      <c r="BW52" s="43"/>
      <c r="BX52" s="43"/>
      <c r="BY52" s="43"/>
      <c r="BZ52" s="43"/>
      <c r="CA52" s="68"/>
      <c r="CB52" s="71"/>
      <c r="CC52" s="72" t="s">
        <v>61</v>
      </c>
      <c r="CD52" s="71">
        <v>0.0</v>
      </c>
      <c r="CE52" s="74" t="s">
        <v>62</v>
      </c>
      <c r="CF52" s="80">
        <f>IF(CD52="",0,IF(CB52="", CALCBULK(CD52), CB52*CALCBULK(CD52)))</f>
        <v>0</v>
      </c>
      <c r="CL52" s="35"/>
    </row>
    <row r="53" ht="9.75" customHeight="1">
      <c r="A53" s="33"/>
      <c r="B53" s="201"/>
      <c r="H53" s="202"/>
      <c r="I53" s="203">
        <v>0.0</v>
      </c>
      <c r="J53" s="202"/>
      <c r="K53" s="205"/>
      <c r="AD53" s="35"/>
      <c r="AE53" s="58" t="s">
        <v>42</v>
      </c>
      <c r="AF53" s="206"/>
      <c r="AG53" s="206"/>
      <c r="AH53" s="206"/>
      <c r="AI53" s="254"/>
      <c r="AQ53" s="254"/>
      <c r="AR53" s="254"/>
      <c r="AZ53" s="53"/>
      <c r="BA53" s="55" t="s">
        <v>47</v>
      </c>
      <c r="BB53" s="91"/>
      <c r="BC53" s="58" t="s">
        <v>42</v>
      </c>
      <c r="BD53" s="49"/>
      <c r="BE53" s="48" t="s">
        <v>49</v>
      </c>
      <c r="BG53" s="35"/>
      <c r="BH53" s="206"/>
      <c r="BI53" s="206"/>
      <c r="BJ53" s="254"/>
      <c r="BR53" s="254"/>
      <c r="BS53" s="254"/>
      <c r="CA53" s="53"/>
      <c r="CB53" s="55" t="s">
        <v>47</v>
      </c>
      <c r="CC53" s="91"/>
      <c r="CD53" s="58" t="s">
        <v>42</v>
      </c>
      <c r="CE53" s="49"/>
      <c r="CF53" s="48" t="s">
        <v>49</v>
      </c>
      <c r="CL53" s="35"/>
    </row>
    <row r="54" ht="15.0" customHeight="1">
      <c r="A54" s="33"/>
      <c r="B54" s="43"/>
      <c r="C54" s="43"/>
      <c r="D54" s="43"/>
      <c r="E54" s="43"/>
      <c r="F54" s="43"/>
      <c r="G54" s="43"/>
      <c r="H54" s="202"/>
      <c r="J54" s="202"/>
      <c r="K54" s="43"/>
      <c r="L54" s="43"/>
      <c r="M54" s="43"/>
      <c r="N54" s="43"/>
      <c r="O54" s="43"/>
      <c r="P54" s="43"/>
      <c r="Q54" s="43"/>
      <c r="R54" s="43"/>
      <c r="S54" s="43"/>
      <c r="T54" s="43"/>
      <c r="U54" s="43"/>
      <c r="V54" s="43"/>
      <c r="W54" s="43"/>
      <c r="X54" s="43"/>
      <c r="Y54" s="43"/>
      <c r="Z54" s="43"/>
      <c r="AA54" s="43"/>
      <c r="AB54" s="43"/>
      <c r="AC54" s="43"/>
      <c r="AD54" s="35"/>
      <c r="AE54" s="71"/>
      <c r="AF54" s="206"/>
      <c r="AG54" s="206"/>
      <c r="AH54" s="206"/>
      <c r="AI54" s="43"/>
      <c r="AJ54" s="43"/>
      <c r="AK54" s="43"/>
      <c r="AL54" s="43"/>
      <c r="AM54" s="43"/>
      <c r="AN54" s="43"/>
      <c r="AO54" s="43"/>
      <c r="AP54" s="43"/>
      <c r="AQ54" s="254"/>
      <c r="AR54" s="43"/>
      <c r="AS54" s="43"/>
      <c r="AT54" s="43"/>
      <c r="AU54" s="43"/>
      <c r="AV54" s="43"/>
      <c r="AW54" s="43"/>
      <c r="AX54" s="43"/>
      <c r="AY54" s="43"/>
      <c r="AZ54" s="68"/>
      <c r="BA54" s="71">
        <v>0.0</v>
      </c>
      <c r="BB54" s="72" t="s">
        <v>61</v>
      </c>
      <c r="BC54" s="71" t="s">
        <v>57</v>
      </c>
      <c r="BD54" s="74" t="s">
        <v>62</v>
      </c>
      <c r="BE54" s="80">
        <f>IF(BC54="",0,IF(BA54="", CALCBULK(BC54), BA54*CALCBULK(BC54)))</f>
        <v>0</v>
      </c>
      <c r="BG54" s="35"/>
      <c r="BH54" s="206"/>
      <c r="BI54" s="206"/>
      <c r="BJ54" s="43"/>
      <c r="BK54" s="43"/>
      <c r="BL54" s="43"/>
      <c r="BM54" s="43"/>
      <c r="BN54" s="43"/>
      <c r="BO54" s="43"/>
      <c r="BP54" s="43"/>
      <c r="BQ54" s="43"/>
      <c r="BR54" s="254"/>
      <c r="BS54" s="43"/>
      <c r="BT54" s="43"/>
      <c r="BU54" s="43"/>
      <c r="BV54" s="43"/>
      <c r="BW54" s="43"/>
      <c r="BX54" s="43"/>
      <c r="BY54" s="43"/>
      <c r="BZ54" s="43"/>
      <c r="CA54" s="68"/>
      <c r="CB54" s="71"/>
      <c r="CC54" s="72" t="s">
        <v>61</v>
      </c>
      <c r="CD54" s="71">
        <v>0.0</v>
      </c>
      <c r="CE54" s="74" t="s">
        <v>62</v>
      </c>
      <c r="CF54" s="80">
        <f>IF(CD54="",0,IF(CB54="", CALCBULK(CD54), CB54*CALCBULK(CD54)))</f>
        <v>0</v>
      </c>
      <c r="CL54" s="35"/>
    </row>
    <row r="55" ht="9.75" customHeight="1">
      <c r="A55" s="33"/>
      <c r="BG55" s="288"/>
      <c r="CH55" s="35"/>
      <c r="CI55" s="35"/>
      <c r="CJ55" s="35"/>
      <c r="CK55" s="35"/>
      <c r="CL55" s="35"/>
    </row>
  </sheetData>
  <mergeCells count="285">
    <mergeCell ref="AG21:AY22"/>
    <mergeCell ref="BE22:BF22"/>
    <mergeCell ref="AG23:AY24"/>
    <mergeCell ref="BE23:BF23"/>
    <mergeCell ref="BE24:BF24"/>
    <mergeCell ref="BE25:BF25"/>
    <mergeCell ref="BE26:BF26"/>
    <mergeCell ref="AG25:AY26"/>
    <mergeCell ref="AG27:AY28"/>
    <mergeCell ref="AG29:AY30"/>
    <mergeCell ref="AG31:AY32"/>
    <mergeCell ref="AG33:AY34"/>
    <mergeCell ref="AG35:AY36"/>
    <mergeCell ref="AG37:AY38"/>
    <mergeCell ref="BE38:BF38"/>
    <mergeCell ref="K43:AC44"/>
    <mergeCell ref="K45:AC46"/>
    <mergeCell ref="K29:AC30"/>
    <mergeCell ref="K31:AC32"/>
    <mergeCell ref="K33:AC34"/>
    <mergeCell ref="K35:AC36"/>
    <mergeCell ref="K37:AC38"/>
    <mergeCell ref="K39:AC40"/>
    <mergeCell ref="K41:AC42"/>
    <mergeCell ref="B27:G28"/>
    <mergeCell ref="B29:G30"/>
    <mergeCell ref="I29:I30"/>
    <mergeCell ref="B31:G32"/>
    <mergeCell ref="I31:I32"/>
    <mergeCell ref="B33:G34"/>
    <mergeCell ref="B35:G36"/>
    <mergeCell ref="B51:G52"/>
    <mergeCell ref="I51:I52"/>
    <mergeCell ref="B53:G54"/>
    <mergeCell ref="I53:I54"/>
    <mergeCell ref="B37:G38"/>
    <mergeCell ref="I37:I38"/>
    <mergeCell ref="B39:G40"/>
    <mergeCell ref="I39:I40"/>
    <mergeCell ref="B41:G42"/>
    <mergeCell ref="I41:I42"/>
    <mergeCell ref="I43:I44"/>
    <mergeCell ref="AI51:AP52"/>
    <mergeCell ref="AI53:AP54"/>
    <mergeCell ref="AR53:AY54"/>
    <mergeCell ref="BE53:BF53"/>
    <mergeCell ref="BE54:BF54"/>
    <mergeCell ref="B49:G50"/>
    <mergeCell ref="I49:I50"/>
    <mergeCell ref="K49:AC50"/>
    <mergeCell ref="AG49:AY50"/>
    <mergeCell ref="K51:AC52"/>
    <mergeCell ref="AR51:AY52"/>
    <mergeCell ref="K53:AC54"/>
    <mergeCell ref="AG19:AY20"/>
    <mergeCell ref="B20:AE20"/>
    <mergeCell ref="B22:D22"/>
    <mergeCell ref="F22:H22"/>
    <mergeCell ref="J22:L22"/>
    <mergeCell ref="N22:R22"/>
    <mergeCell ref="AD22:AE22"/>
    <mergeCell ref="T22:X22"/>
    <mergeCell ref="Z22:AB22"/>
    <mergeCell ref="B24:AE24"/>
    <mergeCell ref="B26:G26"/>
    <mergeCell ref="K26:AC26"/>
    <mergeCell ref="I27:I28"/>
    <mergeCell ref="K27:AC28"/>
    <mergeCell ref="I33:I34"/>
    <mergeCell ref="I35:I36"/>
    <mergeCell ref="B43:G44"/>
    <mergeCell ref="B45:G46"/>
    <mergeCell ref="I45:I46"/>
    <mergeCell ref="AI45:AP46"/>
    <mergeCell ref="AR45:AY46"/>
    <mergeCell ref="B47:G48"/>
    <mergeCell ref="I47:I48"/>
    <mergeCell ref="K47:AC48"/>
    <mergeCell ref="AI47:AP48"/>
    <mergeCell ref="AR47:AY48"/>
    <mergeCell ref="BE48:BF48"/>
    <mergeCell ref="BE49:BF49"/>
    <mergeCell ref="BE50:BF50"/>
    <mergeCell ref="BE51:BF51"/>
    <mergeCell ref="BE52:BF52"/>
    <mergeCell ref="BE41:BF41"/>
    <mergeCell ref="BE42:BF42"/>
    <mergeCell ref="BE43:BF43"/>
    <mergeCell ref="BE44:BF44"/>
    <mergeCell ref="BE45:BF45"/>
    <mergeCell ref="BE46:BF46"/>
    <mergeCell ref="BE47:BF47"/>
    <mergeCell ref="M7:N7"/>
    <mergeCell ref="P7:AE7"/>
    <mergeCell ref="AG7:AY8"/>
    <mergeCell ref="BI7:BZ8"/>
    <mergeCell ref="CF7:CG7"/>
    <mergeCell ref="M8:N8"/>
    <mergeCell ref="P8:AE8"/>
    <mergeCell ref="CF8:CG8"/>
    <mergeCell ref="BE7:BF7"/>
    <mergeCell ref="BE8:BF8"/>
    <mergeCell ref="AG9:AY10"/>
    <mergeCell ref="BE9:BF9"/>
    <mergeCell ref="BI9:BZ10"/>
    <mergeCell ref="CF9:CG9"/>
    <mergeCell ref="BE10:BF10"/>
    <mergeCell ref="M11:N11"/>
    <mergeCell ref="M12:N12"/>
    <mergeCell ref="S11:T11"/>
    <mergeCell ref="S12:T12"/>
    <mergeCell ref="V12:W12"/>
    <mergeCell ref="Y12:Z12"/>
    <mergeCell ref="B8:K8"/>
    <mergeCell ref="B10:AE10"/>
    <mergeCell ref="B11:K11"/>
    <mergeCell ref="P11:Q11"/>
    <mergeCell ref="V11:W11"/>
    <mergeCell ref="B12:K12"/>
    <mergeCell ref="P12:Q12"/>
    <mergeCell ref="AB12:AC12"/>
    <mergeCell ref="AG4:BF4"/>
    <mergeCell ref="BE5:BF5"/>
    <mergeCell ref="B2:CK2"/>
    <mergeCell ref="B4:AE4"/>
    <mergeCell ref="BH4:CG4"/>
    <mergeCell ref="CI4:CK4"/>
    <mergeCell ref="B5:K5"/>
    <mergeCell ref="M5:N5"/>
    <mergeCell ref="AB5:AC5"/>
    <mergeCell ref="CF5:CG5"/>
    <mergeCell ref="BH5:BZ6"/>
    <mergeCell ref="CF6:CG6"/>
    <mergeCell ref="V5:W5"/>
    <mergeCell ref="Y5:Z5"/>
    <mergeCell ref="AG5:AY6"/>
    <mergeCell ref="V6:W6"/>
    <mergeCell ref="Y6:Z6"/>
    <mergeCell ref="AB6:AC6"/>
    <mergeCell ref="BE6:BF6"/>
    <mergeCell ref="P5:Q5"/>
    <mergeCell ref="S5:T5"/>
    <mergeCell ref="B6:K6"/>
    <mergeCell ref="M6:N6"/>
    <mergeCell ref="P6:Q6"/>
    <mergeCell ref="S6:T6"/>
    <mergeCell ref="B7:K7"/>
    <mergeCell ref="CF10:CG10"/>
    <mergeCell ref="CI10:CK10"/>
    <mergeCell ref="CF11:CG11"/>
    <mergeCell ref="CF12:CG12"/>
    <mergeCell ref="CF13:CG13"/>
    <mergeCell ref="CF14:CG14"/>
    <mergeCell ref="BI11:BZ12"/>
    <mergeCell ref="BI13:BZ14"/>
    <mergeCell ref="Y11:Z11"/>
    <mergeCell ref="AB11:AC11"/>
    <mergeCell ref="AG11:AY12"/>
    <mergeCell ref="BE11:BF11"/>
    <mergeCell ref="BE12:BF12"/>
    <mergeCell ref="AG13:AY14"/>
    <mergeCell ref="B14:AE14"/>
    <mergeCell ref="B16:D16"/>
    <mergeCell ref="E16:G16"/>
    <mergeCell ref="F17:G17"/>
    <mergeCell ref="F18:G18"/>
    <mergeCell ref="B21:D21"/>
    <mergeCell ref="F21:H21"/>
    <mergeCell ref="J21:L21"/>
    <mergeCell ref="O15:V15"/>
    <mergeCell ref="O16:V16"/>
    <mergeCell ref="O18:V18"/>
    <mergeCell ref="N21:R21"/>
    <mergeCell ref="T21:X21"/>
    <mergeCell ref="Z21:AB21"/>
    <mergeCell ref="AD21:AE21"/>
    <mergeCell ref="B15:D15"/>
    <mergeCell ref="E15:G15"/>
    <mergeCell ref="I15:K15"/>
    <mergeCell ref="X15:Z15"/>
    <mergeCell ref="AG15:AY16"/>
    <mergeCell ref="I16:K16"/>
    <mergeCell ref="X16:Z16"/>
    <mergeCell ref="AB15:AE15"/>
    <mergeCell ref="AB16:AE16"/>
    <mergeCell ref="X17:Z17"/>
    <mergeCell ref="AB17:AE17"/>
    <mergeCell ref="AG17:AY18"/>
    <mergeCell ref="X18:Z18"/>
    <mergeCell ref="AB18:AE18"/>
    <mergeCell ref="BE20:BF20"/>
    <mergeCell ref="BE21:BF21"/>
    <mergeCell ref="BE13:BF13"/>
    <mergeCell ref="BE14:BF14"/>
    <mergeCell ref="BE15:BF15"/>
    <mergeCell ref="BE16:BF16"/>
    <mergeCell ref="BE17:BF17"/>
    <mergeCell ref="BE18:BF18"/>
    <mergeCell ref="BE19:BF19"/>
    <mergeCell ref="BE34:BF34"/>
    <mergeCell ref="BE35:BF35"/>
    <mergeCell ref="BE27:BF27"/>
    <mergeCell ref="BE28:BF28"/>
    <mergeCell ref="BE29:BF29"/>
    <mergeCell ref="BE30:BF30"/>
    <mergeCell ref="BE31:BF31"/>
    <mergeCell ref="BE32:BF32"/>
    <mergeCell ref="BE33:BF33"/>
    <mergeCell ref="AR41:AY42"/>
    <mergeCell ref="AR43:AY44"/>
    <mergeCell ref="BE36:BF36"/>
    <mergeCell ref="BE37:BF37"/>
    <mergeCell ref="AG39:AY40"/>
    <mergeCell ref="BE39:BF39"/>
    <mergeCell ref="BE40:BF40"/>
    <mergeCell ref="AI41:AP42"/>
    <mergeCell ref="AI43:AP44"/>
    <mergeCell ref="BS43:BZ44"/>
    <mergeCell ref="BS45:BZ46"/>
    <mergeCell ref="BJ47:BQ48"/>
    <mergeCell ref="BS47:BZ48"/>
    <mergeCell ref="BJ49:BQ50"/>
    <mergeCell ref="BS49:BZ50"/>
    <mergeCell ref="BJ51:BQ52"/>
    <mergeCell ref="BS51:BZ52"/>
    <mergeCell ref="BJ53:BQ54"/>
    <mergeCell ref="BS53:BZ54"/>
    <mergeCell ref="BI35:BZ36"/>
    <mergeCell ref="BI37:BZ38"/>
    <mergeCell ref="BH39:BZ40"/>
    <mergeCell ref="BJ41:BQ42"/>
    <mergeCell ref="BS41:BZ42"/>
    <mergeCell ref="BJ43:BQ44"/>
    <mergeCell ref="BJ45:BQ46"/>
    <mergeCell ref="CF19:CG19"/>
    <mergeCell ref="CF20:CG20"/>
    <mergeCell ref="BI15:BZ16"/>
    <mergeCell ref="CF15:CG15"/>
    <mergeCell ref="CF16:CG16"/>
    <mergeCell ref="BI17:BZ18"/>
    <mergeCell ref="CF17:CG17"/>
    <mergeCell ref="BI19:BZ20"/>
    <mergeCell ref="CF22:CG22"/>
    <mergeCell ref="CF18:CG18"/>
    <mergeCell ref="CF21:CG21"/>
    <mergeCell ref="CF23:CG23"/>
    <mergeCell ref="CF24:CG24"/>
    <mergeCell ref="CF25:CG25"/>
    <mergeCell ref="CF26:CG26"/>
    <mergeCell ref="CF27:CG27"/>
    <mergeCell ref="CF28:CG28"/>
    <mergeCell ref="CF29:CG29"/>
    <mergeCell ref="CF30:CG30"/>
    <mergeCell ref="CF31:CG31"/>
    <mergeCell ref="CF32:CG32"/>
    <mergeCell ref="CF33:CG33"/>
    <mergeCell ref="CF34:CG34"/>
    <mergeCell ref="BI21:BZ22"/>
    <mergeCell ref="BI23:BZ24"/>
    <mergeCell ref="BI25:BZ26"/>
    <mergeCell ref="BI27:BZ28"/>
    <mergeCell ref="BI29:BZ30"/>
    <mergeCell ref="BI31:BZ32"/>
    <mergeCell ref="BI33:BZ34"/>
    <mergeCell ref="CF35:CG35"/>
    <mergeCell ref="CF36:CG36"/>
    <mergeCell ref="CF37:CG37"/>
    <mergeCell ref="CF38:CG38"/>
    <mergeCell ref="CA39:CE39"/>
    <mergeCell ref="CF39:CG39"/>
    <mergeCell ref="CF40:CG40"/>
    <mergeCell ref="CF48:CG48"/>
    <mergeCell ref="CF49:CG49"/>
    <mergeCell ref="CF50:CG50"/>
    <mergeCell ref="CF51:CG51"/>
    <mergeCell ref="CF52:CG52"/>
    <mergeCell ref="CF53:CG53"/>
    <mergeCell ref="CF54:CG54"/>
    <mergeCell ref="CF41:CG41"/>
    <mergeCell ref="CF42:CG42"/>
    <mergeCell ref="CF43:CG43"/>
    <mergeCell ref="CF44:CG44"/>
    <mergeCell ref="CF45:CG45"/>
    <mergeCell ref="CF46:CG46"/>
    <mergeCell ref="CF47:CG47"/>
  </mergeCells>
  <conditionalFormatting sqref="BH5:BZ6">
    <cfRule type="expression" dxfId="0" priority="1">
      <formula>CS26 &gt; 4</formula>
    </cfRule>
  </conditionalFormatting>
  <conditionalFormatting sqref="AF39:AY40 BH39:BZ40">
    <cfRule type="expression" dxfId="0" priority="2">
      <formula>BQ40 &gt; 0.8</formula>
    </cfRule>
  </conditionalFormatting>
  <conditionalFormatting sqref="AF49:AY50">
    <cfRule type="expression" dxfId="1" priority="3">
      <formula>BQ50 &gt; 0.4</formula>
    </cfRule>
  </conditionalFormatting>
  <conditionalFormatting sqref="AF25:AF26">
    <cfRule type="expression" dxfId="0" priority="4">
      <formula>BQ6 &gt; 4</formula>
    </cfRule>
  </conditionalFormatting>
  <conditionalFormatting sqref="E17:M18">
    <cfRule type="expression" dxfId="2" priority="5">
      <formula>$X$8</formula>
    </cfRule>
  </conditionalFormatting>
  <conditionalFormatting sqref="B16 D18">
    <cfRule type="expression" dxfId="3" priority="6">
      <formula>$BH$80 &gt; $BJ$82</formula>
    </cfRule>
  </conditionalFormatting>
  <conditionalFormatting sqref="B16 B18">
    <cfRule type="expression" dxfId="3" priority="7">
      <formula>AND($BH$80 &gt; $BH$82, $BH$80 &lt;= $BJ$82)</formula>
    </cfRule>
  </conditionalFormatting>
  <dataValidations>
    <dataValidation type="list" allowBlank="1" showInputMessage="1" showErrorMessage="1" prompt="Select armor type" sqref="B8">
      <formula1>'Character Sheet'!$AA$15:$AQ$15</formula1>
    </dataValidation>
    <dataValidation type="list" allowBlank="1" showDropDown="1" showErrorMessage="1" sqref="I17">
      <formula1>Data!$B$14:$B$19</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pageSetUpPr/>
  </sheetPr>
  <sheetViews>
    <sheetView showGridLines="0" workbookViewId="0"/>
  </sheetViews>
  <sheetFormatPr customHeight="1" defaultColWidth="12.63" defaultRowHeight="15.75"/>
  <cols>
    <col customWidth="1" min="1" max="33" width="2.63"/>
    <col customWidth="1" min="34" max="34" width="3.13"/>
    <col customWidth="1" min="35" max="35" width="2.75"/>
    <col customWidth="1" min="36" max="120" width="2.63"/>
  </cols>
  <sheetData>
    <row r="1" ht="9.75" customHeight="1">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row>
    <row r="2" ht="15.75" customHeight="1">
      <c r="A2" s="11"/>
      <c r="B2" s="164" t="s">
        <v>137</v>
      </c>
      <c r="C2" s="29"/>
      <c r="D2" s="29"/>
      <c r="E2" s="29"/>
      <c r="F2" s="29"/>
      <c r="G2" s="29"/>
      <c r="H2" s="29"/>
      <c r="I2" s="29"/>
      <c r="J2" s="29"/>
      <c r="K2" s="29"/>
      <c r="L2" s="29"/>
      <c r="M2" s="29"/>
      <c r="N2" s="29"/>
      <c r="O2" s="29"/>
      <c r="P2" s="29"/>
      <c r="Q2" s="29"/>
      <c r="R2" s="29"/>
      <c r="S2" s="29"/>
      <c r="T2" s="29"/>
      <c r="U2" s="11"/>
      <c r="V2" s="167" t="s">
        <v>141</v>
      </c>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32"/>
      <c r="CN2" s="11"/>
      <c r="CO2" s="28" t="s">
        <v>152</v>
      </c>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11"/>
    </row>
    <row r="3" ht="9.75" customHeight="1">
      <c r="A3" s="35"/>
      <c r="B3" s="53" t="s">
        <v>88</v>
      </c>
      <c r="D3" s="35"/>
      <c r="F3" s="53" t="s">
        <v>156</v>
      </c>
      <c r="Q3" s="35"/>
      <c r="S3" s="53" t="s">
        <v>157</v>
      </c>
      <c r="U3" s="35"/>
      <c r="V3" s="48" t="s">
        <v>159</v>
      </c>
      <c r="X3" s="48" t="s">
        <v>160</v>
      </c>
      <c r="Z3" s="48" t="s">
        <v>162</v>
      </c>
      <c r="AC3" s="173" t="s">
        <v>164</v>
      </c>
      <c r="AD3" s="173"/>
      <c r="AE3" s="173"/>
      <c r="AF3" s="173"/>
      <c r="AG3" s="173"/>
      <c r="AH3" s="173"/>
      <c r="AI3" s="173"/>
      <c r="AJ3" s="173"/>
      <c r="AK3" s="173"/>
      <c r="AL3" s="173"/>
      <c r="AM3" s="173"/>
      <c r="AN3" s="173"/>
      <c r="AO3" s="48" t="s">
        <v>168</v>
      </c>
      <c r="AR3" s="48" t="s">
        <v>169</v>
      </c>
      <c r="AY3" s="48" t="s">
        <v>170</v>
      </c>
      <c r="BD3" s="35"/>
      <c r="BE3" s="35"/>
      <c r="BF3" s="48" t="s">
        <v>159</v>
      </c>
      <c r="BH3" s="48" t="s">
        <v>160</v>
      </c>
      <c r="BJ3" s="48" t="s">
        <v>162</v>
      </c>
      <c r="BM3" s="173" t="s">
        <v>164</v>
      </c>
      <c r="BN3" s="173"/>
      <c r="BO3" s="173"/>
      <c r="BP3" s="173"/>
      <c r="BQ3" s="173"/>
      <c r="BR3" s="173"/>
      <c r="BS3" s="173"/>
      <c r="BT3" s="173"/>
      <c r="BU3" s="173"/>
      <c r="BV3" s="173"/>
      <c r="BW3" s="173"/>
      <c r="BX3" s="173"/>
      <c r="BY3" s="48" t="s">
        <v>168</v>
      </c>
      <c r="CB3" s="48" t="s">
        <v>169</v>
      </c>
      <c r="CI3" s="48" t="s">
        <v>170</v>
      </c>
      <c r="CO3" s="53" t="s">
        <v>171</v>
      </c>
      <c r="DC3" s="53" t="s">
        <v>172</v>
      </c>
      <c r="DP3" s="35"/>
    </row>
    <row r="4" ht="15.75" customHeight="1">
      <c r="A4" s="35"/>
      <c r="B4" s="175">
        <f>Level</f>
        <v>1</v>
      </c>
      <c r="F4" s="175" t="s">
        <v>55</v>
      </c>
      <c r="S4" s="177">
        <f>Roundup(Level/2,0)</f>
        <v>1</v>
      </c>
      <c r="V4" s="179">
        <f>IF(AC4="","",$S$4)</f>
        <v>1</v>
      </c>
      <c r="X4" s="179" t="str">
        <f>IF(AC4="","",VLOOKUP(AC4,'Spell Database'!$A$2:$W$1214,5,FALSE))</f>
        <v>Y</v>
      </c>
      <c r="Z4" s="181" t="str">
        <f>IF(AC4="","",VLOOKUP(AC4,'Spell Database'!$A$2:$W$1214,6,FALSE))</f>
        <v/>
      </c>
      <c r="AA4" s="32"/>
      <c r="AC4" s="184" t="s">
        <v>175</v>
      </c>
      <c r="AD4" s="19"/>
      <c r="AE4" s="19"/>
      <c r="AF4" s="19"/>
      <c r="AG4" s="19"/>
      <c r="AH4" s="19"/>
      <c r="AI4" s="19"/>
      <c r="AJ4" s="19"/>
      <c r="AK4" s="19"/>
      <c r="AL4" s="19"/>
      <c r="AM4" s="19"/>
      <c r="AN4" s="19"/>
      <c r="AO4" s="159" t="str">
        <f>IF(AC4="","",VLOOKUP(AC4,'Spell Database'!$A$2:$W$1214,8,FALSE))</f>
        <v>30ft</v>
      </c>
      <c r="AP4" s="29"/>
      <c r="AQ4" s="32"/>
      <c r="AR4" s="191" t="str">
        <f>IF(AC4="","",VLOOKUP(AC4,'Spell Database'!$A$2:$W$1214,9,FALSE))</f>
        <v>1 creature</v>
      </c>
      <c r="AS4" s="29"/>
      <c r="AT4" s="29"/>
      <c r="AU4" s="29"/>
      <c r="AV4" s="29"/>
      <c r="AW4" s="29"/>
      <c r="AX4" s="29"/>
      <c r="AY4" s="159" t="str">
        <f>IF(AC4="","",VLOOKUP(AC4,'Spell Database'!$A$2:$W$1214,10,FALSE))</f>
        <v>Attack</v>
      </c>
      <c r="AZ4" s="29"/>
      <c r="BA4" s="29"/>
      <c r="BB4" s="29"/>
      <c r="BC4" s="32"/>
      <c r="BD4" s="34"/>
      <c r="BE4" s="34"/>
      <c r="BF4" s="179" t="str">
        <f>IF(BM4="","",$S$4)</f>
        <v/>
      </c>
      <c r="BH4" s="179" t="str">
        <f>IF(BM4="","",VLOOKUP(BM4,'Spell Database'!$A$2:$W$1214,5,FALSE))</f>
        <v/>
      </c>
      <c r="BJ4" s="181" t="str">
        <f>IF(BM4="","",VLOOKUP(BM4,'Spell Database'!$A$2:$W$1214,6,FALSE))</f>
        <v/>
      </c>
      <c r="BK4" s="32"/>
      <c r="BM4" s="184"/>
      <c r="BN4" s="19"/>
      <c r="BO4" s="19"/>
      <c r="BP4" s="19"/>
      <c r="BQ4" s="19"/>
      <c r="BR4" s="19"/>
      <c r="BS4" s="19"/>
      <c r="BT4" s="19"/>
      <c r="BU4" s="19"/>
      <c r="BV4" s="19"/>
      <c r="BW4" s="19"/>
      <c r="BX4" s="19"/>
      <c r="BY4" s="159" t="str">
        <f>IF(BM4="","",VLOOKUP(BM4,'Spell Database'!$A$2:$W$1214,8,FALSE))</f>
        <v/>
      </c>
      <c r="BZ4" s="29"/>
      <c r="CA4" s="32"/>
      <c r="CB4" s="191" t="str">
        <f>IF(BM4="","",VLOOKUP(BM4,'Spell Database'!$A$2:$W$1214,9,FALSE))</f>
        <v/>
      </c>
      <c r="CC4" s="29"/>
      <c r="CD4" s="29"/>
      <c r="CE4" s="29"/>
      <c r="CF4" s="29"/>
      <c r="CG4" s="29"/>
      <c r="CH4" s="29"/>
      <c r="CI4" s="159" t="str">
        <f>IF(BM4="","",VLOOKUP(BM4,'Spell Database'!$A$2:$W$1214,10,FALSE))</f>
        <v/>
      </c>
      <c r="CJ4" s="29"/>
      <c r="CK4" s="29"/>
      <c r="CL4" s="29"/>
      <c r="CM4" s="32"/>
      <c r="CO4" s="198"/>
      <c r="CP4" s="199"/>
      <c r="CQ4" s="199"/>
      <c r="CR4" s="199"/>
      <c r="CS4" s="199"/>
      <c r="CT4" s="199"/>
      <c r="CU4" s="199"/>
      <c r="CV4" s="199"/>
      <c r="CW4" s="199"/>
      <c r="CX4" s="199"/>
      <c r="CY4" s="199"/>
      <c r="CZ4" s="199"/>
      <c r="DA4" s="200"/>
      <c r="DC4" s="198"/>
      <c r="DD4" s="199"/>
      <c r="DE4" s="199"/>
      <c r="DF4" s="199"/>
      <c r="DG4" s="199"/>
      <c r="DH4" s="199"/>
      <c r="DI4" s="199"/>
      <c r="DJ4" s="199"/>
      <c r="DK4" s="199"/>
      <c r="DL4" s="199"/>
      <c r="DM4" s="199"/>
      <c r="DN4" s="199"/>
      <c r="DO4" s="200"/>
      <c r="DP4" s="34"/>
    </row>
    <row r="5" ht="9.75" customHeight="1">
      <c r="A5" s="35"/>
      <c r="J5" s="35"/>
      <c r="K5" s="35"/>
      <c r="L5" s="35"/>
      <c r="M5" s="35"/>
      <c r="N5" s="35"/>
      <c r="O5" s="35"/>
      <c r="P5" s="35"/>
      <c r="Q5" s="35"/>
      <c r="R5" s="35"/>
      <c r="S5" s="35"/>
      <c r="T5" s="35"/>
      <c r="U5" s="35"/>
      <c r="V5" s="48" t="s">
        <v>189</v>
      </c>
      <c r="X5" s="48" t="s">
        <v>190</v>
      </c>
      <c r="Y5" s="53"/>
      <c r="Z5" s="204" t="s">
        <v>191</v>
      </c>
      <c r="AB5" s="53"/>
      <c r="AC5" s="208" t="str">
        <f>IF(AC4="","",VLOOKUP(AC4,'Spell Database'!$A$2:$V$1214, (IFs(V4=1,"13", V4=2,"14", V4=3,"15", V4=4,"16", V4=5,"17", V4=6,"18", V4=7,"19", V4=8,"20", V4=9,"21", V4=10,"22")),FALSE))</f>
        <v>On hit deal 1d6 acid damage, plus 1 splash. On Crit target gains 1 persistent acid damage.</v>
      </c>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21"/>
      <c r="BD5" s="35"/>
      <c r="BE5" s="35"/>
      <c r="BF5" s="48" t="s">
        <v>189</v>
      </c>
      <c r="BH5" s="48" t="s">
        <v>190</v>
      </c>
      <c r="BI5" s="53"/>
      <c r="BJ5" s="204" t="s">
        <v>191</v>
      </c>
      <c r="BL5" s="53"/>
      <c r="BM5" s="208" t="str">
        <f>IF(BM4="","",VLOOKUP(BM4,'Spell Database'!$A$2:$V$1214, (IFs(BF4=1,"13", BF4=2,"14", BF4=3,"15", BF4=4,"16", BF4=5,"17", BF4=6,"18", BF4=7,"19", BF4=8,"20", BF4=9,"21", BF4=10,"22")),FALSE))</f>
        <v/>
      </c>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21"/>
      <c r="CO5" s="210"/>
      <c r="DA5" s="211"/>
      <c r="DC5" s="210"/>
      <c r="DO5" s="211"/>
      <c r="DP5" s="35"/>
    </row>
    <row r="6" ht="15.75" customHeight="1">
      <c r="A6" s="35"/>
      <c r="B6" s="213" t="s">
        <v>88</v>
      </c>
      <c r="C6" s="19"/>
      <c r="D6" s="19"/>
      <c r="E6" s="21"/>
      <c r="F6" s="213" t="s">
        <v>101</v>
      </c>
      <c r="G6" s="21"/>
      <c r="H6" s="213" t="s">
        <v>196</v>
      </c>
      <c r="I6" s="21"/>
      <c r="J6" s="35"/>
      <c r="M6" s="35"/>
      <c r="N6" s="35"/>
      <c r="T6" s="35"/>
      <c r="U6" s="35"/>
      <c r="V6" s="214" t="str">
        <f>IF(AC4="","",VLOOKUP(AC4,'Spell Database'!$A$2:$W$1214,12,FALSE))</f>
        <v>C</v>
      </c>
      <c r="X6" s="179" t="str">
        <f>IF(AC4="","",VLOOKUP(AC4,'Spell Database'!$A$2:$W$1214,3,FALSE))</f>
        <v>C</v>
      </c>
      <c r="Z6" s="181" t="str">
        <f>IF(AC4="","",VLOOKUP(AC4,'Spell Database'!$A$2:$W$1214,7,FALSE))</f>
        <v>S,V</v>
      </c>
      <c r="AA6" s="32"/>
      <c r="AC6" s="40"/>
      <c r="BC6" s="41"/>
      <c r="BD6" s="34"/>
      <c r="BE6" s="34"/>
      <c r="BF6" s="214" t="str">
        <f>IF(BM4="","",VLOOKUP(BM4,'Spell Database'!$A$2:$W$1214,12,FALSE))</f>
        <v/>
      </c>
      <c r="BH6" s="179" t="str">
        <f>IF(BM4="","",VLOOKUP(BM4,'Spell Database'!$A$2:$W$1214,3,FALSE))</f>
        <v/>
      </c>
      <c r="BJ6" s="181" t="str">
        <f>IF(BM4="","",VLOOKUP(BM4,'Spell Database'!$A$2:$W$1214,7,FALSE))</f>
        <v/>
      </c>
      <c r="BK6" s="32"/>
      <c r="BM6" s="40"/>
      <c r="CM6" s="41"/>
      <c r="CO6" s="221"/>
      <c r="CP6" s="222"/>
      <c r="CQ6" s="222"/>
      <c r="CR6" s="222"/>
      <c r="CS6" s="222"/>
      <c r="CT6" s="222"/>
      <c r="CU6" s="222"/>
      <c r="CV6" s="222"/>
      <c r="CW6" s="222"/>
      <c r="CX6" s="222"/>
      <c r="CY6" s="222"/>
      <c r="CZ6" s="222"/>
      <c r="DA6" s="224"/>
      <c r="DC6" s="221"/>
      <c r="DD6" s="222"/>
      <c r="DE6" s="222"/>
      <c r="DF6" s="222"/>
      <c r="DG6" s="222"/>
      <c r="DH6" s="222"/>
      <c r="DI6" s="222"/>
      <c r="DJ6" s="222"/>
      <c r="DK6" s="222"/>
      <c r="DL6" s="222"/>
      <c r="DM6" s="222"/>
      <c r="DN6" s="222"/>
      <c r="DO6" s="224"/>
      <c r="DP6" s="34"/>
    </row>
    <row r="7" ht="9.75" customHeight="1">
      <c r="A7" s="35"/>
      <c r="B7" s="40"/>
      <c r="E7" s="41"/>
      <c r="F7" s="40"/>
      <c r="G7" s="41"/>
      <c r="H7" s="40"/>
      <c r="I7" s="41"/>
      <c r="J7" s="35"/>
      <c r="K7" s="35" t="s">
        <v>205</v>
      </c>
      <c r="M7" s="35"/>
      <c r="N7" s="35"/>
      <c r="O7" s="35"/>
      <c r="P7" s="35"/>
      <c r="Q7" s="35"/>
      <c r="R7" s="35"/>
      <c r="S7" s="35"/>
      <c r="T7" s="35"/>
      <c r="U7" s="35"/>
      <c r="V7" s="48" t="s">
        <v>206</v>
      </c>
      <c r="Z7" s="48" t="s">
        <v>207</v>
      </c>
      <c r="AC7" s="40"/>
      <c r="BC7" s="41"/>
      <c r="BD7" s="35"/>
      <c r="BE7" s="35"/>
      <c r="BF7" s="48" t="s">
        <v>206</v>
      </c>
      <c r="BJ7" s="48" t="s">
        <v>207</v>
      </c>
      <c r="BM7" s="40"/>
      <c r="CM7" s="41"/>
      <c r="CO7" s="53" t="s">
        <v>208</v>
      </c>
      <c r="DC7" s="53" t="s">
        <v>209</v>
      </c>
      <c r="DP7" s="35"/>
    </row>
    <row r="8" ht="15.75" customHeight="1">
      <c r="A8" s="35"/>
      <c r="B8" s="213" t="s">
        <v>157</v>
      </c>
      <c r="C8" s="19"/>
      <c r="D8" s="19"/>
      <c r="E8" s="21"/>
      <c r="F8" s="232">
        <f>IF(F4="",0, SWITCH(F4,"Magus",VLOOKUP(Level,Data!E27:P46,2), "Summoner",VLOOKUP(Level,Data!E27:P46,2), "Sorcerer",VLOOKUP(Level,Data!E50:P69,2), "Psychic",VLOOKUP(Level,Data!E73:DP92,2), "Basic Spellcaster",VLOOKUP(Level,Data!R27:AC46,2),"Expert Spellcaster",VLOOKUP(Level,Data!R50:AC69,2), "Master Spellcaster",VLOOKUP(Level,Data!R73:AC92,2),VLOOKUP(Level,Data!E4:P23,2)))</f>
        <v>5</v>
      </c>
      <c r="G8" s="21"/>
      <c r="H8" s="213" t="s">
        <v>211</v>
      </c>
      <c r="I8" s="21"/>
      <c r="J8" s="35"/>
      <c r="K8" s="235" t="s">
        <v>212</v>
      </c>
      <c r="L8" s="19"/>
      <c r="M8" s="19"/>
      <c r="N8" s="19"/>
      <c r="O8" s="19"/>
      <c r="P8" s="19"/>
      <c r="Q8" s="19"/>
      <c r="R8" s="19"/>
      <c r="S8" s="19"/>
      <c r="T8" s="21"/>
      <c r="U8" s="35"/>
      <c r="V8" s="236" t="str">
        <f>IF(AC4="","",VLOOKUP(AC4,'Spell Database'!$A$2:$W$1214,11,FALSE))</f>
        <v>Instant</v>
      </c>
      <c r="W8" s="29"/>
      <c r="X8" s="32"/>
      <c r="Z8" s="159" t="str">
        <f>IF(AC4="","",VLOOKUP(AC4,'Spell Database'!$A$2:$W$1214,4,FALSE))</f>
        <v>Evo</v>
      </c>
      <c r="AA8" s="32"/>
      <c r="AC8" s="42"/>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4"/>
      <c r="BD8" s="34"/>
      <c r="BE8" s="34"/>
      <c r="BF8" s="236" t="str">
        <f>IF(BM4="","",VLOOKUP(BM4,'Spell Database'!$A$2:$W$1214,11,FALSE))</f>
        <v/>
      </c>
      <c r="BG8" s="29"/>
      <c r="BH8" s="32"/>
      <c r="BJ8" s="159" t="str">
        <f>IF(BM4="","",VLOOKUP(BM4,'Spell Database'!$A$2:$W$1214,4,FALSE))</f>
        <v/>
      </c>
      <c r="BK8" s="32"/>
      <c r="BM8" s="42"/>
      <c r="BN8" s="43"/>
      <c r="BO8" s="43"/>
      <c r="BP8" s="43"/>
      <c r="BQ8" s="43"/>
      <c r="BR8" s="43"/>
      <c r="BS8" s="43"/>
      <c r="BT8" s="43"/>
      <c r="BU8" s="43"/>
      <c r="BV8" s="43"/>
      <c r="BW8" s="43"/>
      <c r="BX8" s="43"/>
      <c r="BY8" s="43"/>
      <c r="BZ8" s="43"/>
      <c r="CA8" s="43"/>
      <c r="CB8" s="43"/>
      <c r="CC8" s="43"/>
      <c r="CD8" s="43"/>
      <c r="CE8" s="43"/>
      <c r="CF8" s="43"/>
      <c r="CG8" s="43"/>
      <c r="CH8" s="43"/>
      <c r="CI8" s="43"/>
      <c r="CJ8" s="43"/>
      <c r="CK8" s="43"/>
      <c r="CL8" s="43"/>
      <c r="CM8" s="44"/>
      <c r="CO8" s="198"/>
      <c r="CP8" s="199"/>
      <c r="CQ8" s="199"/>
      <c r="CR8" s="199"/>
      <c r="CS8" s="199"/>
      <c r="CT8" s="199"/>
      <c r="CU8" s="199"/>
      <c r="CV8" s="199"/>
      <c r="CW8" s="199"/>
      <c r="CX8" s="199"/>
      <c r="CY8" s="199"/>
      <c r="CZ8" s="199"/>
      <c r="DA8" s="200"/>
      <c r="DC8" s="198"/>
      <c r="DD8" s="199"/>
      <c r="DE8" s="199"/>
      <c r="DF8" s="199"/>
      <c r="DG8" s="199"/>
      <c r="DH8" s="199"/>
      <c r="DI8" s="199"/>
      <c r="DJ8" s="199"/>
      <c r="DK8" s="199"/>
      <c r="DL8" s="199"/>
      <c r="DM8" s="199"/>
      <c r="DN8" s="199"/>
      <c r="DO8" s="200"/>
      <c r="DP8" s="34"/>
    </row>
    <row r="9" ht="9.75" customHeight="1">
      <c r="A9" s="35"/>
      <c r="B9" s="40"/>
      <c r="E9" s="41"/>
      <c r="F9" s="40"/>
      <c r="G9" s="41"/>
      <c r="H9" s="40"/>
      <c r="I9" s="41"/>
      <c r="J9" s="35"/>
      <c r="K9" s="241" t="s">
        <v>218</v>
      </c>
      <c r="L9" s="242"/>
      <c r="M9" s="242"/>
      <c r="N9" s="242"/>
      <c r="O9" s="242"/>
      <c r="P9" s="242"/>
      <c r="Q9" s="242"/>
      <c r="R9" s="242"/>
      <c r="S9" s="242"/>
      <c r="T9" s="243"/>
      <c r="U9" s="35"/>
      <c r="V9" s="48" t="s">
        <v>159</v>
      </c>
      <c r="X9" s="48" t="s">
        <v>160</v>
      </c>
      <c r="Z9" s="48" t="s">
        <v>162</v>
      </c>
      <c r="AC9" s="173" t="s">
        <v>164</v>
      </c>
      <c r="AD9" s="173"/>
      <c r="AE9" s="173"/>
      <c r="AF9" s="173"/>
      <c r="AG9" s="173"/>
      <c r="AH9" s="173"/>
      <c r="AI9" s="173"/>
      <c r="AJ9" s="173"/>
      <c r="AK9" s="173"/>
      <c r="AL9" s="173"/>
      <c r="AM9" s="173"/>
      <c r="AN9" s="173"/>
      <c r="AO9" s="48" t="s">
        <v>168</v>
      </c>
      <c r="AR9" s="48" t="s">
        <v>169</v>
      </c>
      <c r="AY9" s="48" t="s">
        <v>170</v>
      </c>
      <c r="BD9" s="35"/>
      <c r="BE9" s="35"/>
      <c r="BF9" s="48" t="s">
        <v>159</v>
      </c>
      <c r="BH9" s="48" t="s">
        <v>160</v>
      </c>
      <c r="BJ9" s="48" t="s">
        <v>162</v>
      </c>
      <c r="BM9" s="173" t="s">
        <v>164</v>
      </c>
      <c r="BN9" s="173"/>
      <c r="BO9" s="173"/>
      <c r="BP9" s="173"/>
      <c r="BQ9" s="173"/>
      <c r="BR9" s="173"/>
      <c r="BS9" s="173"/>
      <c r="BT9" s="173"/>
      <c r="BU9" s="173"/>
      <c r="BV9" s="173"/>
      <c r="BW9" s="173"/>
      <c r="BX9" s="173"/>
      <c r="BY9" s="48" t="s">
        <v>168</v>
      </c>
      <c r="CB9" s="48" t="s">
        <v>169</v>
      </c>
      <c r="CI9" s="48" t="s">
        <v>170</v>
      </c>
      <c r="CO9" s="210"/>
      <c r="DA9" s="211"/>
      <c r="DC9" s="210"/>
      <c r="DO9" s="211"/>
      <c r="DP9" s="35"/>
    </row>
    <row r="10" ht="15.75" customHeight="1">
      <c r="A10" s="35"/>
      <c r="B10" s="213" t="s">
        <v>220</v>
      </c>
      <c r="C10" s="19"/>
      <c r="D10" s="19"/>
      <c r="E10" s="21"/>
      <c r="F10" s="213">
        <v>0.0</v>
      </c>
      <c r="G10" s="21"/>
      <c r="H10" s="213">
        <v>0.0</v>
      </c>
      <c r="I10" s="21"/>
      <c r="J10" s="35"/>
      <c r="K10" s="249" t="s">
        <v>223</v>
      </c>
      <c r="T10" s="41"/>
      <c r="U10" s="35"/>
      <c r="V10" s="179" t="str">
        <f>IF(AC10="","",$S$4)</f>
        <v/>
      </c>
      <c r="X10" s="179" t="str">
        <f>IF(AC10="","",VLOOKUP(AC10,'Spell Database'!$A$2:$W$1214,5,FALSE))</f>
        <v/>
      </c>
      <c r="Z10" s="181" t="str">
        <f>IF(AC10="","",VLOOKUP(AC10,'Spell Database'!$A$2:$W$1214,6,FALSE))</f>
        <v/>
      </c>
      <c r="AA10" s="32"/>
      <c r="AC10" s="184"/>
      <c r="AD10" s="19"/>
      <c r="AE10" s="19"/>
      <c r="AF10" s="19"/>
      <c r="AG10" s="19"/>
      <c r="AH10" s="19"/>
      <c r="AI10" s="19"/>
      <c r="AJ10" s="19"/>
      <c r="AK10" s="19"/>
      <c r="AL10" s="19"/>
      <c r="AM10" s="19"/>
      <c r="AN10" s="19"/>
      <c r="AO10" s="159" t="str">
        <f>IF(AC10="","",VLOOKUP(AC10,'Spell Database'!$A$2:$W$1214,8,FALSE))</f>
        <v/>
      </c>
      <c r="AP10" s="29"/>
      <c r="AQ10" s="32"/>
      <c r="AR10" s="191" t="str">
        <f>IF(AC10="","",VLOOKUP(AC10,'Spell Database'!$A$2:$W$1214,9,FALSE))</f>
        <v/>
      </c>
      <c r="AS10" s="29"/>
      <c r="AT10" s="29"/>
      <c r="AU10" s="29"/>
      <c r="AV10" s="29"/>
      <c r="AW10" s="29"/>
      <c r="AX10" s="29"/>
      <c r="AY10" s="159" t="str">
        <f>IF(AC10="","",VLOOKUP(AC10,'Spell Database'!$A$2:$W$1214,10,FALSE))</f>
        <v/>
      </c>
      <c r="AZ10" s="29"/>
      <c r="BA10" s="29"/>
      <c r="BB10" s="29"/>
      <c r="BC10" s="32"/>
      <c r="BD10" s="34"/>
      <c r="BE10" s="34"/>
      <c r="BF10" s="179" t="str">
        <f>IF(BM10="","",$S$4)</f>
        <v/>
      </c>
      <c r="BH10" s="179" t="str">
        <f>IF(BM10="","",VLOOKUP(BM10,'Spell Database'!$A$2:$W$1214,5,FALSE))</f>
        <v/>
      </c>
      <c r="BJ10" s="181" t="str">
        <f>IF(BM10="","",VLOOKUP(BM10,'Spell Database'!$A$2:$W$1214,6,FALSE))</f>
        <v/>
      </c>
      <c r="BK10" s="32"/>
      <c r="BM10" s="184"/>
      <c r="BN10" s="19"/>
      <c r="BO10" s="19"/>
      <c r="BP10" s="19"/>
      <c r="BQ10" s="19"/>
      <c r="BR10" s="19"/>
      <c r="BS10" s="19"/>
      <c r="BT10" s="19"/>
      <c r="BU10" s="19"/>
      <c r="BV10" s="19"/>
      <c r="BW10" s="19"/>
      <c r="BX10" s="19"/>
      <c r="BY10" s="159" t="str">
        <f>IF(BM10="","",VLOOKUP(BM10,'Spell Database'!$A$2:$W$1214,8,FALSE))</f>
        <v/>
      </c>
      <c r="BZ10" s="29"/>
      <c r="CA10" s="32"/>
      <c r="CB10" s="191" t="str">
        <f>IF(BM10="","",VLOOKUP(BM10,'Spell Database'!$A$2:$W$1214,9,FALSE))</f>
        <v/>
      </c>
      <c r="CC10" s="29"/>
      <c r="CD10" s="29"/>
      <c r="CE10" s="29"/>
      <c r="CF10" s="29"/>
      <c r="CG10" s="29"/>
      <c r="CH10" s="29"/>
      <c r="CI10" s="159" t="str">
        <f>IF(BM10="","",VLOOKUP(BM10,'Spell Database'!$A$2:$W$1214,10,FALSE))</f>
        <v/>
      </c>
      <c r="CJ10" s="29"/>
      <c r="CK10" s="29"/>
      <c r="CL10" s="29"/>
      <c r="CM10" s="32"/>
      <c r="CO10" s="221"/>
      <c r="CP10" s="222"/>
      <c r="CQ10" s="222"/>
      <c r="CR10" s="222"/>
      <c r="CS10" s="222"/>
      <c r="CT10" s="222"/>
      <c r="CU10" s="222"/>
      <c r="CV10" s="222"/>
      <c r="CW10" s="222"/>
      <c r="CX10" s="222"/>
      <c r="CY10" s="222"/>
      <c r="CZ10" s="222"/>
      <c r="DA10" s="224"/>
      <c r="DC10" s="221"/>
      <c r="DD10" s="222"/>
      <c r="DE10" s="222"/>
      <c r="DF10" s="222"/>
      <c r="DG10" s="222"/>
      <c r="DH10" s="222"/>
      <c r="DI10" s="222"/>
      <c r="DJ10" s="222"/>
      <c r="DK10" s="222"/>
      <c r="DL10" s="222"/>
      <c r="DM10" s="222"/>
      <c r="DN10" s="222"/>
      <c r="DO10" s="224"/>
      <c r="DP10" s="34"/>
    </row>
    <row r="11" ht="9.75" customHeight="1">
      <c r="A11" s="35"/>
      <c r="B11" s="40"/>
      <c r="E11" s="41"/>
      <c r="F11" s="40"/>
      <c r="G11" s="41"/>
      <c r="H11" s="40"/>
      <c r="I11" s="41"/>
      <c r="J11" s="35"/>
      <c r="K11" s="40"/>
      <c r="T11" s="41"/>
      <c r="U11" s="35"/>
      <c r="V11" s="48" t="s">
        <v>189</v>
      </c>
      <c r="X11" s="48" t="s">
        <v>190</v>
      </c>
      <c r="Y11" s="53"/>
      <c r="Z11" s="204" t="s">
        <v>191</v>
      </c>
      <c r="AB11" s="53"/>
      <c r="AC11" s="208" t="str">
        <f>IF(AC10="","",VLOOKUP(AC10,'Spell Database'!$A$2:$V$1214, (IFs(V10=1,"13", V10=2,"14", V10=3,"15", V10=4,"16", V10=5,"17", V10=6,"18", V10=7,"19", V10=8,"20", V10=9,"21", V10=10,"22")),FALSE))</f>
        <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21"/>
      <c r="BD11" s="48"/>
      <c r="BE11" s="48"/>
      <c r="BF11" s="48" t="s">
        <v>189</v>
      </c>
      <c r="BH11" s="48" t="s">
        <v>190</v>
      </c>
      <c r="BI11" s="53"/>
      <c r="BJ11" s="204" t="s">
        <v>191</v>
      </c>
      <c r="BL11" s="53"/>
      <c r="BM11" s="208" t="str">
        <f>IF(BM10="","",VLOOKUP(BM10,'Spell Database'!$A$2:$V$1214, (IFs(BF10=1,"13", BF10=2,"14", BF10=3,"15", BF10=4,"16", BF10=5,"17", BF10=6,"18", BF10=7,"19", BF10=8,"20", BF10=9,"21", BF10=10,"22")),FALSE))</f>
        <v/>
      </c>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c r="CL11" s="19"/>
      <c r="CM11" s="21"/>
      <c r="CO11" s="53" t="s">
        <v>238</v>
      </c>
      <c r="DC11" s="53" t="s">
        <v>239</v>
      </c>
      <c r="DP11" s="35"/>
    </row>
    <row r="12" ht="15.75" customHeight="1">
      <c r="A12" s="35"/>
      <c r="B12" s="213" t="s">
        <v>241</v>
      </c>
      <c r="C12" s="19"/>
      <c r="D12" s="19"/>
      <c r="E12" s="21"/>
      <c r="F12" s="232">
        <f>IF(F4="",0, SWITCH(F4,"Magus",VLOOKUP(Level,Data!E27:P46,3), "Summoner",VLOOKUP(Level,Data!E27:P46,3), "Sorcerer",VLOOKUP(Level,Data!E50:P69,3), "Psychic",VLOOKUP(Level,Data!E73:DP92,3), "Basic Spellcaster",VLOOKUP(Level,Data!R27:AC46,3),"Expert Spellcaster",VLOOKUP(Level,Data!R50:AC69,3), "Master Spellcaster",VLOOKUP(Level,Data!R73:AC92,3),VLOOKUP(Level,Data!E4:P23,3)))</f>
        <v>2</v>
      </c>
      <c r="G12" s="21"/>
      <c r="H12" s="213">
        <f>Sum(AK40,AK46,AK52,BX40,BX46,BX52)</f>
        <v>0</v>
      </c>
      <c r="I12" s="21"/>
      <c r="J12" s="35"/>
      <c r="K12" s="40"/>
      <c r="T12" s="41"/>
      <c r="U12" s="35"/>
      <c r="V12" s="214" t="str">
        <f>IF(AC10="","",VLOOKUP(AC10,'Spell Database'!$A$2:$W$1214,12,FALSE))</f>
        <v/>
      </c>
      <c r="X12" s="179" t="str">
        <f>IF(AC10="","",VLOOKUP(AC10,'Spell Database'!$A$2:$W$1214,3,FALSE))</f>
        <v/>
      </c>
      <c r="Z12" s="181" t="str">
        <f>IF(AC10="","",VLOOKUP(AC10,'Spell Database'!$A$2:$W$1214,7,FALSE))</f>
        <v/>
      </c>
      <c r="AA12" s="32"/>
      <c r="AC12" s="40"/>
      <c r="BC12" s="41"/>
      <c r="BD12" s="48"/>
      <c r="BE12" s="48"/>
      <c r="BF12" s="214" t="str">
        <f>IF(BM10="","",VLOOKUP(BM10,'Spell Database'!$A$2:$W$1214,12,FALSE))</f>
        <v/>
      </c>
      <c r="BH12" s="179" t="str">
        <f>IF(BM10="","",VLOOKUP(BM10,'Spell Database'!$A$2:$W$1214,3,FALSE))</f>
        <v/>
      </c>
      <c r="BJ12" s="181" t="str">
        <f>IF(BM10="","",VLOOKUP(BM10,'Spell Database'!$A$2:$W$1214,7,FALSE))</f>
        <v/>
      </c>
      <c r="BK12" s="32"/>
      <c r="BM12" s="40"/>
      <c r="CM12" s="41"/>
      <c r="CO12" s="198"/>
      <c r="CP12" s="199"/>
      <c r="CQ12" s="199"/>
      <c r="CR12" s="199"/>
      <c r="CS12" s="199"/>
      <c r="CT12" s="199"/>
      <c r="CU12" s="199"/>
      <c r="CV12" s="199"/>
      <c r="CW12" s="199"/>
      <c r="CX12" s="199"/>
      <c r="CY12" s="199"/>
      <c r="CZ12" s="199"/>
      <c r="DA12" s="200"/>
      <c r="DC12" s="198"/>
      <c r="DD12" s="199"/>
      <c r="DE12" s="199"/>
      <c r="DF12" s="199"/>
      <c r="DG12" s="199"/>
      <c r="DH12" s="199"/>
      <c r="DI12" s="199"/>
      <c r="DJ12" s="199"/>
      <c r="DK12" s="199"/>
      <c r="DL12" s="199"/>
      <c r="DM12" s="199"/>
      <c r="DN12" s="199"/>
      <c r="DO12" s="200"/>
      <c r="DP12" s="34"/>
    </row>
    <row r="13" ht="9.75" customHeight="1">
      <c r="A13" s="35"/>
      <c r="B13" s="40"/>
      <c r="E13" s="41"/>
      <c r="F13" s="40"/>
      <c r="G13" s="41"/>
      <c r="H13" s="40"/>
      <c r="I13" s="41"/>
      <c r="J13" s="35"/>
      <c r="K13" s="40"/>
      <c r="T13" s="41"/>
      <c r="U13" s="35"/>
      <c r="V13" s="48" t="s">
        <v>206</v>
      </c>
      <c r="Z13" s="48" t="s">
        <v>207</v>
      </c>
      <c r="AC13" s="40"/>
      <c r="BC13" s="41"/>
      <c r="BD13" s="48"/>
      <c r="BE13" s="48"/>
      <c r="BF13" s="48" t="s">
        <v>206</v>
      </c>
      <c r="BJ13" s="48" t="s">
        <v>207</v>
      </c>
      <c r="BM13" s="40"/>
      <c r="CM13" s="41"/>
      <c r="CO13" s="210"/>
      <c r="DA13" s="211"/>
      <c r="DC13" s="210"/>
      <c r="DO13" s="211"/>
      <c r="DP13" s="35"/>
    </row>
    <row r="14" ht="15.75" customHeight="1">
      <c r="A14" s="35"/>
      <c r="B14" s="213" t="s">
        <v>247</v>
      </c>
      <c r="C14" s="19"/>
      <c r="D14" s="19"/>
      <c r="E14" s="21"/>
      <c r="F14" s="232">
        <f>IF(F4="",0, SWITCH(F4,"Magus",VLOOKUP(Level,Data!E27:P46,4), "Summoner",VLOOKUP(Level,Data!E27:P46,4), "Sorcerer",VLOOKUP(Level,Data!E50:P69,4), "Psychic",VLOOKUP(Level,Data!E73:DP92,4), "Basic Spellcaster",VLOOKUP(Level,Data!R27:AC46,4),"Expert Spellcaster",VLOOKUP(Level,Data!R50:AC69,4), "Master Spellcaster",VLOOKUP(Level,Data!R73:AC92,4),VLOOKUP(Level,Data!E4:P23,4)))</f>
        <v>0</v>
      </c>
      <c r="G14" s="21"/>
      <c r="H14" s="213">
        <f>SUM(AK60,AK66,AK72,BX60,BX66,BX72)</f>
        <v>0</v>
      </c>
      <c r="I14" s="21"/>
      <c r="J14" s="35"/>
      <c r="K14" s="42"/>
      <c r="L14" s="43"/>
      <c r="M14" s="43"/>
      <c r="N14" s="43"/>
      <c r="O14" s="43"/>
      <c r="P14" s="43"/>
      <c r="Q14" s="43"/>
      <c r="R14" s="43"/>
      <c r="S14" s="43"/>
      <c r="T14" s="44"/>
      <c r="U14" s="35"/>
      <c r="V14" s="236" t="str">
        <f>IF(AC10="","",VLOOKUP(AC10,'Spell Database'!$A$2:$W$1214,11,FALSE))</f>
        <v/>
      </c>
      <c r="W14" s="29"/>
      <c r="X14" s="32"/>
      <c r="Z14" s="159" t="str">
        <f>IF(AC10="","",VLOOKUP(AC10,'Spell Database'!$A$2:$W$1214,4,FALSE))</f>
        <v/>
      </c>
      <c r="AA14" s="32"/>
      <c r="AC14" s="42"/>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4"/>
      <c r="BD14" s="48"/>
      <c r="BE14" s="48"/>
      <c r="BF14" s="236" t="str">
        <f>IF(BM10="","",VLOOKUP(BM10,'Spell Database'!$A$2:$W$1214,11,FALSE))</f>
        <v/>
      </c>
      <c r="BG14" s="29"/>
      <c r="BH14" s="32"/>
      <c r="BJ14" s="159" t="str">
        <f>IF(BM10="","",VLOOKUP(BM10,'Spell Database'!$A$2:$W$1214,4,FALSE))</f>
        <v/>
      </c>
      <c r="BK14" s="32"/>
      <c r="BM14" s="42"/>
      <c r="BN14" s="43"/>
      <c r="BO14" s="43"/>
      <c r="BP14" s="43"/>
      <c r="BQ14" s="43"/>
      <c r="BR14" s="43"/>
      <c r="BS14" s="43"/>
      <c r="BT14" s="43"/>
      <c r="BU14" s="43"/>
      <c r="BV14" s="43"/>
      <c r="BW14" s="43"/>
      <c r="BX14" s="43"/>
      <c r="BY14" s="43"/>
      <c r="BZ14" s="43"/>
      <c r="CA14" s="43"/>
      <c r="CB14" s="43"/>
      <c r="CC14" s="43"/>
      <c r="CD14" s="43"/>
      <c r="CE14" s="43"/>
      <c r="CF14" s="43"/>
      <c r="CG14" s="43"/>
      <c r="CH14" s="43"/>
      <c r="CI14" s="43"/>
      <c r="CJ14" s="43"/>
      <c r="CK14" s="43"/>
      <c r="CL14" s="43"/>
      <c r="CM14" s="44"/>
      <c r="CO14" s="221"/>
      <c r="CP14" s="222"/>
      <c r="CQ14" s="222"/>
      <c r="CR14" s="222"/>
      <c r="CS14" s="222"/>
      <c r="CT14" s="222"/>
      <c r="CU14" s="222"/>
      <c r="CV14" s="222"/>
      <c r="CW14" s="222"/>
      <c r="CX14" s="222"/>
      <c r="CY14" s="222"/>
      <c r="CZ14" s="222"/>
      <c r="DA14" s="224"/>
      <c r="DC14" s="221"/>
      <c r="DD14" s="222"/>
      <c r="DE14" s="222"/>
      <c r="DF14" s="222"/>
      <c r="DG14" s="222"/>
      <c r="DH14" s="222"/>
      <c r="DI14" s="222"/>
      <c r="DJ14" s="222"/>
      <c r="DK14" s="222"/>
      <c r="DL14" s="222"/>
      <c r="DM14" s="222"/>
      <c r="DN14" s="222"/>
      <c r="DO14" s="224"/>
      <c r="DP14" s="34"/>
    </row>
    <row r="15" ht="9.75" customHeight="1">
      <c r="A15" s="35"/>
      <c r="B15" s="40"/>
      <c r="E15" s="41"/>
      <c r="F15" s="40"/>
      <c r="G15" s="41"/>
      <c r="H15" s="40"/>
      <c r="I15" s="41"/>
      <c r="J15" s="35"/>
      <c r="K15" s="35"/>
      <c r="L15" s="35"/>
      <c r="M15" s="35"/>
      <c r="N15" s="35"/>
      <c r="O15" s="35"/>
      <c r="P15" s="35"/>
      <c r="Q15" s="35"/>
      <c r="R15" s="35"/>
      <c r="S15" s="35"/>
      <c r="T15" s="35"/>
      <c r="U15" s="35"/>
      <c r="V15" s="48" t="s">
        <v>159</v>
      </c>
      <c r="X15" s="48" t="s">
        <v>160</v>
      </c>
      <c r="Z15" s="48" t="s">
        <v>162</v>
      </c>
      <c r="AC15" s="173" t="s">
        <v>164</v>
      </c>
      <c r="AD15" s="173"/>
      <c r="AE15" s="173"/>
      <c r="AF15" s="173"/>
      <c r="AG15" s="173"/>
      <c r="AH15" s="173"/>
      <c r="AI15" s="173"/>
      <c r="AJ15" s="173"/>
      <c r="AK15" s="173"/>
      <c r="AL15" s="173"/>
      <c r="AM15" s="173"/>
      <c r="AN15" s="173"/>
      <c r="AO15" s="48" t="s">
        <v>168</v>
      </c>
      <c r="AR15" s="48" t="s">
        <v>169</v>
      </c>
      <c r="AY15" s="48" t="s">
        <v>170</v>
      </c>
      <c r="BD15" s="35"/>
      <c r="BE15" s="35"/>
      <c r="BF15" s="48" t="s">
        <v>159</v>
      </c>
      <c r="BH15" s="48" t="s">
        <v>160</v>
      </c>
      <c r="BJ15" s="48" t="s">
        <v>162</v>
      </c>
      <c r="BM15" s="173" t="s">
        <v>164</v>
      </c>
      <c r="BN15" s="173"/>
      <c r="BO15" s="173"/>
      <c r="BP15" s="173"/>
      <c r="BQ15" s="173"/>
      <c r="BR15" s="173"/>
      <c r="BS15" s="173"/>
      <c r="BT15" s="173"/>
      <c r="BU15" s="173"/>
      <c r="BV15" s="173"/>
      <c r="BW15" s="173"/>
      <c r="BX15" s="173"/>
      <c r="BY15" s="48" t="s">
        <v>168</v>
      </c>
      <c r="CB15" s="48" t="s">
        <v>169</v>
      </c>
      <c r="CI15" s="48" t="s">
        <v>170</v>
      </c>
      <c r="CO15" s="53" t="s">
        <v>254</v>
      </c>
      <c r="DC15" s="53" t="s">
        <v>255</v>
      </c>
      <c r="DP15" s="35"/>
    </row>
    <row r="16" ht="15.75" customHeight="1">
      <c r="A16" s="35"/>
      <c r="B16" s="213" t="s">
        <v>256</v>
      </c>
      <c r="C16" s="19"/>
      <c r="D16" s="19"/>
      <c r="E16" s="21"/>
      <c r="F16" s="213">
        <f>IF(F4="",0, SWITCH(F4,"Magus",VLOOKUP(Level,Data!E27:P46,5), "Summoner",VLOOKUP(Level,Data!E27:P46,5), "Sorcerer",VLOOKUP(Level,Data!E50:P69,5), "Psychic",VLOOKUP(Level,Data!E73:DP92,5), "Basic Spellcaster",VLOOKUP(Level,Data!R27:AC46,5),"Expert Spellcaster",VLOOKUP(Level,Data!R50:AC69,5), "Master Spellcaster",VLOOKUP(Level,Data!R73:AC92,5),VLOOKUP(Level,Data!E4:P23,5)))</f>
        <v>0</v>
      </c>
      <c r="G16" s="21"/>
      <c r="H16" s="213">
        <f>SUM(AK80,AK86,BX80,BX86)</f>
        <v>0</v>
      </c>
      <c r="I16" s="21"/>
      <c r="J16" s="35"/>
      <c r="K16" s="235" t="s">
        <v>258</v>
      </c>
      <c r="L16" s="19"/>
      <c r="M16" s="19"/>
      <c r="N16" s="19"/>
      <c r="O16" s="19"/>
      <c r="P16" s="19"/>
      <c r="Q16" s="19"/>
      <c r="R16" s="19"/>
      <c r="S16" s="19"/>
      <c r="T16" s="21"/>
      <c r="U16" s="35"/>
      <c r="V16" s="179" t="str">
        <f>IF(AC16="","",$S$4)</f>
        <v/>
      </c>
      <c r="X16" s="179" t="str">
        <f>IF(AC16="","",VLOOKUP(AC16,'Spell Database'!$A$2:$W$1214,5,FALSE))</f>
        <v/>
      </c>
      <c r="Z16" s="181" t="str">
        <f>IF(AC16="","",VLOOKUP(AC16,'Spell Database'!$A$2:$W$1214,6,FALSE))</f>
        <v/>
      </c>
      <c r="AA16" s="32"/>
      <c r="AC16" s="184"/>
      <c r="AD16" s="19"/>
      <c r="AE16" s="19"/>
      <c r="AF16" s="19"/>
      <c r="AG16" s="19"/>
      <c r="AH16" s="19"/>
      <c r="AI16" s="19"/>
      <c r="AJ16" s="19"/>
      <c r="AK16" s="19"/>
      <c r="AL16" s="19"/>
      <c r="AM16" s="19"/>
      <c r="AN16" s="19"/>
      <c r="AO16" s="159" t="str">
        <f>IF(AC16="","",VLOOKUP(AC16,'Spell Database'!$A$2:$W$1214,8,FALSE))</f>
        <v/>
      </c>
      <c r="AP16" s="29"/>
      <c r="AQ16" s="32"/>
      <c r="AR16" s="191" t="str">
        <f>IF(AC16="","",VLOOKUP(AC16,'Spell Database'!$A$2:$W$1214,9,FALSE))</f>
        <v/>
      </c>
      <c r="AS16" s="29"/>
      <c r="AT16" s="29"/>
      <c r="AU16" s="29"/>
      <c r="AV16" s="29"/>
      <c r="AW16" s="29"/>
      <c r="AX16" s="29"/>
      <c r="AY16" s="159" t="str">
        <f>IF(AC16="","",VLOOKUP(AC16,'Spell Database'!$A$2:$W$1214,10,FALSE))</f>
        <v/>
      </c>
      <c r="AZ16" s="29"/>
      <c r="BA16" s="29"/>
      <c r="BB16" s="29"/>
      <c r="BC16" s="32"/>
      <c r="BD16" s="35"/>
      <c r="BE16" s="35"/>
      <c r="BF16" s="179" t="str">
        <f>IF(BM16="","",$S$4)</f>
        <v/>
      </c>
      <c r="BH16" s="179" t="str">
        <f>IF(BM16="","",VLOOKUP(BM16,'Spell Database'!$A$2:$W$1214,5,FALSE))</f>
        <v/>
      </c>
      <c r="BJ16" s="181" t="str">
        <f>IF(BM16="","",VLOOKUP(BM16,'Spell Database'!$A$2:$W$1214,6,FALSE))</f>
        <v/>
      </c>
      <c r="BK16" s="32"/>
      <c r="BM16" s="184"/>
      <c r="BN16" s="19"/>
      <c r="BO16" s="19"/>
      <c r="BP16" s="19"/>
      <c r="BQ16" s="19"/>
      <c r="BR16" s="19"/>
      <c r="BS16" s="19"/>
      <c r="BT16" s="19"/>
      <c r="BU16" s="19"/>
      <c r="BV16" s="19"/>
      <c r="BW16" s="19"/>
      <c r="BX16" s="19"/>
      <c r="BY16" s="159" t="str">
        <f>IF(BM16="","",VLOOKUP(BM16,'Spell Database'!$A$2:$W$1214,8,FALSE))</f>
        <v/>
      </c>
      <c r="BZ16" s="29"/>
      <c r="CA16" s="32"/>
      <c r="CB16" s="191" t="str">
        <f>IF(BM16="","",VLOOKUP(BM16,'Spell Database'!$A$2:$W$1214,9,FALSE))</f>
        <v/>
      </c>
      <c r="CC16" s="29"/>
      <c r="CD16" s="29"/>
      <c r="CE16" s="29"/>
      <c r="CF16" s="29"/>
      <c r="CG16" s="29"/>
      <c r="CH16" s="29"/>
      <c r="CI16" s="159" t="str">
        <f>IF(BM16="","",VLOOKUP(BM16,'Spell Database'!$A$2:$W$1214,10,FALSE))</f>
        <v/>
      </c>
      <c r="CJ16" s="29"/>
      <c r="CK16" s="29"/>
      <c r="CL16" s="29"/>
      <c r="CM16" s="32"/>
      <c r="CO16" s="198"/>
      <c r="CP16" s="199"/>
      <c r="CQ16" s="199"/>
      <c r="CR16" s="199"/>
      <c r="CS16" s="199"/>
      <c r="CT16" s="199"/>
      <c r="CU16" s="199"/>
      <c r="CV16" s="199"/>
      <c r="CW16" s="199"/>
      <c r="CX16" s="199"/>
      <c r="CY16" s="199"/>
      <c r="CZ16" s="199"/>
      <c r="DA16" s="200"/>
      <c r="DC16" s="198"/>
      <c r="DD16" s="199"/>
      <c r="DE16" s="199"/>
      <c r="DF16" s="199"/>
      <c r="DG16" s="199"/>
      <c r="DH16" s="199"/>
      <c r="DI16" s="199"/>
      <c r="DJ16" s="199"/>
      <c r="DK16" s="199"/>
      <c r="DL16" s="199"/>
      <c r="DM16" s="199"/>
      <c r="DN16" s="199"/>
      <c r="DO16" s="200"/>
      <c r="DP16" s="34"/>
    </row>
    <row r="17" ht="9.75" customHeight="1">
      <c r="A17" s="35"/>
      <c r="B17" s="40"/>
      <c r="E17" s="41"/>
      <c r="F17" s="40"/>
      <c r="G17" s="41"/>
      <c r="H17" s="40"/>
      <c r="I17" s="41"/>
      <c r="J17" s="35"/>
      <c r="K17" s="241" t="s">
        <v>287</v>
      </c>
      <c r="L17" s="242"/>
      <c r="M17" s="242"/>
      <c r="N17" s="242"/>
      <c r="O17" s="242"/>
      <c r="P17" s="242"/>
      <c r="Q17" s="242"/>
      <c r="R17" s="242"/>
      <c r="S17" s="242"/>
      <c r="T17" s="243"/>
      <c r="U17" s="35"/>
      <c r="V17" s="48" t="s">
        <v>189</v>
      </c>
      <c r="X17" s="48" t="s">
        <v>190</v>
      </c>
      <c r="Y17" s="53"/>
      <c r="Z17" s="204" t="s">
        <v>191</v>
      </c>
      <c r="AB17" s="53"/>
      <c r="AC17" s="208" t="str">
        <f>IF(AC16="","",VLOOKUP(AC16,'Spell Database'!$A$2:$V$1214, (IFs(V16=1,"13", V16=2,"14", V16=3,"15", V16=4,"16", V16=5,"17", V16=6,"18", V16=7,"19", V16=8,"20", V16=9,"21", V16=10,"22")),FALSE))</f>
        <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21"/>
      <c r="BD17" s="35"/>
      <c r="BE17" s="35"/>
      <c r="BF17" s="48" t="s">
        <v>189</v>
      </c>
      <c r="BH17" s="48" t="s">
        <v>190</v>
      </c>
      <c r="BI17" s="53"/>
      <c r="BJ17" s="204" t="s">
        <v>191</v>
      </c>
      <c r="BL17" s="53"/>
      <c r="BM17" s="208" t="str">
        <f>IF(BM16="","",VLOOKUP(BM16,'Spell Database'!$A$2:$V$1214, (IFs(BF16=1,"13", BF16=2,"14", BF16=3,"15", BF16=4,"16", BF16=5,"17", BF16=6,"18", BF16=7,"19", BF16=8,"20", BF16=9,"21", BF16=10,"22")),FALSE))</f>
        <v/>
      </c>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21"/>
      <c r="CO17" s="210"/>
      <c r="DA17" s="211"/>
      <c r="DC17" s="210"/>
      <c r="DO17" s="211"/>
      <c r="DP17" s="35"/>
    </row>
    <row r="18" ht="15.75" customHeight="1">
      <c r="A18" s="35"/>
      <c r="B18" s="213" t="s">
        <v>333</v>
      </c>
      <c r="C18" s="19"/>
      <c r="D18" s="19"/>
      <c r="E18" s="21"/>
      <c r="F18" s="213">
        <f>IF(F4="",0, SWITCH(F4,"Magus",VLOOKUP(Level,Data!E27:P46,6), "Summoner",VLOOKUP(Level,Data!E27:P46,6), "Sorcerer",VLOOKUP(Level,Data!E50:P69,6), "Psychic",VLOOKUP(Level,Data!E73:DP92,6), "Basic Spellcaster",VLOOKUP(Level,Data!R27:AC46,6),"Expert Spellcaster",VLOOKUP(Level,Data!R50:AC69,6), "Master Spellcaster",VLOOKUP(Level,Data!R73:AC92,6),VLOOKUP(Level,Data!E4:P23,6)))</f>
        <v>0</v>
      </c>
      <c r="G18" s="21"/>
      <c r="H18" s="213">
        <f>SUM(AK94,AK100,BX94,BX100)</f>
        <v>0</v>
      </c>
      <c r="I18" s="21"/>
      <c r="J18" s="35"/>
      <c r="K18" s="249" t="s">
        <v>369</v>
      </c>
      <c r="T18" s="41"/>
      <c r="U18" s="35"/>
      <c r="V18" s="214" t="str">
        <f>IF(AC16="","",VLOOKUP(AC16,'Spell Database'!$A$2:$W$1214,12,FALSE))</f>
        <v/>
      </c>
      <c r="X18" s="179" t="str">
        <f>IF(AC16="","",VLOOKUP(AC16,'Spell Database'!$A$2:$W$1214,3,FALSE))</f>
        <v/>
      </c>
      <c r="Z18" s="181" t="str">
        <f>IF(AC16="","",VLOOKUP(AC16,'Spell Database'!$A$2:$W$1214,7,FALSE))</f>
        <v/>
      </c>
      <c r="AA18" s="32"/>
      <c r="AC18" s="40"/>
      <c r="BC18" s="41"/>
      <c r="BD18" s="35"/>
      <c r="BE18" s="35"/>
      <c r="BF18" s="214" t="str">
        <f>IF(BM16="","",VLOOKUP(BM16,'Spell Database'!$A$2:$W$1214,12,FALSE))</f>
        <v/>
      </c>
      <c r="BH18" s="179" t="str">
        <f>IF(BM16="","",VLOOKUP(BM16,'Spell Database'!$A$2:$W$1214,3,FALSE))</f>
        <v/>
      </c>
      <c r="BJ18" s="181" t="str">
        <f>IF(BM16="","",VLOOKUP(BM16,'Spell Database'!$A$2:$W$1214,7,FALSE))</f>
        <v/>
      </c>
      <c r="BK18" s="32"/>
      <c r="BM18" s="40"/>
      <c r="CM18" s="41"/>
      <c r="CO18" s="221"/>
      <c r="CP18" s="222"/>
      <c r="CQ18" s="222"/>
      <c r="CR18" s="222"/>
      <c r="CS18" s="222"/>
      <c r="CT18" s="222"/>
      <c r="CU18" s="222"/>
      <c r="CV18" s="222"/>
      <c r="CW18" s="222"/>
      <c r="CX18" s="222"/>
      <c r="CY18" s="222"/>
      <c r="CZ18" s="222"/>
      <c r="DA18" s="224"/>
      <c r="DC18" s="221"/>
      <c r="DD18" s="222"/>
      <c r="DE18" s="222"/>
      <c r="DF18" s="222"/>
      <c r="DG18" s="222"/>
      <c r="DH18" s="222"/>
      <c r="DI18" s="222"/>
      <c r="DJ18" s="222"/>
      <c r="DK18" s="222"/>
      <c r="DL18" s="222"/>
      <c r="DM18" s="222"/>
      <c r="DN18" s="222"/>
      <c r="DO18" s="224"/>
      <c r="DP18" s="34"/>
    </row>
    <row r="19" ht="9.75" customHeight="1">
      <c r="A19" s="35"/>
      <c r="B19" s="40"/>
      <c r="E19" s="41"/>
      <c r="F19" s="40"/>
      <c r="G19" s="41"/>
      <c r="H19" s="40"/>
      <c r="I19" s="41"/>
      <c r="J19" s="35"/>
      <c r="K19" s="40"/>
      <c r="T19" s="41"/>
      <c r="U19" s="35"/>
      <c r="V19" s="48" t="s">
        <v>206</v>
      </c>
      <c r="Z19" s="48" t="s">
        <v>207</v>
      </c>
      <c r="AC19" s="40"/>
      <c r="BC19" s="41"/>
      <c r="BD19" s="35"/>
      <c r="BE19" s="35"/>
      <c r="BF19" s="48" t="s">
        <v>206</v>
      </c>
      <c r="BJ19" s="48" t="s">
        <v>207</v>
      </c>
      <c r="BM19" s="40"/>
      <c r="CM19" s="41"/>
      <c r="CO19" s="53" t="s">
        <v>423</v>
      </c>
      <c r="DC19" s="53" t="s">
        <v>426</v>
      </c>
      <c r="DP19" s="35"/>
    </row>
    <row r="20" ht="15.75" customHeight="1">
      <c r="A20" s="35"/>
      <c r="B20" s="213" t="s">
        <v>427</v>
      </c>
      <c r="C20" s="19"/>
      <c r="D20" s="19"/>
      <c r="E20" s="21"/>
      <c r="F20" s="213">
        <f>IF(F4="",0, SWITCH(F4,"Magus",VLOOKUP(Level,Data!E27:P46,7), "Summoner",VLOOKUP(Level,Data!E27:P46,7), "Sorcerer",VLOOKUP(Level,Data!E50:P69,7), "Psychic",VLOOKUP(Level,Data!E73:DP92,7), "Basic Spellcaster",VLOOKUP(Level,Data!R27:AC46,7),"Expert Spellcaster",VLOOKUP(Level,Data!R50:AC69,7), "Master Spellcaster",VLOOKUP(Level,Data!R73:AC92,7),VLOOKUP(Level,Data!E4:P23,7)))</f>
        <v>0</v>
      </c>
      <c r="G20" s="21"/>
      <c r="H20" s="213">
        <f>SUM(AK108,AK114,BX108,BX114,)</f>
        <v>0</v>
      </c>
      <c r="I20" s="21"/>
      <c r="J20" s="35"/>
      <c r="K20" s="40"/>
      <c r="T20" s="41"/>
      <c r="U20" s="35"/>
      <c r="V20" s="236" t="str">
        <f>IF(AC16="","",VLOOKUP(AC16,'Spell Database'!$A$2:$W$1214,11,FALSE))</f>
        <v/>
      </c>
      <c r="W20" s="29"/>
      <c r="X20" s="32"/>
      <c r="Z20" s="159" t="str">
        <f>IF(AC16="","",VLOOKUP(AC16,'Spell Database'!$A$2:$W$1214,4,FALSE))</f>
        <v/>
      </c>
      <c r="AA20" s="32"/>
      <c r="AC20" s="42"/>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4"/>
      <c r="BD20" s="35"/>
      <c r="BE20" s="35"/>
      <c r="BF20" s="236" t="str">
        <f>IF(BM16="","",VLOOKUP(BM16,'Spell Database'!$A$2:$W$1214,11,FALSE))</f>
        <v/>
      </c>
      <c r="BG20" s="29"/>
      <c r="BH20" s="32"/>
      <c r="BJ20" s="159" t="str">
        <f>IF(BM16="","",VLOOKUP(BM16,'Spell Database'!$A$2:$W$1214,4,FALSE))</f>
        <v/>
      </c>
      <c r="BK20" s="32"/>
      <c r="BM20" s="42"/>
      <c r="BN20" s="43"/>
      <c r="BO20" s="43"/>
      <c r="BP20" s="43"/>
      <c r="BQ20" s="43"/>
      <c r="BR20" s="43"/>
      <c r="BS20" s="43"/>
      <c r="BT20" s="43"/>
      <c r="BU20" s="43"/>
      <c r="BV20" s="43"/>
      <c r="BW20" s="43"/>
      <c r="BX20" s="43"/>
      <c r="BY20" s="43"/>
      <c r="BZ20" s="43"/>
      <c r="CA20" s="43"/>
      <c r="CB20" s="43"/>
      <c r="CC20" s="43"/>
      <c r="CD20" s="43"/>
      <c r="CE20" s="43"/>
      <c r="CF20" s="43"/>
      <c r="CG20" s="43"/>
      <c r="CH20" s="43"/>
      <c r="CI20" s="43"/>
      <c r="CJ20" s="43"/>
      <c r="CK20" s="43"/>
      <c r="CL20" s="43"/>
      <c r="CM20" s="44"/>
      <c r="CO20" s="198"/>
      <c r="CP20" s="199"/>
      <c r="CQ20" s="199"/>
      <c r="CR20" s="199"/>
      <c r="CS20" s="199"/>
      <c r="CT20" s="199"/>
      <c r="CU20" s="199"/>
      <c r="CV20" s="199"/>
      <c r="CW20" s="199"/>
      <c r="CX20" s="199"/>
      <c r="CY20" s="199"/>
      <c r="CZ20" s="199"/>
      <c r="DA20" s="200"/>
      <c r="DC20" s="198"/>
      <c r="DD20" s="199"/>
      <c r="DE20" s="199"/>
      <c r="DF20" s="199"/>
      <c r="DG20" s="199"/>
      <c r="DH20" s="199"/>
      <c r="DI20" s="199"/>
      <c r="DJ20" s="199"/>
      <c r="DK20" s="199"/>
      <c r="DL20" s="199"/>
      <c r="DM20" s="199"/>
      <c r="DN20" s="199"/>
      <c r="DO20" s="200"/>
      <c r="DP20" s="34"/>
    </row>
    <row r="21" ht="9.75" customHeight="1">
      <c r="A21" s="35"/>
      <c r="B21" s="40"/>
      <c r="E21" s="41"/>
      <c r="F21" s="40"/>
      <c r="G21" s="41"/>
      <c r="H21" s="40"/>
      <c r="I21" s="41"/>
      <c r="J21" s="35"/>
      <c r="K21" s="40"/>
      <c r="T21" s="41"/>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CO21" s="210"/>
      <c r="DA21" s="211"/>
      <c r="DC21" s="210"/>
      <c r="DO21" s="211"/>
      <c r="DP21" s="35"/>
    </row>
    <row r="22" ht="15.75" customHeight="1">
      <c r="A22" s="35"/>
      <c r="B22" s="213" t="s">
        <v>502</v>
      </c>
      <c r="C22" s="19"/>
      <c r="D22" s="19"/>
      <c r="E22" s="21"/>
      <c r="F22" s="213">
        <f>IF(F4="",0, SWITCH(F4,"Magus",VLOOKUP(Level,Data!E27:P46,8), "Summoner",VLOOKUP(Level,Data!E27:P46,8), "Sorcerer",VLOOKUP(Level,Data!E50:P69,8), "Psychic",VLOOKUP(Level,Data!E73:DP92,8), "Basic Spellcaster",VLOOKUP(Level,Data!R27:AC46,8),"Expert Spellcaster",VLOOKUP(Level,Data!R50:AC69,8), "Master Spellcaster",VLOOKUP(Level,Data!R73:AC92,8),VLOOKUP(Level,Data!E4:P23,8)))</f>
        <v>0</v>
      </c>
      <c r="G22" s="21"/>
      <c r="H22" s="213">
        <f>SUM(AK122,AK128,BX122,BX128)</f>
        <v>0</v>
      </c>
      <c r="I22" s="21"/>
      <c r="J22" s="35"/>
      <c r="K22" s="42"/>
      <c r="L22" s="43"/>
      <c r="M22" s="43"/>
      <c r="N22" s="43"/>
      <c r="O22" s="43"/>
      <c r="P22" s="43"/>
      <c r="Q22" s="43"/>
      <c r="R22" s="43"/>
      <c r="S22" s="43"/>
      <c r="T22" s="44"/>
      <c r="U22" s="35"/>
      <c r="V22" s="167" t="s">
        <v>543</v>
      </c>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c r="BR22" s="29"/>
      <c r="BS22" s="29"/>
      <c r="BT22" s="29"/>
      <c r="BU22" s="29"/>
      <c r="BV22" s="29"/>
      <c r="BW22" s="29"/>
      <c r="BX22" s="29"/>
      <c r="BY22" s="29"/>
      <c r="BZ22" s="29"/>
      <c r="CA22" s="29"/>
      <c r="CB22" s="29"/>
      <c r="CC22" s="29"/>
      <c r="CD22" s="29"/>
      <c r="CE22" s="29"/>
      <c r="CF22" s="29"/>
      <c r="CG22" s="29"/>
      <c r="CH22" s="29"/>
      <c r="CI22" s="29"/>
      <c r="CJ22" s="29"/>
      <c r="CK22" s="29"/>
      <c r="CL22" s="29"/>
      <c r="CM22" s="32"/>
      <c r="CO22" s="221"/>
      <c r="CP22" s="222"/>
      <c r="CQ22" s="222"/>
      <c r="CR22" s="222"/>
      <c r="CS22" s="222"/>
      <c r="CT22" s="222"/>
      <c r="CU22" s="222"/>
      <c r="CV22" s="222"/>
      <c r="CW22" s="222"/>
      <c r="CX22" s="222"/>
      <c r="CY22" s="222"/>
      <c r="CZ22" s="222"/>
      <c r="DA22" s="224"/>
      <c r="DC22" s="221"/>
      <c r="DD22" s="222"/>
      <c r="DE22" s="222"/>
      <c r="DF22" s="222"/>
      <c r="DG22" s="222"/>
      <c r="DH22" s="222"/>
      <c r="DI22" s="222"/>
      <c r="DJ22" s="222"/>
      <c r="DK22" s="222"/>
      <c r="DL22" s="222"/>
      <c r="DM22" s="222"/>
      <c r="DN22" s="222"/>
      <c r="DO22" s="224"/>
      <c r="DP22" s="34"/>
    </row>
    <row r="23" ht="9.75" customHeight="1">
      <c r="A23" s="35"/>
      <c r="B23" s="40"/>
      <c r="E23" s="41"/>
      <c r="F23" s="40"/>
      <c r="G23" s="41"/>
      <c r="H23" s="40"/>
      <c r="I23" s="41"/>
      <c r="J23" s="35"/>
      <c r="U23" s="35"/>
      <c r="V23" s="48" t="s">
        <v>159</v>
      </c>
      <c r="X23" s="48" t="s">
        <v>160</v>
      </c>
      <c r="Z23" s="48" t="s">
        <v>162</v>
      </c>
      <c r="AC23" s="173" t="s">
        <v>164</v>
      </c>
      <c r="AD23" s="173"/>
      <c r="AE23" s="173"/>
      <c r="AF23" s="173"/>
      <c r="AG23" s="173"/>
      <c r="AH23" s="173"/>
      <c r="AI23" s="173"/>
      <c r="AJ23" s="173"/>
      <c r="AK23" s="173"/>
      <c r="AL23" s="173"/>
      <c r="AM23" s="173"/>
      <c r="AN23" s="173"/>
      <c r="AO23" s="48" t="s">
        <v>168</v>
      </c>
      <c r="AR23" s="48" t="s">
        <v>169</v>
      </c>
      <c r="AY23" s="48" t="s">
        <v>170</v>
      </c>
      <c r="BF23" s="48" t="s">
        <v>159</v>
      </c>
      <c r="BH23" s="48" t="s">
        <v>160</v>
      </c>
      <c r="BJ23" s="48" t="s">
        <v>162</v>
      </c>
      <c r="BM23" s="173" t="s">
        <v>164</v>
      </c>
      <c r="BN23" s="173"/>
      <c r="BO23" s="173"/>
      <c r="BP23" s="173"/>
      <c r="BQ23" s="173"/>
      <c r="BR23" s="173"/>
      <c r="BS23" s="173"/>
      <c r="BT23" s="173"/>
      <c r="BU23" s="173"/>
      <c r="BV23" s="173"/>
      <c r="BW23" s="173"/>
      <c r="BX23" s="173"/>
      <c r="BY23" s="48" t="s">
        <v>168</v>
      </c>
      <c r="CB23" s="48" t="s">
        <v>169</v>
      </c>
      <c r="CI23" s="48" t="s">
        <v>170</v>
      </c>
      <c r="CO23" s="53" t="s">
        <v>571</v>
      </c>
      <c r="DC23" s="53" t="s">
        <v>572</v>
      </c>
      <c r="DP23" s="35"/>
    </row>
    <row r="24" ht="15.75" customHeight="1">
      <c r="A24" s="35"/>
      <c r="B24" s="213" t="s">
        <v>573</v>
      </c>
      <c r="C24" s="19"/>
      <c r="D24" s="19"/>
      <c r="E24" s="21"/>
      <c r="F24" s="213">
        <f>IF(F4="",0, SWITCH(F4,"Magus",VLOOKUP(Level,Data!E27:P46,9), "Summoner",VLOOKUP(Level,Data!E27:P46,9), "Sorcerer",VLOOKUP(Level,Data!E50:P69,9), "Psychic",VLOOKUP(Level,Data!E73:DP92,9), "Basic Spellcaster",VLOOKUP(Level,Data!R27:AC46,9),"Expert Spellcaster",VLOOKUP(Level,Data!R50:AC69,9), "Master Spellcaster",VLOOKUP(Level,Data!R73:AC92,9),VLOOKUP(Level,Data!E4:P23,9)))</f>
        <v>0</v>
      </c>
      <c r="G24" s="21"/>
      <c r="H24" s="213">
        <f>SUM(AK136,AK142,BX136,BX142)</f>
        <v>0</v>
      </c>
      <c r="I24" s="21"/>
      <c r="J24" s="35"/>
      <c r="U24" s="35"/>
      <c r="V24" s="179" t="str">
        <f>IF(AC24="","",$S$4)</f>
        <v/>
      </c>
      <c r="X24" s="179" t="str">
        <f>IF(AC24="","",VLOOKUP(AC24,'Spell Database'!$A$2:$W$1214,5,FALSE))</f>
        <v/>
      </c>
      <c r="Z24" s="181" t="str">
        <f>IF(AC24="","",VLOOKUP(AC24,'Spell Database'!$A$2:$W$1214,6,FALSE))</f>
        <v/>
      </c>
      <c r="AA24" s="32"/>
      <c r="AC24" s="184"/>
      <c r="AD24" s="19"/>
      <c r="AE24" s="19"/>
      <c r="AF24" s="19"/>
      <c r="AG24" s="19"/>
      <c r="AH24" s="19"/>
      <c r="AI24" s="19"/>
      <c r="AJ24" s="19"/>
      <c r="AK24" s="19"/>
      <c r="AL24" s="19"/>
      <c r="AM24" s="19"/>
      <c r="AN24" s="19"/>
      <c r="AO24" s="159" t="str">
        <f>IF(AC24="","",VLOOKUP(AC24,'Spell Database'!$A$2:$W$1214,8,FALSE))</f>
        <v/>
      </c>
      <c r="AP24" s="29"/>
      <c r="AQ24" s="32"/>
      <c r="AR24" s="191" t="str">
        <f>IF(AC24="","",VLOOKUP(AC24,'Spell Database'!$A$2:$W$1214,9,FALSE))</f>
        <v/>
      </c>
      <c r="AS24" s="29"/>
      <c r="AT24" s="29"/>
      <c r="AU24" s="29"/>
      <c r="AV24" s="29"/>
      <c r="AW24" s="29"/>
      <c r="AX24" s="29"/>
      <c r="AY24" s="159" t="str">
        <f>IF(AC24="","",VLOOKUP(AC24,'Spell Database'!$A$2:$W$1214,10,FALSE))</f>
        <v/>
      </c>
      <c r="AZ24" s="29"/>
      <c r="BA24" s="29"/>
      <c r="BB24" s="29"/>
      <c r="BC24" s="32"/>
      <c r="BF24" s="179" t="str">
        <f>IF(BM24="","",$S$4)</f>
        <v/>
      </c>
      <c r="BH24" s="179" t="str">
        <f>IF(BM24="","",VLOOKUP(BM24,'Spell Database'!$A$2:$W$1214,5,FALSE))</f>
        <v/>
      </c>
      <c r="BJ24" s="181" t="str">
        <f>IF(BM24="","",VLOOKUP(BM24,'Spell Database'!$A$2:$W$1214,6,FALSE))</f>
        <v/>
      </c>
      <c r="BK24" s="32"/>
      <c r="BM24" s="184"/>
      <c r="BN24" s="19"/>
      <c r="BO24" s="19"/>
      <c r="BP24" s="19"/>
      <c r="BQ24" s="19"/>
      <c r="BR24" s="19"/>
      <c r="BS24" s="19"/>
      <c r="BT24" s="19"/>
      <c r="BU24" s="19"/>
      <c r="BV24" s="19"/>
      <c r="BW24" s="19"/>
      <c r="BX24" s="19"/>
      <c r="BY24" s="159" t="str">
        <f>IF(BM24="","",VLOOKUP(BM24,'Spell Database'!$A$2:$W$1214,8,FALSE))</f>
        <v/>
      </c>
      <c r="BZ24" s="29"/>
      <c r="CA24" s="32"/>
      <c r="CB24" s="191" t="str">
        <f>IF(BM24="","",VLOOKUP(BM24,'Spell Database'!$A$2:$W$1214,9,FALSE))</f>
        <v/>
      </c>
      <c r="CC24" s="29"/>
      <c r="CD24" s="29"/>
      <c r="CE24" s="29"/>
      <c r="CF24" s="29"/>
      <c r="CG24" s="29"/>
      <c r="CH24" s="29"/>
      <c r="CI24" s="159" t="str">
        <f>IF(BM24="","",VLOOKUP(BM24,'Spell Database'!$A$2:$W$1214,10,FALSE))</f>
        <v/>
      </c>
      <c r="CJ24" s="29"/>
      <c r="CK24" s="29"/>
      <c r="CL24" s="29"/>
      <c r="CM24" s="32"/>
      <c r="CO24" s="198"/>
      <c r="CP24" s="199"/>
      <c r="CQ24" s="199"/>
      <c r="CR24" s="199"/>
      <c r="CS24" s="199"/>
      <c r="CT24" s="199"/>
      <c r="CU24" s="199"/>
      <c r="CV24" s="199"/>
      <c r="CW24" s="199"/>
      <c r="CX24" s="199"/>
      <c r="CY24" s="199"/>
      <c r="CZ24" s="199"/>
      <c r="DA24" s="200"/>
      <c r="DC24" s="198"/>
      <c r="DD24" s="199"/>
      <c r="DE24" s="199"/>
      <c r="DF24" s="199"/>
      <c r="DG24" s="199"/>
      <c r="DH24" s="199"/>
      <c r="DI24" s="199"/>
      <c r="DJ24" s="199"/>
      <c r="DK24" s="199"/>
      <c r="DL24" s="199"/>
      <c r="DM24" s="199"/>
      <c r="DN24" s="199"/>
      <c r="DO24" s="200"/>
      <c r="DP24" s="34"/>
    </row>
    <row r="25" ht="9.75" customHeight="1">
      <c r="A25" s="35"/>
      <c r="B25" s="40"/>
      <c r="E25" s="41"/>
      <c r="F25" s="40"/>
      <c r="G25" s="41"/>
      <c r="H25" s="40"/>
      <c r="I25" s="41"/>
      <c r="J25" s="35"/>
      <c r="U25" s="35"/>
      <c r="V25" s="48" t="s">
        <v>189</v>
      </c>
      <c r="X25" s="48" t="s">
        <v>190</v>
      </c>
      <c r="Y25" s="53"/>
      <c r="Z25" s="340" t="s">
        <v>191</v>
      </c>
      <c r="AB25" s="53"/>
      <c r="AC25" s="208" t="str">
        <f>IF(AC24="","",VLOOKUP(AC24,'Spell Database'!$A$2:$V$1214, (IFs(V24=1,"13", V24=2,"14", V24=3,"15", V24=4,"16", V24=5,"17", V24=6,"18", V24=7,"19", V24=8,"20", V24=9,"21", V24=10,"22")),FALSE))</f>
        <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21"/>
      <c r="BD25" s="35"/>
      <c r="BE25" s="35"/>
      <c r="BF25" s="48" t="s">
        <v>189</v>
      </c>
      <c r="BH25" s="48" t="s">
        <v>190</v>
      </c>
      <c r="BI25" s="53"/>
      <c r="BJ25" s="340" t="s">
        <v>191</v>
      </c>
      <c r="BL25" s="53"/>
      <c r="BM25" s="208" t="str">
        <f>IF(BM24="","",VLOOKUP(BM24,'Spell Database'!$A$2:$V$1214, (IFs(BF24=1,"13", BF24=2,"14", BF24=3,"15", BF24=4,"16", BF24=5,"17", BF24=6,"18", BF24=7,"19", BF24=8,"20", BF24=9,"21", BF24=10,"22")),FALSE))</f>
        <v/>
      </c>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21"/>
      <c r="CO25" s="210"/>
      <c r="DA25" s="211"/>
      <c r="DC25" s="210"/>
      <c r="DO25" s="211"/>
      <c r="DP25" s="35"/>
    </row>
    <row r="26" ht="15.75" customHeight="1">
      <c r="A26" s="35"/>
      <c r="B26" s="213" t="s">
        <v>701</v>
      </c>
      <c r="C26" s="19"/>
      <c r="D26" s="19"/>
      <c r="E26" s="21"/>
      <c r="F26" s="213">
        <f>IF(F4="",0, SWITCH(F4,"Magus",VLOOKUP(Level,Data!E27:P46,10), "Summoner",VLOOKUP(Level,Data!E27:P46,10), "Sorcerer",VLOOKUP(Level,Data!E50:P69,10), "Psychic",VLOOKUP(Level,Data!E73:DP92,10), "Basic Spellcaster",VLOOKUP(Level,Data!R27:AC46,10),"Expert Spellcaster",VLOOKUP(Level,Data!R50:AC69,10), "Master Spellcaster",VLOOKUP(Level,Data!R73:AC92,10),VLOOKUP(Level,Data!E4:P23,10)))</f>
        <v>0</v>
      </c>
      <c r="G26" s="21"/>
      <c r="H26" s="213">
        <f>SUM(AK150,AK156,BX150,BX156)</f>
        <v>0</v>
      </c>
      <c r="I26" s="21"/>
      <c r="J26" s="35"/>
      <c r="U26" s="35"/>
      <c r="V26" s="214" t="str">
        <f>IF(AC24="","",VLOOKUP(AC24,'Spell Database'!$A$2:$W$1214,12,FALSE))</f>
        <v/>
      </c>
      <c r="X26" s="179" t="str">
        <f>IF(AC24="","",VLOOKUP(AC24,'Spell Database'!$A$2:$W$1214,3,FALSE))</f>
        <v/>
      </c>
      <c r="Z26" s="181" t="str">
        <f>IF(AC24="","",VLOOKUP(AC24,'Spell Database'!$A$2:$W$1214,7,FALSE))</f>
        <v/>
      </c>
      <c r="AA26" s="32"/>
      <c r="AC26" s="40"/>
      <c r="BC26" s="41"/>
      <c r="BD26" s="35"/>
      <c r="BE26" s="35"/>
      <c r="BF26" s="214" t="str">
        <f>IF(BM24="","",VLOOKUP(BM24,'Spell Database'!$A$2:$W$1214,12,FALSE))</f>
        <v/>
      </c>
      <c r="BH26" s="179" t="str">
        <f>IF(BM24="","",VLOOKUP(BM24,'Spell Database'!$A$2:$W$1214,3,FALSE))</f>
        <v/>
      </c>
      <c r="BJ26" s="181" t="str">
        <f>IF(BM24="","",VLOOKUP(BM24,'Spell Database'!$A$2:$W$1214,7,FALSE))</f>
        <v/>
      </c>
      <c r="BK26" s="32"/>
      <c r="BM26" s="40"/>
      <c r="CM26" s="41"/>
      <c r="CO26" s="210"/>
      <c r="DA26" s="211"/>
      <c r="DC26" s="210"/>
      <c r="DO26" s="211"/>
      <c r="DP26" s="34"/>
    </row>
    <row r="27" ht="9.75" customHeight="1">
      <c r="A27" s="35"/>
      <c r="B27" s="40"/>
      <c r="E27" s="41"/>
      <c r="F27" s="40"/>
      <c r="G27" s="41"/>
      <c r="H27" s="40"/>
      <c r="I27" s="41"/>
      <c r="J27" s="35"/>
      <c r="K27" s="35"/>
      <c r="L27" s="35"/>
      <c r="M27" s="35"/>
      <c r="N27" s="35"/>
      <c r="O27" s="35"/>
      <c r="P27" s="35"/>
      <c r="Q27" s="35"/>
      <c r="R27" s="35"/>
      <c r="S27" s="35"/>
      <c r="T27" s="35"/>
      <c r="U27" s="35"/>
      <c r="V27" s="48" t="s">
        <v>206</v>
      </c>
      <c r="Z27" s="48" t="s">
        <v>207</v>
      </c>
      <c r="AC27" s="40"/>
      <c r="BC27" s="41"/>
      <c r="BD27" s="35"/>
      <c r="BE27" s="35"/>
      <c r="BF27" s="48" t="s">
        <v>206</v>
      </c>
      <c r="BJ27" s="48" t="s">
        <v>207</v>
      </c>
      <c r="BM27" s="40"/>
      <c r="CM27" s="41"/>
      <c r="CO27" s="210"/>
      <c r="DA27" s="211"/>
      <c r="DC27" s="210"/>
      <c r="DO27" s="211"/>
      <c r="DP27" s="35"/>
    </row>
    <row r="28" ht="15.75" customHeight="1">
      <c r="A28" s="35"/>
      <c r="B28" s="213" t="s">
        <v>788</v>
      </c>
      <c r="C28" s="19"/>
      <c r="D28" s="19"/>
      <c r="E28" s="21"/>
      <c r="F28" s="213">
        <f>IF(F4="",0, SWITCH(F4,"Magus",VLOOKUP(Level,Data!E27:P46,11), "Summoner",VLOOKUP(Level,Data!E27:P46,11), "Sorcerer",VLOOKUP(Level,Data!E50:P69,11), "Psychic",VLOOKUP(Level,Data!E73:DP92,11), "Basic Spellcaster",VLOOKUP(Level,Data!R27:AC46,11),"Expert Spellcaster",VLOOKUP(Level,Data!R50:AC69,11), "Master Spellcaster",VLOOKUP(Level,Data!R73:AC92,11),VLOOKUP(Level,Data!E4:P23,11)))</f>
        <v>0</v>
      </c>
      <c r="G28" s="21"/>
      <c r="H28" s="213">
        <f>SUM(AK164,AK170,BX164,BX170)</f>
        <v>0</v>
      </c>
      <c r="I28" s="21"/>
      <c r="J28" s="35"/>
      <c r="K28" s="35"/>
      <c r="L28" s="35"/>
      <c r="M28" s="35"/>
      <c r="N28" s="35"/>
      <c r="O28" s="35"/>
      <c r="P28" s="35"/>
      <c r="Q28" s="35"/>
      <c r="R28" s="35"/>
      <c r="S28" s="35"/>
      <c r="T28" s="35"/>
      <c r="U28" s="35"/>
      <c r="V28" s="236" t="str">
        <f>IF(AC24="","",VLOOKUP(AC24,'Spell Database'!$A$2:$W$1214,11,FALSE))</f>
        <v/>
      </c>
      <c r="W28" s="29"/>
      <c r="X28" s="32"/>
      <c r="Z28" s="159" t="str">
        <f>IF(AC24="","",VLOOKUP(AC24,'Spell Database'!$A$2:$W$1214,4,FALSE))</f>
        <v/>
      </c>
      <c r="AA28" s="32"/>
      <c r="AC28" s="42"/>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4"/>
      <c r="BD28" s="35"/>
      <c r="BE28" s="35"/>
      <c r="BF28" s="236" t="str">
        <f>IF(BM24="","",VLOOKUP(BM24,'Spell Database'!$A$2:$W$1214,11,FALSE))</f>
        <v/>
      </c>
      <c r="BG28" s="29"/>
      <c r="BH28" s="32"/>
      <c r="BJ28" s="159" t="str">
        <f>IF(BM24="","",VLOOKUP(BM24,'Spell Database'!$A$2:$W$1214,4,FALSE))</f>
        <v/>
      </c>
      <c r="BK28" s="32"/>
      <c r="BM28" s="42"/>
      <c r="BN28" s="43"/>
      <c r="BO28" s="43"/>
      <c r="BP28" s="43"/>
      <c r="BQ28" s="43"/>
      <c r="BR28" s="43"/>
      <c r="BS28" s="43"/>
      <c r="BT28" s="43"/>
      <c r="BU28" s="43"/>
      <c r="BV28" s="43"/>
      <c r="BW28" s="43"/>
      <c r="BX28" s="43"/>
      <c r="BY28" s="43"/>
      <c r="BZ28" s="43"/>
      <c r="CA28" s="43"/>
      <c r="CB28" s="43"/>
      <c r="CC28" s="43"/>
      <c r="CD28" s="43"/>
      <c r="CE28" s="43"/>
      <c r="CF28" s="43"/>
      <c r="CG28" s="43"/>
      <c r="CH28" s="43"/>
      <c r="CI28" s="43"/>
      <c r="CJ28" s="43"/>
      <c r="CK28" s="43"/>
      <c r="CL28" s="43"/>
      <c r="CM28" s="44"/>
      <c r="CO28" s="221"/>
      <c r="CP28" s="222"/>
      <c r="CQ28" s="222"/>
      <c r="CR28" s="222"/>
      <c r="CS28" s="222"/>
      <c r="CT28" s="222"/>
      <c r="CU28" s="222"/>
      <c r="CV28" s="222"/>
      <c r="CW28" s="222"/>
      <c r="CX28" s="222"/>
      <c r="CY28" s="222"/>
      <c r="CZ28" s="222"/>
      <c r="DA28" s="224"/>
      <c r="DC28" s="221"/>
      <c r="DD28" s="222"/>
      <c r="DE28" s="222"/>
      <c r="DF28" s="222"/>
      <c r="DG28" s="222"/>
      <c r="DH28" s="222"/>
      <c r="DI28" s="222"/>
      <c r="DJ28" s="222"/>
      <c r="DK28" s="222"/>
      <c r="DL28" s="222"/>
      <c r="DM28" s="222"/>
      <c r="DN28" s="222"/>
      <c r="DO28" s="224"/>
      <c r="DP28" s="34"/>
    </row>
    <row r="29" ht="9.75" customHeight="1">
      <c r="A29" s="35"/>
      <c r="B29" s="40"/>
      <c r="E29" s="41"/>
      <c r="F29" s="40"/>
      <c r="G29" s="41"/>
      <c r="H29" s="40"/>
      <c r="I29" s="41"/>
      <c r="J29" s="35"/>
      <c r="K29" s="35"/>
      <c r="L29" s="35"/>
      <c r="M29" s="35"/>
      <c r="N29" s="35"/>
      <c r="O29" s="35"/>
      <c r="P29" s="35"/>
      <c r="Q29" s="35"/>
      <c r="R29" s="35"/>
      <c r="S29" s="35"/>
      <c r="T29" s="35"/>
      <c r="U29" s="35"/>
      <c r="V29" s="48" t="s">
        <v>159</v>
      </c>
      <c r="X29" s="48" t="s">
        <v>160</v>
      </c>
      <c r="Z29" s="48" t="s">
        <v>162</v>
      </c>
      <c r="AC29" s="173" t="s">
        <v>164</v>
      </c>
      <c r="AD29" s="173"/>
      <c r="AE29" s="173"/>
      <c r="AF29" s="173"/>
      <c r="AG29" s="173"/>
      <c r="AH29" s="173"/>
      <c r="AI29" s="173"/>
      <c r="AJ29" s="173"/>
      <c r="AK29" s="173"/>
      <c r="AL29" s="173"/>
      <c r="AM29" s="173"/>
      <c r="AN29" s="173"/>
      <c r="AO29" s="48" t="s">
        <v>168</v>
      </c>
      <c r="AR29" s="48" t="s">
        <v>169</v>
      </c>
      <c r="AY29" s="48" t="s">
        <v>170</v>
      </c>
      <c r="BD29" s="35"/>
      <c r="BE29" s="35"/>
      <c r="BF29" s="48" t="s">
        <v>159</v>
      </c>
      <c r="BH29" s="48" t="s">
        <v>160</v>
      </c>
      <c r="BJ29" s="48" t="s">
        <v>162</v>
      </c>
      <c r="BM29" s="173" t="s">
        <v>164</v>
      </c>
      <c r="BN29" s="173"/>
      <c r="BO29" s="173"/>
      <c r="BP29" s="173"/>
      <c r="BQ29" s="173"/>
      <c r="BR29" s="173"/>
      <c r="BS29" s="173"/>
      <c r="BT29" s="173"/>
      <c r="BU29" s="173"/>
      <c r="BV29" s="173"/>
      <c r="BW29" s="173"/>
      <c r="BX29" s="173"/>
      <c r="BY29" s="48" t="s">
        <v>168</v>
      </c>
      <c r="CB29" s="48" t="s">
        <v>169</v>
      </c>
      <c r="CI29" s="48" t="s">
        <v>170</v>
      </c>
      <c r="CO29" s="53" t="s">
        <v>941</v>
      </c>
      <c r="DP29" s="35"/>
    </row>
    <row r="30" ht="15.75" customHeight="1">
      <c r="A30" s="35"/>
      <c r="B30" s="213" t="s">
        <v>949</v>
      </c>
      <c r="C30" s="19"/>
      <c r="D30" s="19"/>
      <c r="E30" s="21"/>
      <c r="F30" s="213">
        <f>IF(F4="",0, SWITCH(F4,"Magus",VLOOKUP(Level,Data!E27:P46,12), "Summoner",VLOOKUP(Level,Data!E27:P46,12), "Sorcerer",VLOOKUP(Level,Data!E50:P69,12), "Psychic",VLOOKUP(Level,Data!E73:DP92,12), "Basic Spellcaster",VLOOKUP(Level,Data!R27:AC46,12),"Expert Spellcaster",VLOOKUP(Level,Data!R50:AC69,12), "Master Spellcaster",VLOOKUP(Level,Data!R73:AC92,12),VLOOKUP(Level,Data!E4:P23,12)))</f>
        <v>0</v>
      </c>
      <c r="G30" s="21"/>
      <c r="H30" s="213">
        <f>SUM(AK178,BX178)</f>
        <v>0</v>
      </c>
      <c r="I30" s="21"/>
      <c r="J30" s="35"/>
      <c r="K30" s="35"/>
      <c r="L30" s="35"/>
      <c r="M30" s="35"/>
      <c r="N30" s="35"/>
      <c r="O30" s="35"/>
      <c r="P30" s="35"/>
      <c r="Q30" s="35"/>
      <c r="R30" s="35"/>
      <c r="S30" s="35"/>
      <c r="T30" s="35"/>
      <c r="U30" s="35"/>
      <c r="V30" s="179" t="str">
        <f>IF(AC30="","",$S$4)</f>
        <v/>
      </c>
      <c r="X30" s="179" t="str">
        <f>IF(AC30="","",VLOOKUP(AC30,'Spell Database'!$A$2:$W$1214,5,FALSE))</f>
        <v/>
      </c>
      <c r="Z30" s="181" t="str">
        <f>IF(AC30="","",VLOOKUP(AC30,'Spell Database'!$A$2:$W$1214,6,FALSE))</f>
        <v/>
      </c>
      <c r="AA30" s="32"/>
      <c r="AC30" s="184"/>
      <c r="AD30" s="19"/>
      <c r="AE30" s="19"/>
      <c r="AF30" s="19"/>
      <c r="AG30" s="19"/>
      <c r="AH30" s="19"/>
      <c r="AI30" s="19"/>
      <c r="AJ30" s="19"/>
      <c r="AK30" s="19"/>
      <c r="AL30" s="19"/>
      <c r="AM30" s="19"/>
      <c r="AN30" s="19"/>
      <c r="AO30" s="159" t="str">
        <f>IF(AC30="","",VLOOKUP(AC30,'Spell Database'!$A$2:$W$1214,8,FALSE))</f>
        <v/>
      </c>
      <c r="AP30" s="29"/>
      <c r="AQ30" s="32"/>
      <c r="AR30" s="191" t="str">
        <f>IF(AC30="","",VLOOKUP(AC30,'Spell Database'!$A$2:$W$1214,9,FALSE))</f>
        <v/>
      </c>
      <c r="AS30" s="29"/>
      <c r="AT30" s="29"/>
      <c r="AU30" s="29"/>
      <c r="AV30" s="29"/>
      <c r="AW30" s="29"/>
      <c r="AX30" s="29"/>
      <c r="AY30" s="159" t="str">
        <f>IF(AC30="","",VLOOKUP(AC30,'Spell Database'!$A$2:$W$1214,10,FALSE))</f>
        <v/>
      </c>
      <c r="AZ30" s="29"/>
      <c r="BA30" s="29"/>
      <c r="BB30" s="29"/>
      <c r="BC30" s="32"/>
      <c r="BD30" s="35"/>
      <c r="BE30" s="35"/>
      <c r="BF30" s="179" t="str">
        <f>IF(BM30="","",$S$4)</f>
        <v/>
      </c>
      <c r="BH30" s="179" t="str">
        <f>IF(BM30="","",VLOOKUP(BM30,'Spell Database'!$A$2:$W$1214,5,FALSE))</f>
        <v/>
      </c>
      <c r="BJ30" s="181" t="str">
        <f>IF(BM30="","",VLOOKUP(BM30,'Spell Database'!$A$2:$W$1214,6,FALSE))</f>
        <v/>
      </c>
      <c r="BK30" s="32"/>
      <c r="BM30" s="184"/>
      <c r="BN30" s="19"/>
      <c r="BO30" s="19"/>
      <c r="BP30" s="19"/>
      <c r="BQ30" s="19"/>
      <c r="BR30" s="19"/>
      <c r="BS30" s="19"/>
      <c r="BT30" s="19"/>
      <c r="BU30" s="19"/>
      <c r="BV30" s="19"/>
      <c r="BW30" s="19"/>
      <c r="BX30" s="19"/>
      <c r="BY30" s="159" t="str">
        <f>IF(BM30="","",VLOOKUP(BM30,'Spell Database'!$A$2:$W$1214,8,FALSE))</f>
        <v/>
      </c>
      <c r="BZ30" s="29"/>
      <c r="CA30" s="32"/>
      <c r="CB30" s="191" t="str">
        <f>IF(BM30="","",VLOOKUP(BM30,'Spell Database'!$A$2:$W$1214,9,FALSE))</f>
        <v/>
      </c>
      <c r="CC30" s="29"/>
      <c r="CD30" s="29"/>
      <c r="CE30" s="29"/>
      <c r="CF30" s="29"/>
      <c r="CG30" s="29"/>
      <c r="CH30" s="29"/>
      <c r="CI30" s="159" t="str">
        <f>IF(BM30="","",VLOOKUP(BM30,'Spell Database'!$A$2:$W$1214,10,FALSE))</f>
        <v/>
      </c>
      <c r="CJ30" s="29"/>
      <c r="CK30" s="29"/>
      <c r="CL30" s="29"/>
      <c r="CM30" s="32"/>
      <c r="CO30" s="365"/>
      <c r="CP30" s="199"/>
      <c r="CQ30" s="199"/>
      <c r="CR30" s="199"/>
      <c r="CS30" s="199"/>
      <c r="CT30" s="199"/>
      <c r="CU30" s="199"/>
      <c r="CV30" s="199"/>
      <c r="CW30" s="199"/>
      <c r="CX30" s="199"/>
      <c r="CY30" s="199"/>
      <c r="CZ30" s="199"/>
      <c r="DA30" s="199"/>
      <c r="DB30" s="199"/>
      <c r="DC30" s="199"/>
      <c r="DD30" s="199"/>
      <c r="DE30" s="199"/>
      <c r="DF30" s="199"/>
      <c r="DG30" s="199"/>
      <c r="DH30" s="199"/>
      <c r="DI30" s="199"/>
      <c r="DJ30" s="199"/>
      <c r="DK30" s="199"/>
      <c r="DL30" s="199"/>
      <c r="DM30" s="199"/>
      <c r="DN30" s="199"/>
      <c r="DO30" s="200"/>
      <c r="DP30" s="34"/>
    </row>
    <row r="31" ht="9.75" customHeight="1">
      <c r="A31" s="35"/>
      <c r="B31" s="42"/>
      <c r="C31" s="43"/>
      <c r="D31" s="43"/>
      <c r="E31" s="44"/>
      <c r="F31" s="42"/>
      <c r="G31" s="44"/>
      <c r="H31" s="42"/>
      <c r="I31" s="44"/>
      <c r="J31" s="35"/>
      <c r="K31" s="35"/>
      <c r="L31" s="35"/>
      <c r="M31" s="35"/>
      <c r="N31" s="35"/>
      <c r="O31" s="35"/>
      <c r="P31" s="35"/>
      <c r="Q31" s="35"/>
      <c r="R31" s="35"/>
      <c r="S31" s="35"/>
      <c r="T31" s="35"/>
      <c r="U31" s="35"/>
      <c r="V31" s="48" t="s">
        <v>189</v>
      </c>
      <c r="X31" s="48" t="s">
        <v>190</v>
      </c>
      <c r="Y31" s="53"/>
      <c r="Z31" s="340" t="s">
        <v>191</v>
      </c>
      <c r="AB31" s="53"/>
      <c r="AC31" s="208" t="str">
        <f>IF(AC30="","",VLOOKUP(AC30,'Spell Database'!$A$2:$V$1214, (IFs(V30=1,"13", V30=2,"14", V30=3,"15", V30=4,"16", V30=5,"17", V30=6,"18", V30=7,"19", V30=8,"20", V30=9,"21", V30=10,"22")),FALSE))</f>
        <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21"/>
      <c r="BD31" s="35"/>
      <c r="BE31" s="35"/>
      <c r="BF31" s="48" t="s">
        <v>189</v>
      </c>
      <c r="BH31" s="48" t="s">
        <v>190</v>
      </c>
      <c r="BI31" s="53"/>
      <c r="BJ31" s="340" t="s">
        <v>191</v>
      </c>
      <c r="BL31" s="53"/>
      <c r="BM31" s="208" t="str">
        <f>IF(BM30="","",VLOOKUP(BM30,'Spell Database'!$A$2:$V$1214, (IFs(BF30=1,"13", BF30=2,"14", BF30=3,"15", BF30=4,"16", BF30=5,"17", BF30=6,"18", BF30=7,"19", BF30=8,"20", BF30=9,"21", BF30=10,"22")),FALSE))</f>
        <v/>
      </c>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21"/>
      <c r="CO31" s="210"/>
      <c r="DO31" s="211"/>
      <c r="DP31" s="35"/>
    </row>
    <row r="32" ht="15.75" customHeight="1">
      <c r="A32" s="35"/>
      <c r="E32" s="370"/>
      <c r="M32" s="35"/>
      <c r="N32" s="35"/>
      <c r="O32" s="35"/>
      <c r="P32" s="35"/>
      <c r="Q32" s="35"/>
      <c r="R32" s="35"/>
      <c r="S32" s="35"/>
      <c r="T32" s="35"/>
      <c r="U32" s="35"/>
      <c r="V32" s="214" t="str">
        <f>IF(AC30="","",VLOOKUP(AC30,'Spell Database'!$A$2:$W$1214,12,FALSE))</f>
        <v/>
      </c>
      <c r="X32" s="179" t="str">
        <f>IF(AC30="","",VLOOKUP(AC30,'Spell Database'!$A$2:$W$1214,3,FALSE))</f>
        <v/>
      </c>
      <c r="Z32" s="181" t="str">
        <f>IF(AC30="","",VLOOKUP(AC30,'Spell Database'!$A$2:$W$1214,7,FALSE))</f>
        <v/>
      </c>
      <c r="AA32" s="32"/>
      <c r="AC32" s="40"/>
      <c r="BC32" s="41"/>
      <c r="BD32" s="35"/>
      <c r="BE32" s="35"/>
      <c r="BF32" s="214" t="str">
        <f>IF(BM30="","",VLOOKUP(BM30,'Spell Database'!$A$2:$W$1214,12,FALSE))</f>
        <v/>
      </c>
      <c r="BH32" s="179" t="str">
        <f>IF(BM30="","",VLOOKUP(BM30,'Spell Database'!$A$2:$W$1214,3,FALSE))</f>
        <v/>
      </c>
      <c r="BJ32" s="181" t="str">
        <f>IF(BM30="","",VLOOKUP(BM30,'Spell Database'!$A$2:$W$1214,7,FALSE))</f>
        <v/>
      </c>
      <c r="BK32" s="32"/>
      <c r="BM32" s="40"/>
      <c r="CM32" s="41"/>
      <c r="CO32" s="210"/>
      <c r="DO32" s="211"/>
      <c r="DP32" s="34"/>
    </row>
    <row r="33" ht="9.75" customHeight="1">
      <c r="A33" s="35"/>
      <c r="D33" s="379" t="s">
        <v>1224</v>
      </c>
      <c r="H33" s="27" t="b">
        <v>0</v>
      </c>
      <c r="N33" s="35"/>
      <c r="O33" s="35"/>
      <c r="P33" s="35"/>
      <c r="Q33" s="35"/>
      <c r="R33" s="35"/>
      <c r="S33" s="35"/>
      <c r="T33" s="35"/>
      <c r="U33" s="35"/>
      <c r="V33" s="48" t="s">
        <v>206</v>
      </c>
      <c r="Z33" s="48" t="s">
        <v>207</v>
      </c>
      <c r="AC33" s="40"/>
      <c r="BC33" s="41"/>
      <c r="BD33" s="35"/>
      <c r="BE33" s="35"/>
      <c r="BF33" s="48" t="s">
        <v>206</v>
      </c>
      <c r="BJ33" s="48" t="s">
        <v>207</v>
      </c>
      <c r="BM33" s="40"/>
      <c r="CM33" s="41"/>
      <c r="CO33" s="210"/>
      <c r="DO33" s="211"/>
      <c r="DP33" s="35"/>
    </row>
    <row r="34" ht="15.75" customHeight="1">
      <c r="A34" s="35"/>
      <c r="B34" s="35"/>
      <c r="N34" s="35"/>
      <c r="O34" s="35"/>
      <c r="P34" s="35"/>
      <c r="Q34" s="35"/>
      <c r="R34" s="35"/>
      <c r="S34" s="35"/>
      <c r="T34" s="35"/>
      <c r="U34" s="35"/>
      <c r="V34" s="236" t="str">
        <f>IF(AC30="","",VLOOKUP(AC30,'Spell Database'!$A$2:$W$1214,11,FALSE))</f>
        <v/>
      </c>
      <c r="W34" s="29"/>
      <c r="X34" s="32"/>
      <c r="Z34" s="159" t="str">
        <f>IF(AC30="","",VLOOKUP(AC30,'Spell Database'!$A$2:$W$1214,4,FALSE))</f>
        <v/>
      </c>
      <c r="AA34" s="32"/>
      <c r="AC34" s="42"/>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4"/>
      <c r="BD34" s="35"/>
      <c r="BE34" s="35"/>
      <c r="BF34" s="236" t="str">
        <f>IF(BM30="","",VLOOKUP(BM30,'Spell Database'!$A$2:$W$1214,11,FALSE))</f>
        <v/>
      </c>
      <c r="BG34" s="29"/>
      <c r="BH34" s="32"/>
      <c r="BJ34" s="159" t="str">
        <f>IF(BM30="","",VLOOKUP(BM30,'Spell Database'!$A$2:$W$1214,4,FALSE))</f>
        <v/>
      </c>
      <c r="BK34" s="32"/>
      <c r="BM34" s="42"/>
      <c r="BN34" s="43"/>
      <c r="BO34" s="43"/>
      <c r="BP34" s="43"/>
      <c r="BQ34" s="43"/>
      <c r="BR34" s="43"/>
      <c r="BS34" s="43"/>
      <c r="BT34" s="43"/>
      <c r="BU34" s="43"/>
      <c r="BV34" s="43"/>
      <c r="BW34" s="43"/>
      <c r="BX34" s="43"/>
      <c r="BY34" s="43"/>
      <c r="BZ34" s="43"/>
      <c r="CA34" s="43"/>
      <c r="CB34" s="43"/>
      <c r="CC34" s="43"/>
      <c r="CD34" s="43"/>
      <c r="CE34" s="43"/>
      <c r="CF34" s="43"/>
      <c r="CG34" s="43"/>
      <c r="CH34" s="43"/>
      <c r="CI34" s="43"/>
      <c r="CJ34" s="43"/>
      <c r="CK34" s="43"/>
      <c r="CL34" s="43"/>
      <c r="CM34" s="44"/>
      <c r="CN34" s="34"/>
      <c r="CO34" s="221"/>
      <c r="CP34" s="222"/>
      <c r="CQ34" s="222"/>
      <c r="CR34" s="222"/>
      <c r="CS34" s="222"/>
      <c r="CT34" s="222"/>
      <c r="CU34" s="222"/>
      <c r="CV34" s="222"/>
      <c r="CW34" s="222"/>
      <c r="CX34" s="222"/>
      <c r="CY34" s="222"/>
      <c r="CZ34" s="222"/>
      <c r="DA34" s="222"/>
      <c r="DB34" s="222"/>
      <c r="DC34" s="222"/>
      <c r="DD34" s="222"/>
      <c r="DE34" s="222"/>
      <c r="DF34" s="222"/>
      <c r="DG34" s="222"/>
      <c r="DH34" s="222"/>
      <c r="DI34" s="222"/>
      <c r="DJ34" s="222"/>
      <c r="DK34" s="222"/>
      <c r="DL34" s="222"/>
      <c r="DM34" s="222"/>
      <c r="DN34" s="222"/>
      <c r="DO34" s="224"/>
      <c r="DP34" s="34"/>
    </row>
    <row r="35" ht="9.75" customHeight="1">
      <c r="A35" s="35"/>
      <c r="B35" s="35"/>
      <c r="C35" s="35"/>
      <c r="D35" s="35"/>
      <c r="E35" s="35"/>
      <c r="F35" s="35"/>
      <c r="G35" s="35"/>
      <c r="H35" s="35" t="str">
        <f>IF(H33,true,"")</f>
        <v/>
      </c>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173"/>
      <c r="BK35" s="173"/>
      <c r="BM35" s="173"/>
      <c r="BN35" s="173"/>
      <c r="BP35" s="173"/>
      <c r="BQ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c r="CR35" s="35"/>
      <c r="CS35" s="35"/>
      <c r="CT35" s="35"/>
      <c r="CU35" s="35"/>
      <c r="CV35" s="35"/>
      <c r="CW35" s="35"/>
      <c r="CX35" s="35"/>
      <c r="CY35" s="35"/>
      <c r="CZ35" s="35"/>
      <c r="DA35" s="35"/>
      <c r="DB35" s="35"/>
      <c r="DC35" s="35"/>
      <c r="DD35" s="35"/>
      <c r="DE35" s="35"/>
      <c r="DF35" s="35"/>
      <c r="DG35" s="35"/>
      <c r="DH35" s="35"/>
      <c r="DI35" s="35"/>
      <c r="DJ35" s="35"/>
      <c r="DK35" s="35"/>
      <c r="DL35" s="35"/>
      <c r="DM35" s="35"/>
      <c r="DN35" s="35"/>
      <c r="DO35" s="35"/>
      <c r="DP35" s="35"/>
    </row>
    <row r="36" ht="15.75" customHeight="1">
      <c r="A36" s="35"/>
      <c r="B36" s="28" t="s">
        <v>1309</v>
      </c>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c r="BL36" s="29"/>
      <c r="BM36" s="29"/>
      <c r="BN36" s="29"/>
      <c r="BO36" s="29"/>
      <c r="BP36" s="29"/>
      <c r="BQ36" s="29"/>
      <c r="BR36" s="29"/>
      <c r="BS36" s="29"/>
      <c r="BT36" s="29"/>
      <c r="BU36" s="29"/>
      <c r="BV36" s="29"/>
      <c r="BW36" s="29"/>
      <c r="BX36" s="29"/>
      <c r="BY36" s="32"/>
      <c r="CB36" s="28" t="s">
        <v>1327</v>
      </c>
      <c r="CC36" s="29"/>
      <c r="CD36" s="29"/>
      <c r="CE36" s="29"/>
      <c r="CF36" s="29"/>
      <c r="CG36" s="29"/>
      <c r="CH36" s="29"/>
      <c r="CI36" s="29"/>
      <c r="CJ36" s="29"/>
      <c r="CK36" s="29"/>
      <c r="CL36" s="29"/>
      <c r="CM36" s="29"/>
      <c r="CN36" s="29"/>
      <c r="CO36" s="29"/>
      <c r="CP36" s="29"/>
      <c r="CQ36" s="29"/>
      <c r="CR36" s="29"/>
      <c r="CS36" s="29"/>
      <c r="CT36" s="29"/>
      <c r="CU36" s="29"/>
      <c r="CV36" s="29"/>
      <c r="CW36" s="29"/>
      <c r="CX36" s="29"/>
      <c r="CY36" s="29"/>
      <c r="CZ36" s="29"/>
      <c r="DA36" s="29"/>
      <c r="DB36" s="29"/>
      <c r="DC36" s="29"/>
      <c r="DD36" s="29"/>
      <c r="DE36" s="29"/>
      <c r="DF36" s="29"/>
      <c r="DG36" s="29"/>
      <c r="DH36" s="29"/>
      <c r="DI36" s="29"/>
      <c r="DJ36" s="29"/>
      <c r="DK36" s="29"/>
      <c r="DL36" s="29"/>
      <c r="DM36" s="29"/>
      <c r="DN36" s="29"/>
      <c r="DO36" s="32"/>
      <c r="DP36" s="34"/>
    </row>
    <row r="37" ht="9.75" customHeight="1">
      <c r="A37" s="33"/>
      <c r="B37" s="48" t="s">
        <v>159</v>
      </c>
      <c r="D37" s="48" t="s">
        <v>160</v>
      </c>
      <c r="F37" s="48" t="s">
        <v>162</v>
      </c>
      <c r="I37" s="173" t="s">
        <v>164</v>
      </c>
      <c r="J37" s="173"/>
      <c r="K37" s="173"/>
      <c r="L37" s="173"/>
      <c r="M37" s="173"/>
      <c r="N37" s="173"/>
      <c r="O37" s="173"/>
      <c r="P37" s="173"/>
      <c r="Q37" s="173"/>
      <c r="R37" s="173"/>
      <c r="S37" s="173"/>
      <c r="T37" s="173"/>
      <c r="U37" s="48" t="s">
        <v>168</v>
      </c>
      <c r="X37" s="48" t="s">
        <v>169</v>
      </c>
      <c r="AE37" s="48" t="s">
        <v>170</v>
      </c>
      <c r="AJ37" s="35"/>
      <c r="AK37" s="53" t="s">
        <v>1347</v>
      </c>
      <c r="AM37" s="35"/>
      <c r="AO37" s="48" t="s">
        <v>159</v>
      </c>
      <c r="AQ37" s="48" t="s">
        <v>160</v>
      </c>
      <c r="AS37" s="48" t="s">
        <v>162</v>
      </c>
      <c r="AV37" s="173" t="s">
        <v>164</v>
      </c>
      <c r="AW37" s="173"/>
      <c r="AX37" s="173"/>
      <c r="AY37" s="173"/>
      <c r="AZ37" s="173"/>
      <c r="BA37" s="173"/>
      <c r="BB37" s="173"/>
      <c r="BC37" s="173"/>
      <c r="BD37" s="173"/>
      <c r="BE37" s="173"/>
      <c r="BF37" s="173"/>
      <c r="BG37" s="173"/>
      <c r="BH37" s="48" t="s">
        <v>168</v>
      </c>
      <c r="BK37" s="48" t="s">
        <v>169</v>
      </c>
      <c r="BR37" s="48" t="s">
        <v>170</v>
      </c>
      <c r="BW37" s="35"/>
      <c r="BX37" s="53" t="s">
        <v>1347</v>
      </c>
      <c r="BZ37" s="35"/>
      <c r="CA37" s="35"/>
      <c r="CB37" s="48" t="s">
        <v>159</v>
      </c>
      <c r="CD37" s="48" t="s">
        <v>160</v>
      </c>
      <c r="CF37" s="48" t="s">
        <v>162</v>
      </c>
      <c r="CI37" s="173" t="s">
        <v>164</v>
      </c>
      <c r="CJ37" s="173"/>
      <c r="CK37" s="173"/>
      <c r="CL37" s="173"/>
      <c r="CM37" s="173"/>
      <c r="CN37" s="173"/>
      <c r="CO37" s="173"/>
      <c r="CP37" s="173"/>
      <c r="CQ37" s="173"/>
      <c r="CR37" s="173"/>
      <c r="CS37" s="48" t="s">
        <v>168</v>
      </c>
      <c r="CV37" s="48" t="s">
        <v>169</v>
      </c>
      <c r="DC37" s="48" t="s">
        <v>170</v>
      </c>
      <c r="DH37" s="173" t="s">
        <v>1357</v>
      </c>
      <c r="DJ37" s="35"/>
      <c r="DK37" s="53" t="s">
        <v>1360</v>
      </c>
      <c r="DM37" s="35"/>
      <c r="DN37" s="391" t="s">
        <v>196</v>
      </c>
      <c r="DO37" s="29"/>
      <c r="DP37" s="35"/>
    </row>
    <row r="38" ht="15.75" customHeight="1">
      <c r="A38" s="11"/>
      <c r="B38" s="179">
        <f>IF(I38="","",VLOOKUP(I38,'Spell Database'!$A$2:$W$1214,2,FALSE))</f>
        <v>1</v>
      </c>
      <c r="D38" s="179" t="str">
        <f>IF(I38="","",VLOOKUP(I38,'Spell Database'!$A$2:$W$1214,5,FALSE))</f>
        <v>Y</v>
      </c>
      <c r="F38" s="181" t="str">
        <f>IF(I38="","",VLOOKUP(I38,'Spell Database'!$A$2:$W$1214,6,FALSE))</f>
        <v/>
      </c>
      <c r="G38" s="32"/>
      <c r="I38" s="184" t="s">
        <v>1015</v>
      </c>
      <c r="J38" s="19"/>
      <c r="K38" s="19"/>
      <c r="L38" s="19"/>
      <c r="M38" s="19"/>
      <c r="N38" s="19"/>
      <c r="O38" s="19"/>
      <c r="P38" s="19"/>
      <c r="Q38" s="19"/>
      <c r="R38" s="19"/>
      <c r="S38" s="19"/>
      <c r="T38" s="19"/>
      <c r="U38" s="159" t="str">
        <f>IF(I38="","",VLOOKUP(I38,'Spell Database'!$A$2:$W$1214,8,FALSE))</f>
        <v>30ft</v>
      </c>
      <c r="V38" s="29"/>
      <c r="W38" s="32"/>
      <c r="X38" s="191" t="str">
        <f>IF(I38="","",VLOOKUP(I38,'Spell Database'!$A$2:$W$1214,9,FALSE))</f>
        <v>N/A</v>
      </c>
      <c r="Y38" s="29"/>
      <c r="Z38" s="29"/>
      <c r="AA38" s="29"/>
      <c r="AB38" s="29"/>
      <c r="AC38" s="29"/>
      <c r="AD38" s="29"/>
      <c r="AE38" s="159" t="str">
        <f>IF(I38="","",VLOOKUP(I38,'Spell Database'!$A$2:$W$1214,10,FALSE))</f>
        <v>N/A</v>
      </c>
      <c r="AF38" s="29"/>
      <c r="AG38" s="29"/>
      <c r="AH38" s="29"/>
      <c r="AI38" s="32"/>
      <c r="AJ38" s="35"/>
      <c r="AK38" s="396"/>
      <c r="AL38" s="32"/>
      <c r="AM38" s="35"/>
      <c r="AO38" s="179" t="str">
        <f>IF(AV38="","",VLOOKUP(AV38,'Spell Database'!$A$2:$W$1214,2,FALSE))</f>
        <v/>
      </c>
      <c r="AQ38" s="179" t="str">
        <f>IF(AV38="","",VLOOKUP(AV38,'Spell Database'!$A$2:$W$1214,5,FALSE))</f>
        <v/>
      </c>
      <c r="AS38" s="181" t="str">
        <f>IF(AV38="","",VLOOKUP(AV38,'Spell Database'!$A$2:$W$1214,6,FALSE))</f>
        <v/>
      </c>
      <c r="AT38" s="32"/>
      <c r="AV38" s="184"/>
      <c r="AW38" s="19"/>
      <c r="AX38" s="19"/>
      <c r="AY38" s="19"/>
      <c r="AZ38" s="19"/>
      <c r="BA38" s="19"/>
      <c r="BB38" s="19"/>
      <c r="BC38" s="19"/>
      <c r="BD38" s="19"/>
      <c r="BE38" s="19"/>
      <c r="BF38" s="19"/>
      <c r="BG38" s="19"/>
      <c r="BH38" s="159" t="str">
        <f>IF(AV38="","",VLOOKUP(AV38,'Spell Database'!$A$2:$W$1214,8,FALSE))</f>
        <v/>
      </c>
      <c r="BI38" s="29"/>
      <c r="BJ38" s="32"/>
      <c r="BK38" s="191" t="str">
        <f>IF(AV38="","",VLOOKUP(AV38,'Spell Database'!$A$2:$W$1214,9,FALSE))</f>
        <v/>
      </c>
      <c r="BL38" s="29"/>
      <c r="BM38" s="29"/>
      <c r="BN38" s="29"/>
      <c r="BO38" s="29"/>
      <c r="BP38" s="29"/>
      <c r="BQ38" s="29"/>
      <c r="BR38" s="159" t="str">
        <f>IF(AV38="","",VLOOKUP(AV38,'Spell Database'!$A$2:$W$1214,10,FALSE))</f>
        <v/>
      </c>
      <c r="BS38" s="29"/>
      <c r="BT38" s="29"/>
      <c r="BU38" s="29"/>
      <c r="BV38" s="32"/>
      <c r="BW38" s="35"/>
      <c r="BX38" s="396"/>
      <c r="BY38" s="32"/>
      <c r="BZ38" s="34"/>
      <c r="CA38" s="34"/>
      <c r="CB38" s="179" t="str">
        <f>IF(CI38="","",VLOOKUP(CI38,'Spell Database'!$A$2:$W$1214,2,FALSE))</f>
        <v/>
      </c>
      <c r="CD38" s="179" t="str">
        <f>IF(CI38="","",VLOOKUP(CI38,'Spell Database'!$A$2:$W$1214,5,FALSE))</f>
        <v/>
      </c>
      <c r="CF38" s="181" t="str">
        <f>IF(CI38="","",VLOOKUP(CI38,'Spell Database'!$A$2:$W$1214,6,FALSE))</f>
        <v/>
      </c>
      <c r="CG38" s="32"/>
      <c r="CI38" s="184"/>
      <c r="CJ38" s="19"/>
      <c r="CK38" s="19"/>
      <c r="CL38" s="19"/>
      <c r="CM38" s="19"/>
      <c r="CN38" s="19"/>
      <c r="CO38" s="19"/>
      <c r="CP38" s="19"/>
      <c r="CQ38" s="19"/>
      <c r="CR38" s="19"/>
      <c r="CS38" s="159" t="str">
        <f>IF(CI38="","",VLOOKUP(CI38,'Spell Database'!$A$2:$W$1214,8,FALSE))</f>
        <v/>
      </c>
      <c r="CT38" s="29"/>
      <c r="CU38" s="32"/>
      <c r="CV38" s="191" t="str">
        <f>IF(CI38="","",VLOOKUP(CI38,'Spell Database'!$A$2:$W$1214,9,FALSE))</f>
        <v/>
      </c>
      <c r="CW38" s="29"/>
      <c r="CX38" s="29"/>
      <c r="CY38" s="29"/>
      <c r="CZ38" s="29"/>
      <c r="DA38" s="29"/>
      <c r="DB38" s="29"/>
      <c r="DC38" s="159" t="str">
        <f>IF(CI38="","",VLOOKUP(CI38,'Spell Database'!$A$2:$W$1214,10,FALSE))</f>
        <v/>
      </c>
      <c r="DD38" s="29"/>
      <c r="DE38" s="29"/>
      <c r="DF38" s="29"/>
      <c r="DG38" s="32"/>
      <c r="DH38" s="396"/>
      <c r="DI38" s="32"/>
      <c r="DJ38" s="35"/>
      <c r="DK38" s="396"/>
      <c r="DL38" s="32"/>
      <c r="DN38" s="399"/>
      <c r="DO38" s="44"/>
      <c r="DP38" s="34"/>
    </row>
    <row r="39" ht="9.75" customHeight="1">
      <c r="A39" s="33"/>
      <c r="B39" s="48" t="s">
        <v>189</v>
      </c>
      <c r="D39" s="48" t="s">
        <v>190</v>
      </c>
      <c r="E39" s="53"/>
      <c r="F39" s="204" t="s">
        <v>191</v>
      </c>
      <c r="H39" s="53"/>
      <c r="I39" s="208" t="str">
        <f>IF(I38="","",VLOOKUP(I38,'Spell Database'!$A$2:$V$1214, (IFs(B38=1,"13", B38=2,"14", B38=3,"15", B38=4,"16", B38=5,"17", B38=6,"18", B38=7,"19", B38=8,"20", B38=9,"21", B38=10,"22")),FALSE))</f>
        <v>You magically summon a corpse or skeleton filled with necromatic life. You summon an creature whose level is -1 with the undead trait. This creature gains the summoned trait.</v>
      </c>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21"/>
      <c r="AJ39" s="53"/>
      <c r="AK39" s="391" t="s">
        <v>196</v>
      </c>
      <c r="AL39" s="29"/>
      <c r="AM39" s="35"/>
      <c r="AO39" s="48" t="s">
        <v>189</v>
      </c>
      <c r="AQ39" s="48" t="s">
        <v>190</v>
      </c>
      <c r="AR39" s="53"/>
      <c r="AS39" s="204" t="s">
        <v>191</v>
      </c>
      <c r="AU39" s="53"/>
      <c r="AV39" s="208" t="str">
        <f>IF(AV38="","",VLOOKUP(AV38,'Spell Database'!$A$2:$V$1214, (IFs(AO38=1,"13", AO38=2,"14", AO38=3,"15", AO38=4,"16", AO38=5,"17", AO38=6,"18", AO38=7,"19", AO38=8,"20", AO38=9,"21", AO38=10,"22")),FALSE))</f>
        <v/>
      </c>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21"/>
      <c r="BW39" s="53"/>
      <c r="BX39" s="391" t="s">
        <v>196</v>
      </c>
      <c r="BY39" s="29"/>
      <c r="CB39" s="48" t="s">
        <v>189</v>
      </c>
      <c r="CD39" s="48" t="s">
        <v>190</v>
      </c>
      <c r="CE39" s="53"/>
      <c r="CF39" s="340" t="s">
        <v>191</v>
      </c>
      <c r="CH39" s="53"/>
      <c r="CI39" s="208" t="str">
        <f>IF(CI38="","",VLOOKUP(CI38,'Spell Database'!$A$2:$V$1214, (IFs(CB38=1,"13", CB38=2,"14", CB38=3,"15", CB38=4,"16", CB38=5,"17", CB38=6,"18", CB38=7,"19", CB38=8,"20", CB38=9,"21", CB38=10,"22")),FALSE))</f>
        <v/>
      </c>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21"/>
      <c r="DJ39" s="53"/>
      <c r="DK39" s="53" t="s">
        <v>284</v>
      </c>
      <c r="DP39" s="35"/>
    </row>
    <row r="40" ht="15.75" customHeight="1">
      <c r="A40" s="11"/>
      <c r="B40" s="214" t="str">
        <f>IF(I38="","",VLOOKUP(I38,'Spell Database'!$A$2:$W$1214,12,FALSE))</f>
        <v>S</v>
      </c>
      <c r="D40" s="179" t="str">
        <f>IF(I38="","",VLOOKUP(I38,'Spell Database'!$A$2:$W$1214,3,FALSE))</f>
        <v>C</v>
      </c>
      <c r="F40" s="181" t="str">
        <f>IF(I38="","",VLOOKUP(I38,'Spell Database'!$A$2:$W$1214,7,FALSE))</f>
        <v>M,S,V</v>
      </c>
      <c r="G40" s="32"/>
      <c r="I40" s="40"/>
      <c r="AI40" s="41"/>
      <c r="AJ40" s="34"/>
      <c r="AK40" s="399">
        <v>0.0</v>
      </c>
      <c r="AL40" s="44"/>
      <c r="AM40" s="35"/>
      <c r="AO40" s="214" t="str">
        <f>IF(AV38="","",VLOOKUP(AV38,'Spell Database'!$A$2:$W$1214,12,FALSE))</f>
        <v/>
      </c>
      <c r="AQ40" s="179" t="str">
        <f>IF(AV38="","",VLOOKUP(AV38,'Spell Database'!$A$2:$W$1214,3,FALSE))</f>
        <v/>
      </c>
      <c r="AS40" s="181" t="str">
        <f>IF(AV38="","",VLOOKUP(AV38,'Spell Database'!$A$2:$W$1214,7,FALSE))</f>
        <v/>
      </c>
      <c r="AT40" s="32"/>
      <c r="AV40" s="40"/>
      <c r="BV40" s="41"/>
      <c r="BW40" s="34"/>
      <c r="BX40" s="399">
        <v>0.0</v>
      </c>
      <c r="BY40" s="44"/>
      <c r="CB40" s="214" t="str">
        <f>IF(CI38="","",VLOOKUP(CI38,'Spell Database'!$A$2:$W$1214,12,FALSE))</f>
        <v/>
      </c>
      <c r="CD40" s="179" t="str">
        <f>IF(CI38="","",VLOOKUP(CI38,'Spell Database'!$A$2:$W$1214,3,FALSE))</f>
        <v/>
      </c>
      <c r="CF40" s="181" t="str">
        <f>IF(CI38="","",VLOOKUP(CI38,'Spell Database'!$A$2:$W$1214,7,FALSE))</f>
        <v/>
      </c>
      <c r="CG40" s="32"/>
      <c r="CI40" s="40"/>
      <c r="DI40" s="41"/>
      <c r="DJ40" s="34"/>
      <c r="DK40" s="407"/>
      <c r="DL40" s="29"/>
      <c r="DM40" s="29"/>
      <c r="DN40" s="29"/>
      <c r="DO40" s="32"/>
      <c r="DP40" s="34"/>
    </row>
    <row r="41" ht="9.75" customHeight="1">
      <c r="A41" s="33"/>
      <c r="B41" s="48" t="s">
        <v>206</v>
      </c>
      <c r="F41" s="48" t="s">
        <v>207</v>
      </c>
      <c r="I41" s="40"/>
      <c r="AI41" s="41"/>
      <c r="AJ41" s="35"/>
      <c r="AK41" s="35"/>
      <c r="AL41" s="35"/>
      <c r="AM41" s="35"/>
      <c r="AO41" s="48" t="s">
        <v>206</v>
      </c>
      <c r="AS41" s="48" t="s">
        <v>207</v>
      </c>
      <c r="AV41" s="40"/>
      <c r="BV41" s="41"/>
      <c r="BW41" s="35"/>
      <c r="BX41" s="35"/>
      <c r="BY41" s="35"/>
      <c r="CB41" s="48" t="s">
        <v>206</v>
      </c>
      <c r="CF41" s="48" t="s">
        <v>207</v>
      </c>
      <c r="CI41" s="40"/>
      <c r="DI41" s="41"/>
      <c r="DJ41" s="35"/>
      <c r="DP41" s="35"/>
    </row>
    <row r="42" ht="15.75" customHeight="1">
      <c r="A42" s="11"/>
      <c r="B42" s="236" t="str">
        <f>IF(I38="","",VLOOKUP(I38,'Spell Database'!$A$2:$W$1214,11,FALSE))</f>
        <v>[S] 1min</v>
      </c>
      <c r="C42" s="29"/>
      <c r="D42" s="32"/>
      <c r="F42" s="159" t="str">
        <f>IF(I38="","",VLOOKUP(I38,'Spell Database'!$A$2:$W$1214,4,FALSE))</f>
        <v>Nec</v>
      </c>
      <c r="G42" s="32"/>
      <c r="I42" s="42"/>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4"/>
      <c r="AJ42" s="34"/>
      <c r="AK42" s="35"/>
      <c r="AL42" s="35"/>
      <c r="AM42" s="35"/>
      <c r="AO42" s="236" t="str">
        <f>IF(AV38="","",VLOOKUP(AV38,'Spell Database'!$A$2:$W$1214,11,FALSE))</f>
        <v/>
      </c>
      <c r="AP42" s="29"/>
      <c r="AQ42" s="32"/>
      <c r="AS42" s="159" t="str">
        <f>IF(AV38="","",VLOOKUP(AV38,'Spell Database'!$A$2:$W$1214,4,FALSE))</f>
        <v/>
      </c>
      <c r="AT42" s="32"/>
      <c r="AV42" s="42"/>
      <c r="AW42" s="43"/>
      <c r="AX42" s="43"/>
      <c r="AY42" s="43"/>
      <c r="AZ42" s="43"/>
      <c r="BA42" s="43"/>
      <c r="BB42" s="43"/>
      <c r="BC42" s="43"/>
      <c r="BD42" s="43"/>
      <c r="BE42" s="43"/>
      <c r="BF42" s="43"/>
      <c r="BG42" s="43"/>
      <c r="BH42" s="43"/>
      <c r="BI42" s="43"/>
      <c r="BJ42" s="43"/>
      <c r="BK42" s="43"/>
      <c r="BL42" s="43"/>
      <c r="BM42" s="43"/>
      <c r="BN42" s="43"/>
      <c r="BO42" s="43"/>
      <c r="BP42" s="43"/>
      <c r="BQ42" s="43"/>
      <c r="BR42" s="43"/>
      <c r="BS42" s="43"/>
      <c r="BT42" s="43"/>
      <c r="BU42" s="43"/>
      <c r="BV42" s="44"/>
      <c r="BW42" s="34"/>
      <c r="BX42" s="35"/>
      <c r="BY42" s="35"/>
      <c r="CB42" s="236" t="str">
        <f>IF(CI38="","",VLOOKUP(CI38,'Spell Database'!$A$2:$W$1214,11,FALSE))</f>
        <v/>
      </c>
      <c r="CC42" s="29"/>
      <c r="CD42" s="32"/>
      <c r="CF42" s="159" t="str">
        <f>IF(CI38="","",VLOOKUP(CI38,'Spell Database'!$A$2:$W$1214,4,FALSE))</f>
        <v/>
      </c>
      <c r="CG42" s="32"/>
      <c r="CI42" s="42"/>
      <c r="CJ42" s="43"/>
      <c r="CK42" s="43"/>
      <c r="CL42" s="43"/>
      <c r="CM42" s="43"/>
      <c r="CN42" s="43"/>
      <c r="CO42" s="43"/>
      <c r="CP42" s="43"/>
      <c r="CQ42" s="43"/>
      <c r="CR42" s="43"/>
      <c r="CS42" s="43"/>
      <c r="CT42" s="43"/>
      <c r="CU42" s="43"/>
      <c r="CV42" s="43"/>
      <c r="CW42" s="43"/>
      <c r="CX42" s="43"/>
      <c r="CY42" s="43"/>
      <c r="CZ42" s="43"/>
      <c r="DA42" s="43"/>
      <c r="DB42" s="43"/>
      <c r="DC42" s="43"/>
      <c r="DD42" s="43"/>
      <c r="DE42" s="43"/>
      <c r="DF42" s="43"/>
      <c r="DG42" s="43"/>
      <c r="DH42" s="43"/>
      <c r="DI42" s="44"/>
      <c r="DJ42" s="34"/>
      <c r="DN42" s="409"/>
      <c r="DO42" s="410"/>
      <c r="DP42" s="34"/>
    </row>
    <row r="43" ht="9.75" customHeight="1">
      <c r="A43" s="33"/>
      <c r="B43" s="48" t="s">
        <v>159</v>
      </c>
      <c r="D43" s="48" t="s">
        <v>160</v>
      </c>
      <c r="F43" s="48" t="s">
        <v>162</v>
      </c>
      <c r="I43" s="173" t="s">
        <v>164</v>
      </c>
      <c r="J43" s="173"/>
      <c r="K43" s="173"/>
      <c r="L43" s="173"/>
      <c r="M43" s="173"/>
      <c r="N43" s="173"/>
      <c r="O43" s="173"/>
      <c r="P43" s="173"/>
      <c r="Q43" s="173"/>
      <c r="R43" s="173"/>
      <c r="S43" s="173"/>
      <c r="T43" s="173"/>
      <c r="U43" s="48" t="s">
        <v>168</v>
      </c>
      <c r="X43" s="48" t="s">
        <v>169</v>
      </c>
      <c r="AE43" s="48" t="s">
        <v>170</v>
      </c>
      <c r="AJ43" s="35"/>
      <c r="AK43" s="53" t="s">
        <v>1347</v>
      </c>
      <c r="AM43" s="35"/>
      <c r="AO43" s="48" t="s">
        <v>159</v>
      </c>
      <c r="AQ43" s="48" t="s">
        <v>160</v>
      </c>
      <c r="AS43" s="48" t="s">
        <v>162</v>
      </c>
      <c r="AV43" s="173" t="s">
        <v>164</v>
      </c>
      <c r="AW43" s="173"/>
      <c r="AX43" s="173"/>
      <c r="AY43" s="173"/>
      <c r="AZ43" s="173"/>
      <c r="BA43" s="173"/>
      <c r="BB43" s="173"/>
      <c r="BC43" s="173"/>
      <c r="BD43" s="173"/>
      <c r="BE43" s="173"/>
      <c r="BF43" s="173"/>
      <c r="BG43" s="173"/>
      <c r="BH43" s="48" t="s">
        <v>168</v>
      </c>
      <c r="BK43" s="48" t="s">
        <v>169</v>
      </c>
      <c r="BR43" s="48" t="s">
        <v>170</v>
      </c>
      <c r="BW43" s="35"/>
      <c r="BX43" s="53" t="s">
        <v>1347</v>
      </c>
      <c r="CB43" s="48" t="s">
        <v>159</v>
      </c>
      <c r="CD43" s="48" t="s">
        <v>160</v>
      </c>
      <c r="CF43" s="48" t="s">
        <v>162</v>
      </c>
      <c r="CI43" s="173" t="s">
        <v>164</v>
      </c>
      <c r="CJ43" s="173"/>
      <c r="CK43" s="173"/>
      <c r="CL43" s="173"/>
      <c r="CM43" s="173"/>
      <c r="CN43" s="173"/>
      <c r="CO43" s="173"/>
      <c r="CP43" s="173"/>
      <c r="CQ43" s="173"/>
      <c r="CR43" s="173"/>
      <c r="CS43" s="48" t="s">
        <v>168</v>
      </c>
      <c r="CV43" s="48" t="s">
        <v>169</v>
      </c>
      <c r="DC43" s="48" t="s">
        <v>170</v>
      </c>
      <c r="DH43" s="173" t="s">
        <v>1357</v>
      </c>
      <c r="DJ43" s="35"/>
      <c r="DK43" s="53" t="s">
        <v>1360</v>
      </c>
      <c r="DM43" s="35"/>
      <c r="DN43" s="411" t="s">
        <v>196</v>
      </c>
      <c r="DO43" s="43"/>
      <c r="DP43" s="35"/>
    </row>
    <row r="44" ht="15.75" customHeight="1">
      <c r="A44" s="11"/>
      <c r="B44" s="179" t="str">
        <f>IF(I44="","",VLOOKUP(I44,'Spell Database'!$A$2:$W$1214,2,FALSE))</f>
        <v/>
      </c>
      <c r="D44" s="179" t="str">
        <f>IF(I44="","",VLOOKUP(I44,'Spell Database'!$A$2:$W$1214,5,FALSE))</f>
        <v/>
      </c>
      <c r="F44" s="181" t="str">
        <f>IF(I44="","",VLOOKUP(I44,'Spell Database'!$A$2:$W$1214,6,FALSE))</f>
        <v/>
      </c>
      <c r="G44" s="32"/>
      <c r="I44" s="184"/>
      <c r="J44" s="19"/>
      <c r="K44" s="19"/>
      <c r="L44" s="19"/>
      <c r="M44" s="19"/>
      <c r="N44" s="19"/>
      <c r="O44" s="19"/>
      <c r="P44" s="19"/>
      <c r="Q44" s="19"/>
      <c r="R44" s="19"/>
      <c r="S44" s="19"/>
      <c r="T44" s="19"/>
      <c r="U44" s="159" t="str">
        <f>IF(I44="","",VLOOKUP(I44,'Spell Database'!$A$2:$W$1214,8,FALSE))</f>
        <v/>
      </c>
      <c r="V44" s="29"/>
      <c r="W44" s="32"/>
      <c r="X44" s="191" t="str">
        <f>IF(I44="","",VLOOKUP(I44,'Spell Database'!$A$2:$W$1214,9,FALSE))</f>
        <v/>
      </c>
      <c r="Y44" s="29"/>
      <c r="Z44" s="29"/>
      <c r="AA44" s="29"/>
      <c r="AB44" s="29"/>
      <c r="AC44" s="29"/>
      <c r="AD44" s="29"/>
      <c r="AE44" s="159" t="str">
        <f>IF(I44="","",VLOOKUP(I44,'Spell Database'!$A$2:$W$1214,10,FALSE))</f>
        <v/>
      </c>
      <c r="AF44" s="29"/>
      <c r="AG44" s="29"/>
      <c r="AH44" s="29"/>
      <c r="AI44" s="32"/>
      <c r="AJ44" s="35"/>
      <c r="AK44" s="396"/>
      <c r="AL44" s="32"/>
      <c r="AM44" s="35"/>
      <c r="AO44" s="179" t="str">
        <f>IF(AV44="","",VLOOKUP(AV44,'Spell Database'!$A$2:$W$1214,2,FALSE))</f>
        <v/>
      </c>
      <c r="AQ44" s="179" t="str">
        <f>IF(AV44="","",VLOOKUP(AV44,'Spell Database'!$A$2:$W$1214,5,FALSE))</f>
        <v/>
      </c>
      <c r="AS44" s="181" t="str">
        <f>IF(AV44="","",VLOOKUP(AV44,'Spell Database'!$A$2:$W$1214,6,FALSE))</f>
        <v/>
      </c>
      <c r="AT44" s="32"/>
      <c r="AV44" s="184"/>
      <c r="AW44" s="19"/>
      <c r="AX44" s="19"/>
      <c r="AY44" s="19"/>
      <c r="AZ44" s="19"/>
      <c r="BA44" s="19"/>
      <c r="BB44" s="19"/>
      <c r="BC44" s="19"/>
      <c r="BD44" s="19"/>
      <c r="BE44" s="19"/>
      <c r="BF44" s="19"/>
      <c r="BG44" s="19"/>
      <c r="BH44" s="159" t="str">
        <f>IF(AV44="","",VLOOKUP(AV44,'Spell Database'!$A$2:$W$1214,8,FALSE))</f>
        <v/>
      </c>
      <c r="BI44" s="29"/>
      <c r="BJ44" s="32"/>
      <c r="BK44" s="191" t="str">
        <f>IF(AV44="","",VLOOKUP(AV44,'Spell Database'!$A$2:$W$1214,9,FALSE))</f>
        <v/>
      </c>
      <c r="BL44" s="29"/>
      <c r="BM44" s="29"/>
      <c r="BN44" s="29"/>
      <c r="BO44" s="29"/>
      <c r="BP44" s="29"/>
      <c r="BQ44" s="29"/>
      <c r="BR44" s="159" t="str">
        <f>IF(AV44="","",VLOOKUP(AV44,'Spell Database'!$A$2:$W$1214,10,FALSE))</f>
        <v/>
      </c>
      <c r="BS44" s="29"/>
      <c r="BT44" s="29"/>
      <c r="BU44" s="29"/>
      <c r="BV44" s="32"/>
      <c r="BW44" s="35"/>
      <c r="BX44" s="396"/>
      <c r="BY44" s="32"/>
      <c r="CB44" s="179" t="str">
        <f>IF(CI44="","",VLOOKUP(CI44,'Spell Database'!$A$2:$W$1214,2,FALSE))</f>
        <v/>
      </c>
      <c r="CD44" s="179" t="str">
        <f>IF(CI44="","",VLOOKUP(CI44,'Spell Database'!$A$2:$W$1214,5,FALSE))</f>
        <v/>
      </c>
      <c r="CF44" s="181" t="str">
        <f>IF(CI44="","",VLOOKUP(CI44,'Spell Database'!$A$2:$W$1214,6,FALSE))</f>
        <v/>
      </c>
      <c r="CG44" s="32"/>
      <c r="CI44" s="184"/>
      <c r="CJ44" s="19"/>
      <c r="CK44" s="19"/>
      <c r="CL44" s="19"/>
      <c r="CM44" s="19"/>
      <c r="CN44" s="19"/>
      <c r="CO44" s="19"/>
      <c r="CP44" s="19"/>
      <c r="CQ44" s="19"/>
      <c r="CR44" s="19"/>
      <c r="CS44" s="159" t="str">
        <f>IF(CI44="","",VLOOKUP(CI44,'Spell Database'!$A$2:$W$1214,8,FALSE))</f>
        <v/>
      </c>
      <c r="CT44" s="29"/>
      <c r="CU44" s="32"/>
      <c r="CV44" s="191" t="str">
        <f>IF(CI44="","",VLOOKUP(CI44,'Spell Database'!$A$2:$W$1214,9,FALSE))</f>
        <v/>
      </c>
      <c r="CW44" s="29"/>
      <c r="CX44" s="29"/>
      <c r="CY44" s="29"/>
      <c r="CZ44" s="29"/>
      <c r="DA44" s="29"/>
      <c r="DB44" s="29"/>
      <c r="DC44" s="159" t="str">
        <f>IF(CI44="","",VLOOKUP(CI44,'Spell Database'!$A$2:$W$1214,10,FALSE))</f>
        <v/>
      </c>
      <c r="DD44" s="29"/>
      <c r="DE44" s="29"/>
      <c r="DF44" s="29"/>
      <c r="DG44" s="32"/>
      <c r="DH44" s="396"/>
      <c r="DI44" s="32"/>
      <c r="DJ44" s="35"/>
      <c r="DK44" s="396"/>
      <c r="DL44" s="32"/>
      <c r="DN44" s="399"/>
      <c r="DO44" s="44"/>
      <c r="DP44" s="34"/>
    </row>
    <row r="45" ht="9.75" customHeight="1">
      <c r="A45" s="33"/>
      <c r="B45" s="48" t="s">
        <v>189</v>
      </c>
      <c r="D45" s="48" t="s">
        <v>190</v>
      </c>
      <c r="E45" s="53"/>
      <c r="F45" s="204" t="s">
        <v>191</v>
      </c>
      <c r="H45" s="53"/>
      <c r="I45" s="208" t="str">
        <f>IF(I44="","",VLOOKUP(I44,'Spell Database'!$A$2:$V$1214, (IFs(B44=1,"13", B44=2,"14", B44=3,"15", B44=4,"16", B44=5,"17", B44=6,"18", B44=7,"19", B44=8,"20", B44=9,"21", B44=10,"22")),FALSE))</f>
        <v/>
      </c>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21"/>
      <c r="AJ45" s="53"/>
      <c r="AK45" s="391" t="s">
        <v>196</v>
      </c>
      <c r="AL45" s="29"/>
      <c r="AM45" s="35"/>
      <c r="AO45" s="48" t="s">
        <v>189</v>
      </c>
      <c r="AQ45" s="48" t="s">
        <v>190</v>
      </c>
      <c r="AR45" s="53"/>
      <c r="AS45" s="204" t="s">
        <v>191</v>
      </c>
      <c r="AU45" s="53"/>
      <c r="AV45" s="208" t="str">
        <f>IF(AV44="","",VLOOKUP(AV44,'Spell Database'!$A$2:$V$1214, (IFs(AO44=1,"13", AO44=2,"14", AO44=3,"15", AO44=4,"16", AO44=5,"17", AO44=6,"18", AO44=7,"19", AO44=8,"20", AO44=9,"21", AO44=10,"22")),FALSE))</f>
        <v/>
      </c>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21"/>
      <c r="BW45" s="53"/>
      <c r="BX45" s="391" t="s">
        <v>196</v>
      </c>
      <c r="BY45" s="29"/>
      <c r="CB45" s="48" t="s">
        <v>189</v>
      </c>
      <c r="CD45" s="48" t="s">
        <v>190</v>
      </c>
      <c r="CE45" s="53"/>
      <c r="CF45" s="340" t="s">
        <v>191</v>
      </c>
      <c r="CH45" s="53"/>
      <c r="CI45" s="208" t="str">
        <f>IF(CI44="","",VLOOKUP(CI44,'Spell Database'!$A$2:$V$1214, (IFs(CB44=1,"13", CB44=2,"14", CB44=3,"15", CB44=4,"16", CB44=5,"17", CB44=6,"18", CB44=7,"19", CB44=8,"20", CB44=9,"21", CB44=10,"22")),FALSE))</f>
        <v/>
      </c>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21"/>
      <c r="DJ45" s="53"/>
      <c r="DK45" s="53" t="s">
        <v>284</v>
      </c>
      <c r="DP45" s="35"/>
    </row>
    <row r="46" ht="15.75" customHeight="1">
      <c r="A46" s="11"/>
      <c r="B46" s="214" t="str">
        <f>IF(I44="","",VLOOKUP(I44,'Spell Database'!$A$2:$W$1214,12,FALSE))</f>
        <v/>
      </c>
      <c r="D46" s="179" t="str">
        <f>IF(I44="","",VLOOKUP(I44,'Spell Database'!$A$2:$W$1214,3,FALSE))</f>
        <v/>
      </c>
      <c r="F46" s="181" t="str">
        <f>IF(I44="","",VLOOKUP(I44,'Spell Database'!$A$2:$W$1214,7,FALSE))</f>
        <v/>
      </c>
      <c r="G46" s="32"/>
      <c r="I46" s="40"/>
      <c r="AI46" s="41"/>
      <c r="AJ46" s="34"/>
      <c r="AK46" s="399">
        <v>0.0</v>
      </c>
      <c r="AL46" s="44"/>
      <c r="AM46" s="35"/>
      <c r="AO46" s="214" t="str">
        <f>IF(AV44="","",VLOOKUP(AV44,'Spell Database'!$A$2:$W$1214,12,FALSE))</f>
        <v/>
      </c>
      <c r="AQ46" s="179" t="str">
        <f>IF(AV44="","",VLOOKUP(AV44,'Spell Database'!$A$2:$W$1214,3,FALSE))</f>
        <v/>
      </c>
      <c r="AS46" s="181" t="str">
        <f>IF(AV44="","",VLOOKUP(AV44,'Spell Database'!$A$2:$W$1214,7,FALSE))</f>
        <v/>
      </c>
      <c r="AT46" s="32"/>
      <c r="AV46" s="40"/>
      <c r="BV46" s="41"/>
      <c r="BW46" s="34"/>
      <c r="BX46" s="399">
        <v>0.0</v>
      </c>
      <c r="BY46" s="44"/>
      <c r="CB46" s="214" t="str">
        <f>IF(CI44="","",VLOOKUP(CI44,'Spell Database'!$A$2:$W$1214,12,FALSE))</f>
        <v/>
      </c>
      <c r="CD46" s="179" t="str">
        <f>IF(CI44="","",VLOOKUP(CI44,'Spell Database'!$A$2:$W$1214,3,FALSE))</f>
        <v/>
      </c>
      <c r="CF46" s="181" t="str">
        <f>IF(CI44="","",VLOOKUP(CI44,'Spell Database'!$A$2:$W$1214,7,FALSE))</f>
        <v/>
      </c>
      <c r="CG46" s="32"/>
      <c r="CI46" s="40"/>
      <c r="DI46" s="41"/>
      <c r="DJ46" s="34"/>
      <c r="DK46" s="407"/>
      <c r="DL46" s="29"/>
      <c r="DM46" s="29"/>
      <c r="DN46" s="29"/>
      <c r="DO46" s="32"/>
      <c r="DP46" s="34"/>
    </row>
    <row r="47" ht="9.75" customHeight="1">
      <c r="A47" s="33"/>
      <c r="B47" s="48" t="s">
        <v>206</v>
      </c>
      <c r="F47" s="48" t="s">
        <v>207</v>
      </c>
      <c r="I47" s="40"/>
      <c r="AI47" s="41"/>
      <c r="AJ47" s="35"/>
      <c r="AK47" s="35"/>
      <c r="AL47" s="35"/>
      <c r="AM47" s="35"/>
      <c r="AO47" s="48" t="s">
        <v>206</v>
      </c>
      <c r="AS47" s="48" t="s">
        <v>207</v>
      </c>
      <c r="AV47" s="40"/>
      <c r="BV47" s="41"/>
      <c r="BW47" s="35"/>
      <c r="BX47" s="35"/>
      <c r="BY47" s="35"/>
      <c r="CB47" s="48" t="s">
        <v>206</v>
      </c>
      <c r="CF47" s="48" t="s">
        <v>207</v>
      </c>
      <c r="CI47" s="40"/>
      <c r="DI47" s="41"/>
      <c r="DJ47" s="35"/>
      <c r="DP47" s="35"/>
    </row>
    <row r="48" ht="15.75" customHeight="1">
      <c r="A48" s="33"/>
      <c r="B48" s="236" t="str">
        <f>IF(I44="","",VLOOKUP(I44,'Spell Database'!$A$2:$W$1214,11,FALSE))</f>
        <v/>
      </c>
      <c r="C48" s="29"/>
      <c r="D48" s="32"/>
      <c r="F48" s="159" t="str">
        <f>IF(I44="","",VLOOKUP(I44,'Spell Database'!$A$2:$W$1214,4,FALSE))</f>
        <v/>
      </c>
      <c r="G48" s="32"/>
      <c r="I48" s="42"/>
      <c r="J48" s="43"/>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44"/>
      <c r="AJ48" s="34"/>
      <c r="AK48" s="35"/>
      <c r="AL48" s="35"/>
      <c r="AM48" s="35"/>
      <c r="AO48" s="236" t="str">
        <f>IF(AV44="","",VLOOKUP(AV44,'Spell Database'!$A$2:$W$1214,11,FALSE))</f>
        <v/>
      </c>
      <c r="AP48" s="29"/>
      <c r="AQ48" s="32"/>
      <c r="AS48" s="159" t="str">
        <f>IF(AV44="","",VLOOKUP(AV44,'Spell Database'!$A$2:$W$1214,4,FALSE))</f>
        <v/>
      </c>
      <c r="AT48" s="32"/>
      <c r="AV48" s="42"/>
      <c r="AW48" s="43"/>
      <c r="AX48" s="43"/>
      <c r="AY48" s="43"/>
      <c r="AZ48" s="43"/>
      <c r="BA48" s="43"/>
      <c r="BB48" s="43"/>
      <c r="BC48" s="43"/>
      <c r="BD48" s="43"/>
      <c r="BE48" s="43"/>
      <c r="BF48" s="43"/>
      <c r="BG48" s="43"/>
      <c r="BH48" s="43"/>
      <c r="BI48" s="43"/>
      <c r="BJ48" s="43"/>
      <c r="BK48" s="43"/>
      <c r="BL48" s="43"/>
      <c r="BM48" s="43"/>
      <c r="BN48" s="43"/>
      <c r="BO48" s="43"/>
      <c r="BP48" s="43"/>
      <c r="BQ48" s="43"/>
      <c r="BR48" s="43"/>
      <c r="BS48" s="43"/>
      <c r="BT48" s="43"/>
      <c r="BU48" s="43"/>
      <c r="BV48" s="44"/>
      <c r="BW48" s="34"/>
      <c r="BX48" s="35"/>
      <c r="BY48" s="35"/>
      <c r="CB48" s="236" t="str">
        <f>IF(CI44="","",VLOOKUP(CI44,'Spell Database'!$A$2:$W$1214,11,FALSE))</f>
        <v/>
      </c>
      <c r="CC48" s="29"/>
      <c r="CD48" s="32"/>
      <c r="CF48" s="159" t="str">
        <f>IF(CI44="","",VLOOKUP(CI44,'Spell Database'!$A$2:$W$1214,4,FALSE))</f>
        <v/>
      </c>
      <c r="CG48" s="32"/>
      <c r="CI48" s="42"/>
      <c r="CJ48" s="43"/>
      <c r="CK48" s="43"/>
      <c r="CL48" s="43"/>
      <c r="CM48" s="43"/>
      <c r="CN48" s="43"/>
      <c r="CO48" s="43"/>
      <c r="CP48" s="43"/>
      <c r="CQ48" s="43"/>
      <c r="CR48" s="43"/>
      <c r="CS48" s="43"/>
      <c r="CT48" s="43"/>
      <c r="CU48" s="43"/>
      <c r="CV48" s="43"/>
      <c r="CW48" s="43"/>
      <c r="CX48" s="43"/>
      <c r="CY48" s="43"/>
      <c r="CZ48" s="43"/>
      <c r="DA48" s="43"/>
      <c r="DB48" s="43"/>
      <c r="DC48" s="43"/>
      <c r="DD48" s="43"/>
      <c r="DE48" s="43"/>
      <c r="DF48" s="43"/>
      <c r="DG48" s="43"/>
      <c r="DH48" s="43"/>
      <c r="DI48" s="44"/>
      <c r="DJ48" s="34"/>
      <c r="DN48" s="427"/>
      <c r="DO48" s="427"/>
      <c r="DP48" s="35"/>
    </row>
    <row r="49" ht="9.75" customHeight="1">
      <c r="A49" s="33"/>
      <c r="B49" s="48" t="s">
        <v>159</v>
      </c>
      <c r="D49" s="48" t="s">
        <v>160</v>
      </c>
      <c r="F49" s="48" t="s">
        <v>162</v>
      </c>
      <c r="I49" s="173" t="s">
        <v>164</v>
      </c>
      <c r="J49" s="173"/>
      <c r="K49" s="173"/>
      <c r="L49" s="173"/>
      <c r="M49" s="173"/>
      <c r="N49" s="173"/>
      <c r="O49" s="173"/>
      <c r="P49" s="173"/>
      <c r="Q49" s="173"/>
      <c r="R49" s="173"/>
      <c r="S49" s="173"/>
      <c r="T49" s="173"/>
      <c r="U49" s="48" t="s">
        <v>168</v>
      </c>
      <c r="X49" s="48" t="s">
        <v>169</v>
      </c>
      <c r="AE49" s="48" t="s">
        <v>170</v>
      </c>
      <c r="AJ49" s="35"/>
      <c r="AK49" s="53" t="s">
        <v>1347</v>
      </c>
      <c r="AM49" s="35"/>
      <c r="AO49" s="48" t="s">
        <v>159</v>
      </c>
      <c r="AQ49" s="48" t="s">
        <v>160</v>
      </c>
      <c r="AS49" s="48" t="s">
        <v>162</v>
      </c>
      <c r="AV49" s="173" t="s">
        <v>164</v>
      </c>
      <c r="AW49" s="173"/>
      <c r="AX49" s="173"/>
      <c r="AY49" s="173"/>
      <c r="AZ49" s="173"/>
      <c r="BA49" s="173"/>
      <c r="BB49" s="173"/>
      <c r="BC49" s="173"/>
      <c r="BD49" s="173"/>
      <c r="BE49" s="173"/>
      <c r="BF49" s="173"/>
      <c r="BG49" s="173"/>
      <c r="BH49" s="48" t="s">
        <v>168</v>
      </c>
      <c r="BK49" s="48" t="s">
        <v>169</v>
      </c>
      <c r="BR49" s="48" t="s">
        <v>170</v>
      </c>
      <c r="BW49" s="35"/>
      <c r="BX49" s="53" t="s">
        <v>1347</v>
      </c>
      <c r="CB49" s="48" t="s">
        <v>159</v>
      </c>
      <c r="CD49" s="48" t="s">
        <v>160</v>
      </c>
      <c r="CF49" s="48" t="s">
        <v>162</v>
      </c>
      <c r="CI49" s="173" t="s">
        <v>164</v>
      </c>
      <c r="CJ49" s="173"/>
      <c r="CK49" s="173"/>
      <c r="CL49" s="173"/>
      <c r="CM49" s="173"/>
      <c r="CN49" s="173"/>
      <c r="CO49" s="173"/>
      <c r="CP49" s="173"/>
      <c r="CQ49" s="173"/>
      <c r="CR49" s="173"/>
      <c r="CS49" s="48" t="s">
        <v>168</v>
      </c>
      <c r="CV49" s="48" t="s">
        <v>169</v>
      </c>
      <c r="DC49" s="48" t="s">
        <v>170</v>
      </c>
      <c r="DH49" s="173" t="s">
        <v>1357</v>
      </c>
      <c r="DJ49" s="35"/>
      <c r="DK49" s="53" t="s">
        <v>1360</v>
      </c>
      <c r="DM49" s="35"/>
      <c r="DN49" s="411" t="s">
        <v>196</v>
      </c>
      <c r="DO49" s="43"/>
      <c r="DP49" s="35"/>
    </row>
    <row r="50" ht="15.75" customHeight="1">
      <c r="A50" s="33"/>
      <c r="B50" s="179" t="str">
        <f>IF(I50="","",VLOOKUP(I50,'Spell Database'!$A$2:$W$1214,2,FALSE))</f>
        <v/>
      </c>
      <c r="D50" s="179" t="str">
        <f>IF(I50="","",VLOOKUP(I50,'Spell Database'!$A$2:$W$1214,5,FALSE))</f>
        <v/>
      </c>
      <c r="F50" s="181" t="str">
        <f>IF(I50="","",VLOOKUP(I50,'Spell Database'!$A$2:$W$1214,6,FALSE))</f>
        <v/>
      </c>
      <c r="G50" s="32"/>
      <c r="I50" s="184"/>
      <c r="J50" s="19"/>
      <c r="K50" s="19"/>
      <c r="L50" s="19"/>
      <c r="M50" s="19"/>
      <c r="N50" s="19"/>
      <c r="O50" s="19"/>
      <c r="P50" s="19"/>
      <c r="Q50" s="19"/>
      <c r="R50" s="19"/>
      <c r="S50" s="19"/>
      <c r="T50" s="19"/>
      <c r="U50" s="159" t="str">
        <f>IF(I50="","",VLOOKUP(I50,'Spell Database'!$A$2:$W$1214,8,FALSE))</f>
        <v/>
      </c>
      <c r="V50" s="29"/>
      <c r="W50" s="32"/>
      <c r="X50" s="191" t="str">
        <f>IF(I50="","",VLOOKUP(I50,'Spell Database'!$A$2:$W$1214,9,FALSE))</f>
        <v/>
      </c>
      <c r="Y50" s="29"/>
      <c r="Z50" s="29"/>
      <c r="AA50" s="29"/>
      <c r="AB50" s="29"/>
      <c r="AC50" s="29"/>
      <c r="AD50" s="29"/>
      <c r="AE50" s="159" t="str">
        <f>IF(I50="","",VLOOKUP(I50,'Spell Database'!$A$2:$W$1214,10,FALSE))</f>
        <v/>
      </c>
      <c r="AF50" s="29"/>
      <c r="AG50" s="29"/>
      <c r="AH50" s="29"/>
      <c r="AI50" s="32"/>
      <c r="AJ50" s="35"/>
      <c r="AK50" s="396"/>
      <c r="AL50" s="32"/>
      <c r="AM50" s="35"/>
      <c r="AO50" s="179" t="str">
        <f>IF(AV50="","",VLOOKUP(AV50,'Spell Database'!$A$2:$W$1214,2,FALSE))</f>
        <v/>
      </c>
      <c r="AQ50" s="179" t="str">
        <f>IF(AV50="","",VLOOKUP(AV50,'Spell Database'!$A$2:$W$1214,5,FALSE))</f>
        <v/>
      </c>
      <c r="AS50" s="181" t="str">
        <f>IF(AV50="","",VLOOKUP(AV50,'Spell Database'!$A$2:$W$1214,6,FALSE))</f>
        <v/>
      </c>
      <c r="AT50" s="32"/>
      <c r="AV50" s="184"/>
      <c r="AW50" s="19"/>
      <c r="AX50" s="19"/>
      <c r="AY50" s="19"/>
      <c r="AZ50" s="19"/>
      <c r="BA50" s="19"/>
      <c r="BB50" s="19"/>
      <c r="BC50" s="19"/>
      <c r="BD50" s="19"/>
      <c r="BE50" s="19"/>
      <c r="BF50" s="19"/>
      <c r="BG50" s="19"/>
      <c r="BH50" s="159" t="str">
        <f>IF(AV50="","",VLOOKUP(AV50,'Spell Database'!$A$2:$W$1214,8,FALSE))</f>
        <v/>
      </c>
      <c r="BI50" s="29"/>
      <c r="BJ50" s="32"/>
      <c r="BK50" s="191" t="str">
        <f>IF(AV50="","",VLOOKUP(AV50,'Spell Database'!$A$2:$W$1214,9,FALSE))</f>
        <v/>
      </c>
      <c r="BL50" s="29"/>
      <c r="BM50" s="29"/>
      <c r="BN50" s="29"/>
      <c r="BO50" s="29"/>
      <c r="BP50" s="29"/>
      <c r="BQ50" s="29"/>
      <c r="BR50" s="159" t="str">
        <f>IF(AV50="","",VLOOKUP(AV50,'Spell Database'!$A$2:$W$1214,10,FALSE))</f>
        <v/>
      </c>
      <c r="BS50" s="29"/>
      <c r="BT50" s="29"/>
      <c r="BU50" s="29"/>
      <c r="BV50" s="32"/>
      <c r="BW50" s="35"/>
      <c r="BX50" s="396"/>
      <c r="BY50" s="32"/>
      <c r="CB50" s="179" t="str">
        <f>IF(CI50="","",VLOOKUP(CI50,'Spell Database'!$A$2:$W$1214,2,FALSE))</f>
        <v/>
      </c>
      <c r="CD50" s="179" t="str">
        <f>IF(CI50="","",VLOOKUP(CI50,'Spell Database'!$A$2:$W$1214,5,FALSE))</f>
        <v/>
      </c>
      <c r="CF50" s="181" t="str">
        <f>IF(CI50="","",VLOOKUP(CI50,'Spell Database'!$A$2:$W$1214,6,FALSE))</f>
        <v/>
      </c>
      <c r="CG50" s="32"/>
      <c r="CI50" s="184"/>
      <c r="CJ50" s="19"/>
      <c r="CK50" s="19"/>
      <c r="CL50" s="19"/>
      <c r="CM50" s="19"/>
      <c r="CN50" s="19"/>
      <c r="CO50" s="19"/>
      <c r="CP50" s="19"/>
      <c r="CQ50" s="19"/>
      <c r="CR50" s="19"/>
      <c r="CS50" s="159" t="str">
        <f>IF(CI50="","",VLOOKUP(CI50,'Spell Database'!$A$2:$W$1214,8,FALSE))</f>
        <v/>
      </c>
      <c r="CT50" s="29"/>
      <c r="CU50" s="32"/>
      <c r="CV50" s="191" t="str">
        <f>IF(CI50="","",VLOOKUP(CI50,'Spell Database'!$A$2:$W$1214,9,FALSE))</f>
        <v/>
      </c>
      <c r="CW50" s="29"/>
      <c r="CX50" s="29"/>
      <c r="CY50" s="29"/>
      <c r="CZ50" s="29"/>
      <c r="DA50" s="29"/>
      <c r="DB50" s="29"/>
      <c r="DC50" s="159" t="str">
        <f>IF(CI50="","",VLOOKUP(CI50,'Spell Database'!$A$2:$W$1214,10,FALSE))</f>
        <v/>
      </c>
      <c r="DD50" s="29"/>
      <c r="DE50" s="29"/>
      <c r="DF50" s="29"/>
      <c r="DG50" s="32"/>
      <c r="DH50" s="396"/>
      <c r="DI50" s="32"/>
      <c r="DJ50" s="35"/>
      <c r="DK50" s="396"/>
      <c r="DL50" s="32"/>
      <c r="DN50" s="399"/>
      <c r="DO50" s="44"/>
      <c r="DP50" s="35"/>
    </row>
    <row r="51" ht="9.75" customHeight="1">
      <c r="A51" s="33"/>
      <c r="B51" s="48" t="s">
        <v>189</v>
      </c>
      <c r="D51" s="48" t="s">
        <v>190</v>
      </c>
      <c r="E51" s="53"/>
      <c r="F51" s="204" t="s">
        <v>191</v>
      </c>
      <c r="H51" s="53"/>
      <c r="I51" s="208" t="str">
        <f>IF(I50="","",VLOOKUP(I50,'Spell Database'!$A$2:$V$1214, (IFs(B50=1,"13", B50=2,"14", B50=3,"15", B50=4,"16", B50=5,"17", B50=6,"18", B50=7,"19", B50=8,"20", B50=9,"21", B50=10,"22")),FALSE))</f>
        <v/>
      </c>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21"/>
      <c r="AJ51" s="53"/>
      <c r="AK51" s="391" t="s">
        <v>196</v>
      </c>
      <c r="AL51" s="29"/>
      <c r="AM51" s="35"/>
      <c r="AO51" s="48" t="s">
        <v>189</v>
      </c>
      <c r="AQ51" s="48" t="s">
        <v>190</v>
      </c>
      <c r="AR51" s="53"/>
      <c r="AS51" s="204" t="s">
        <v>191</v>
      </c>
      <c r="AU51" s="53"/>
      <c r="AV51" s="208" t="str">
        <f>IF(AV50="","",VLOOKUP(AV50,'Spell Database'!$A$2:$V$1214, (IFs(AO50=1,"13", AO50=2,"14", AO50=3,"15", AO50=4,"16", AO50=5,"17", AO50=6,"18", AO50=7,"19", AO50=8,"20", AO50=9,"21", AO50=10,"22")),FALSE))</f>
        <v/>
      </c>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21"/>
      <c r="BW51" s="53"/>
      <c r="BX51" s="391" t="s">
        <v>196</v>
      </c>
      <c r="BY51" s="29"/>
      <c r="CB51" s="48" t="s">
        <v>189</v>
      </c>
      <c r="CD51" s="48" t="s">
        <v>190</v>
      </c>
      <c r="CE51" s="53"/>
      <c r="CF51" s="340" t="s">
        <v>191</v>
      </c>
      <c r="CH51" s="53"/>
      <c r="CI51" s="208" t="str">
        <f>IF(CI50="","",VLOOKUP(CI50,'Spell Database'!$A$2:$V$1214, (IFs(CB50=1,"13", CB50=2,"14", CB50=3,"15", CB50=4,"16", CB50=5,"17", CB50=6,"18", CB50=7,"19", CB50=8,"20", CB50=9,"21", CB50=10,"22")),FALSE))</f>
        <v/>
      </c>
      <c r="CJ51" s="19"/>
      <c r="CK51" s="19"/>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21"/>
      <c r="DJ51" s="53"/>
      <c r="DK51" s="53" t="s">
        <v>284</v>
      </c>
      <c r="DP51" s="35"/>
    </row>
    <row r="52" ht="15.75" customHeight="1">
      <c r="A52" s="33"/>
      <c r="B52" s="214" t="str">
        <f>IF(I50="","",VLOOKUP(I50,'Spell Database'!$A$2:$W$1214,12,FALSE))</f>
        <v/>
      </c>
      <c r="D52" s="179" t="str">
        <f>IF(I50="","",VLOOKUP(I50,'Spell Database'!$A$2:$W$1214,3,FALSE))</f>
        <v/>
      </c>
      <c r="F52" s="181" t="str">
        <f>IF(I50="","",VLOOKUP(I50,'Spell Database'!$A$2:$W$1214,7,FALSE))</f>
        <v/>
      </c>
      <c r="G52" s="32"/>
      <c r="I52" s="40"/>
      <c r="AI52" s="41"/>
      <c r="AJ52" s="34"/>
      <c r="AK52" s="399">
        <v>0.0</v>
      </c>
      <c r="AL52" s="44"/>
      <c r="AM52" s="35"/>
      <c r="AO52" s="214" t="str">
        <f>IF(AV50="","",VLOOKUP(AV50,'Spell Database'!$A$2:$W$1214,12,FALSE))</f>
        <v/>
      </c>
      <c r="AQ52" s="179" t="str">
        <f>IF(AV50="","",VLOOKUP(AV50,'Spell Database'!$A$2:$W$1214,3,FALSE))</f>
        <v/>
      </c>
      <c r="AS52" s="181" t="str">
        <f>IF(AV50="","",VLOOKUP(AV50,'Spell Database'!$A$2:$W$1214,7,FALSE))</f>
        <v/>
      </c>
      <c r="AT52" s="32"/>
      <c r="AV52" s="40"/>
      <c r="BV52" s="41"/>
      <c r="BW52" s="34"/>
      <c r="BX52" s="399">
        <v>0.0</v>
      </c>
      <c r="BY52" s="44"/>
      <c r="CB52" s="214" t="str">
        <f>IF(CI50="","",VLOOKUP(CI50,'Spell Database'!$A$2:$W$1214,12,FALSE))</f>
        <v/>
      </c>
      <c r="CD52" s="179" t="str">
        <f>IF(CI50="","",VLOOKUP(CI50,'Spell Database'!$A$2:$W$1214,3,FALSE))</f>
        <v/>
      </c>
      <c r="CF52" s="181" t="str">
        <f>IF(CI50="","",VLOOKUP(CI50,'Spell Database'!$A$2:$W$1214,7,FALSE))</f>
        <v/>
      </c>
      <c r="CG52" s="32"/>
      <c r="CI52" s="40"/>
      <c r="DI52" s="41"/>
      <c r="DJ52" s="34"/>
      <c r="DK52" s="407"/>
      <c r="DL52" s="29"/>
      <c r="DM52" s="29"/>
      <c r="DN52" s="29"/>
      <c r="DO52" s="32"/>
      <c r="DP52" s="35"/>
    </row>
    <row r="53" ht="9.75" customHeight="1">
      <c r="A53" s="33"/>
      <c r="B53" s="48" t="s">
        <v>206</v>
      </c>
      <c r="F53" s="48" t="s">
        <v>207</v>
      </c>
      <c r="I53" s="40"/>
      <c r="AI53" s="41"/>
      <c r="AJ53" s="35"/>
      <c r="AK53" s="35"/>
      <c r="AL53" s="35"/>
      <c r="AM53" s="35"/>
      <c r="AO53" s="48" t="s">
        <v>206</v>
      </c>
      <c r="AS53" s="48" t="s">
        <v>207</v>
      </c>
      <c r="AV53" s="40"/>
      <c r="BV53" s="41"/>
      <c r="BW53" s="35"/>
      <c r="BX53" s="35"/>
      <c r="BY53" s="35"/>
      <c r="CB53" s="48" t="s">
        <v>206</v>
      </c>
      <c r="CF53" s="48" t="s">
        <v>207</v>
      </c>
      <c r="CI53" s="40"/>
      <c r="DI53" s="41"/>
      <c r="DJ53" s="35"/>
      <c r="DP53" s="35"/>
    </row>
    <row r="54" ht="15.75" customHeight="1">
      <c r="A54" s="33"/>
      <c r="B54" s="236" t="str">
        <f>IF(I50="","",VLOOKUP(I50,'Spell Database'!$A$2:$W$1214,11,FALSE))</f>
        <v/>
      </c>
      <c r="C54" s="29"/>
      <c r="D54" s="32"/>
      <c r="F54" s="159" t="str">
        <f>IF(I50="","",VLOOKUP(I50,'Spell Database'!$A$2:$W$1214,4,FALSE))</f>
        <v/>
      </c>
      <c r="G54" s="32"/>
      <c r="I54" s="42"/>
      <c r="J54" s="43"/>
      <c r="K54" s="43"/>
      <c r="L54" s="43"/>
      <c r="M54" s="43"/>
      <c r="N54" s="43"/>
      <c r="O54" s="43"/>
      <c r="P54" s="43"/>
      <c r="Q54" s="43"/>
      <c r="R54" s="43"/>
      <c r="S54" s="43"/>
      <c r="T54" s="43"/>
      <c r="U54" s="43"/>
      <c r="V54" s="43"/>
      <c r="W54" s="43"/>
      <c r="X54" s="43"/>
      <c r="Y54" s="43"/>
      <c r="Z54" s="43"/>
      <c r="AA54" s="43"/>
      <c r="AB54" s="43"/>
      <c r="AC54" s="43"/>
      <c r="AD54" s="43"/>
      <c r="AE54" s="43"/>
      <c r="AF54" s="43"/>
      <c r="AG54" s="43"/>
      <c r="AH54" s="43"/>
      <c r="AI54" s="44"/>
      <c r="AJ54" s="34"/>
      <c r="AK54" s="35"/>
      <c r="AL54" s="35"/>
      <c r="AM54" s="35"/>
      <c r="AO54" s="236" t="str">
        <f>IF(AV50="","",VLOOKUP(AV50,'Spell Database'!$A$2:$W$1214,11,FALSE))</f>
        <v/>
      </c>
      <c r="AP54" s="29"/>
      <c r="AQ54" s="32"/>
      <c r="AS54" s="159" t="str">
        <f>IF(AV50="","",VLOOKUP(AV50,'Spell Database'!$A$2:$W$1214,4,FALSE))</f>
        <v/>
      </c>
      <c r="AT54" s="32"/>
      <c r="AV54" s="42"/>
      <c r="AW54" s="43"/>
      <c r="AX54" s="43"/>
      <c r="AY54" s="43"/>
      <c r="AZ54" s="43"/>
      <c r="BA54" s="43"/>
      <c r="BB54" s="43"/>
      <c r="BC54" s="43"/>
      <c r="BD54" s="43"/>
      <c r="BE54" s="43"/>
      <c r="BF54" s="43"/>
      <c r="BG54" s="43"/>
      <c r="BH54" s="43"/>
      <c r="BI54" s="43"/>
      <c r="BJ54" s="43"/>
      <c r="BK54" s="43"/>
      <c r="BL54" s="43"/>
      <c r="BM54" s="43"/>
      <c r="BN54" s="43"/>
      <c r="BO54" s="43"/>
      <c r="BP54" s="43"/>
      <c r="BQ54" s="43"/>
      <c r="BR54" s="43"/>
      <c r="BS54" s="43"/>
      <c r="BT54" s="43"/>
      <c r="BU54" s="43"/>
      <c r="BV54" s="44"/>
      <c r="BW54" s="34"/>
      <c r="BX54" s="35"/>
      <c r="BY54" s="35"/>
      <c r="CB54" s="236" t="str">
        <f>IF(CI50="","",VLOOKUP(CI50,'Spell Database'!$A$2:$W$1214,11,FALSE))</f>
        <v/>
      </c>
      <c r="CC54" s="29"/>
      <c r="CD54" s="32"/>
      <c r="CF54" s="159" t="str">
        <f>IF(CI50="","",VLOOKUP(CI50,'Spell Database'!$A$2:$W$1214,4,FALSE))</f>
        <v/>
      </c>
      <c r="CG54" s="32"/>
      <c r="CI54" s="42"/>
      <c r="CJ54" s="43"/>
      <c r="CK54" s="43"/>
      <c r="CL54" s="43"/>
      <c r="CM54" s="43"/>
      <c r="CN54" s="43"/>
      <c r="CO54" s="43"/>
      <c r="CP54" s="43"/>
      <c r="CQ54" s="43"/>
      <c r="CR54" s="43"/>
      <c r="CS54" s="43"/>
      <c r="CT54" s="43"/>
      <c r="CU54" s="43"/>
      <c r="CV54" s="43"/>
      <c r="CW54" s="43"/>
      <c r="CX54" s="43"/>
      <c r="CY54" s="43"/>
      <c r="CZ54" s="43"/>
      <c r="DA54" s="43"/>
      <c r="DB54" s="43"/>
      <c r="DC54" s="43"/>
      <c r="DD54" s="43"/>
      <c r="DE54" s="43"/>
      <c r="DF54" s="43"/>
      <c r="DG54" s="43"/>
      <c r="DH54" s="43"/>
      <c r="DI54" s="44"/>
      <c r="DJ54" s="34"/>
      <c r="DN54" s="427"/>
      <c r="DO54" s="427"/>
      <c r="DP54" s="35"/>
    </row>
    <row r="55" ht="9.75" customHeight="1">
      <c r="A55" s="33"/>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35"/>
      <c r="BK55" s="35"/>
      <c r="BL55" s="35"/>
      <c r="BM55" s="35"/>
      <c r="BN55" s="35"/>
      <c r="BO55" s="35"/>
      <c r="BP55" s="35"/>
      <c r="BQ55" s="35"/>
      <c r="BR55" s="35"/>
      <c r="BS55" s="35"/>
      <c r="BT55" s="35"/>
      <c r="BU55" s="35"/>
      <c r="BV55" s="35"/>
      <c r="BW55" s="35"/>
      <c r="BX55" s="35"/>
      <c r="BY55" s="35"/>
      <c r="BZ55" s="35"/>
      <c r="CA55" s="35"/>
      <c r="CB55" s="48" t="s">
        <v>159</v>
      </c>
      <c r="CD55" s="48" t="s">
        <v>160</v>
      </c>
      <c r="CF55" s="48" t="s">
        <v>162</v>
      </c>
      <c r="CI55" s="173" t="s">
        <v>164</v>
      </c>
      <c r="CJ55" s="173"/>
      <c r="CK55" s="173"/>
      <c r="CL55" s="173"/>
      <c r="CM55" s="173"/>
      <c r="CN55" s="173"/>
      <c r="CO55" s="173"/>
      <c r="CP55" s="173"/>
      <c r="CQ55" s="173"/>
      <c r="CR55" s="173"/>
      <c r="CS55" s="48" t="s">
        <v>168</v>
      </c>
      <c r="CV55" s="48" t="s">
        <v>169</v>
      </c>
      <c r="DC55" s="48" t="s">
        <v>170</v>
      </c>
      <c r="DH55" s="173" t="s">
        <v>1357</v>
      </c>
      <c r="DJ55" s="35"/>
      <c r="DK55" s="53" t="s">
        <v>1360</v>
      </c>
      <c r="DM55" s="35"/>
      <c r="DN55" s="411" t="s">
        <v>196</v>
      </c>
      <c r="DO55" s="43"/>
      <c r="DP55" s="35"/>
    </row>
    <row r="56" ht="15.75" customHeight="1">
      <c r="A56" s="33"/>
      <c r="B56" s="28" t="s">
        <v>2593</v>
      </c>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A56" s="29"/>
      <c r="BB56" s="29"/>
      <c r="BC56" s="29"/>
      <c r="BD56" s="29"/>
      <c r="BE56" s="29"/>
      <c r="BF56" s="29"/>
      <c r="BG56" s="29"/>
      <c r="BH56" s="29"/>
      <c r="BI56" s="29"/>
      <c r="BJ56" s="29"/>
      <c r="BK56" s="29"/>
      <c r="BL56" s="29"/>
      <c r="BM56" s="29"/>
      <c r="BN56" s="29"/>
      <c r="BO56" s="29"/>
      <c r="BP56" s="29"/>
      <c r="BQ56" s="29"/>
      <c r="BR56" s="29"/>
      <c r="BS56" s="29"/>
      <c r="BT56" s="29"/>
      <c r="BU56" s="29"/>
      <c r="BV56" s="29"/>
      <c r="BW56" s="29"/>
      <c r="BX56" s="29"/>
      <c r="BY56" s="32"/>
      <c r="BZ56" s="35"/>
      <c r="CA56" s="35"/>
      <c r="CB56" s="179" t="str">
        <f>IF(CI56="","",VLOOKUP(CI56,'Spell Database'!$A$2:$W$1214,2,FALSE))</f>
        <v/>
      </c>
      <c r="CD56" s="179" t="str">
        <f>IF(CI56="","",VLOOKUP(CI56,'Spell Database'!$A$2:$W$1214,5,FALSE))</f>
        <v/>
      </c>
      <c r="CF56" s="181" t="str">
        <f>IF(CI56="","",VLOOKUP(CI56,'Spell Database'!$A$2:$W$1214,6,FALSE))</f>
        <v/>
      </c>
      <c r="CG56" s="32"/>
      <c r="CI56" s="184"/>
      <c r="CJ56" s="19"/>
      <c r="CK56" s="19"/>
      <c r="CL56" s="19"/>
      <c r="CM56" s="19"/>
      <c r="CN56" s="19"/>
      <c r="CO56" s="19"/>
      <c r="CP56" s="19"/>
      <c r="CQ56" s="19"/>
      <c r="CR56" s="19"/>
      <c r="CS56" s="159" t="str">
        <f>IF(CI56="","",VLOOKUP(CI56,'Spell Database'!$A$2:$W$1214,8,FALSE))</f>
        <v/>
      </c>
      <c r="CT56" s="29"/>
      <c r="CU56" s="32"/>
      <c r="CV56" s="191" t="str">
        <f>IF(CI56="","",VLOOKUP(CI56,'Spell Database'!$A$2:$W$1214,9,FALSE))</f>
        <v/>
      </c>
      <c r="CW56" s="29"/>
      <c r="CX56" s="29"/>
      <c r="CY56" s="29"/>
      <c r="CZ56" s="29"/>
      <c r="DA56" s="29"/>
      <c r="DB56" s="29"/>
      <c r="DC56" s="159" t="str">
        <f>IF(CI56="","",VLOOKUP(CI56,'Spell Database'!$A$2:$W$1214,10,FALSE))</f>
        <v/>
      </c>
      <c r="DD56" s="29"/>
      <c r="DE56" s="29"/>
      <c r="DF56" s="29"/>
      <c r="DG56" s="32"/>
      <c r="DH56" s="396"/>
      <c r="DI56" s="32"/>
      <c r="DJ56" s="35"/>
      <c r="DK56" s="396"/>
      <c r="DL56" s="32"/>
      <c r="DN56" s="399"/>
      <c r="DO56" s="44"/>
      <c r="DP56" s="35"/>
    </row>
    <row r="57" ht="9.75" customHeight="1">
      <c r="A57" s="33"/>
      <c r="B57" s="48" t="s">
        <v>159</v>
      </c>
      <c r="D57" s="48" t="s">
        <v>160</v>
      </c>
      <c r="F57" s="48" t="s">
        <v>162</v>
      </c>
      <c r="I57" s="173" t="s">
        <v>164</v>
      </c>
      <c r="J57" s="173"/>
      <c r="K57" s="173"/>
      <c r="L57" s="173"/>
      <c r="M57" s="173"/>
      <c r="N57" s="173"/>
      <c r="O57" s="173"/>
      <c r="P57" s="173"/>
      <c r="Q57" s="173"/>
      <c r="R57" s="173"/>
      <c r="S57" s="173"/>
      <c r="T57" s="173"/>
      <c r="U57" s="48" t="s">
        <v>168</v>
      </c>
      <c r="X57" s="48" t="s">
        <v>169</v>
      </c>
      <c r="AE57" s="48" t="s">
        <v>170</v>
      </c>
      <c r="AJ57" s="35"/>
      <c r="AK57" s="53" t="s">
        <v>1347</v>
      </c>
      <c r="AM57" s="35"/>
      <c r="AN57" s="35"/>
      <c r="AO57" s="48" t="s">
        <v>159</v>
      </c>
      <c r="AQ57" s="48" t="s">
        <v>160</v>
      </c>
      <c r="AS57" s="48" t="s">
        <v>162</v>
      </c>
      <c r="AV57" s="173" t="s">
        <v>164</v>
      </c>
      <c r="AW57" s="173"/>
      <c r="AX57" s="173"/>
      <c r="AY57" s="173"/>
      <c r="AZ57" s="173"/>
      <c r="BA57" s="173"/>
      <c r="BB57" s="173"/>
      <c r="BC57" s="173"/>
      <c r="BD57" s="173"/>
      <c r="BE57" s="173"/>
      <c r="BF57" s="173"/>
      <c r="BG57" s="173"/>
      <c r="BH57" s="48" t="s">
        <v>168</v>
      </c>
      <c r="BK57" s="48" t="s">
        <v>169</v>
      </c>
      <c r="BR57" s="48" t="s">
        <v>170</v>
      </c>
      <c r="BW57" s="35"/>
      <c r="BX57" s="53" t="s">
        <v>1347</v>
      </c>
      <c r="BZ57" s="35"/>
      <c r="CA57" s="35"/>
      <c r="CB57" s="48" t="s">
        <v>189</v>
      </c>
      <c r="CD57" s="48" t="s">
        <v>190</v>
      </c>
      <c r="CE57" s="53"/>
      <c r="CF57" s="340" t="s">
        <v>191</v>
      </c>
      <c r="CH57" s="53"/>
      <c r="CI57" s="208" t="str">
        <f>IF(CI56="","",VLOOKUP(CI56,'Spell Database'!$A$2:$V$1214, (IFs(CB56=1,"13", CB56=2,"14", CB56=3,"15", CB56=4,"16", CB56=5,"17", CB56=6,"18", CB56=7,"19", CB56=8,"20", CB56=9,"21", CB56=10,"22")),FALSE))</f>
        <v/>
      </c>
      <c r="CJ57" s="19"/>
      <c r="CK57" s="19"/>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21"/>
      <c r="DJ57" s="53"/>
      <c r="DK57" s="53" t="s">
        <v>284</v>
      </c>
      <c r="DP57" s="35"/>
    </row>
    <row r="58" ht="15.75" customHeight="1">
      <c r="A58" s="33"/>
      <c r="B58" s="179" t="str">
        <f>IF(I58="","",VLOOKUP(I58,'Spell Database'!$A$2:$W$1214,2,FALSE))</f>
        <v/>
      </c>
      <c r="D58" s="179" t="str">
        <f>IF(I58="","",VLOOKUP(I58,'Spell Database'!$A$2:$W$1214,5,FALSE))</f>
        <v/>
      </c>
      <c r="F58" s="181" t="str">
        <f>IF(I58="","",VLOOKUP(I58,'Spell Database'!$A$2:$W$1214,6,FALSE))</f>
        <v/>
      </c>
      <c r="G58" s="32"/>
      <c r="I58" s="184"/>
      <c r="J58" s="19"/>
      <c r="K58" s="19"/>
      <c r="L58" s="19"/>
      <c r="M58" s="19"/>
      <c r="N58" s="19"/>
      <c r="O58" s="19"/>
      <c r="P58" s="19"/>
      <c r="Q58" s="19"/>
      <c r="R58" s="19"/>
      <c r="S58" s="19"/>
      <c r="T58" s="19"/>
      <c r="U58" s="159" t="str">
        <f>IF(I58="","",VLOOKUP(I58,'Spell Database'!$A$2:$W$1214,8,FALSE))</f>
        <v/>
      </c>
      <c r="V58" s="29"/>
      <c r="W58" s="32"/>
      <c r="X58" s="191" t="str">
        <f>IF(I58="","",VLOOKUP(I58,'Spell Database'!$A$2:$W$1214,9,FALSE))</f>
        <v/>
      </c>
      <c r="Y58" s="29"/>
      <c r="Z58" s="29"/>
      <c r="AA58" s="29"/>
      <c r="AB58" s="29"/>
      <c r="AC58" s="29"/>
      <c r="AD58" s="29"/>
      <c r="AE58" s="159" t="str">
        <f>IF(I58="","",VLOOKUP(I58,'Spell Database'!$A$2:$W$1214,10,FALSE))</f>
        <v/>
      </c>
      <c r="AF58" s="29"/>
      <c r="AG58" s="29"/>
      <c r="AH58" s="29"/>
      <c r="AI58" s="32"/>
      <c r="AJ58" s="35"/>
      <c r="AK58" s="396"/>
      <c r="AL58" s="32"/>
      <c r="AM58" s="35"/>
      <c r="AN58" s="35"/>
      <c r="AO58" s="179" t="str">
        <f>IF(AV58="","",VLOOKUP(AV58,'Spell Database'!$A$2:$W$1214,2,FALSE))</f>
        <v/>
      </c>
      <c r="AQ58" s="179" t="str">
        <f>IF(AV58="","",VLOOKUP(AV58,'Spell Database'!$A$2:$W$1214,5,FALSE))</f>
        <v/>
      </c>
      <c r="AS58" s="181" t="str">
        <f>IF(AV58="","",VLOOKUP(AV58,'Spell Database'!$A$2:$W$1214,6,FALSE))</f>
        <v/>
      </c>
      <c r="AT58" s="32"/>
      <c r="AV58" s="184"/>
      <c r="AW58" s="19"/>
      <c r="AX58" s="19"/>
      <c r="AY58" s="19"/>
      <c r="AZ58" s="19"/>
      <c r="BA58" s="19"/>
      <c r="BB58" s="19"/>
      <c r="BC58" s="19"/>
      <c r="BD58" s="19"/>
      <c r="BE58" s="19"/>
      <c r="BF58" s="19"/>
      <c r="BG58" s="19"/>
      <c r="BH58" s="159" t="str">
        <f>IF(AV58="","",VLOOKUP(AV58,'Spell Database'!$A$2:$W$1214,8,FALSE))</f>
        <v/>
      </c>
      <c r="BI58" s="29"/>
      <c r="BJ58" s="32"/>
      <c r="BK58" s="191" t="str">
        <f>IF(AV58="","",VLOOKUP(AV58,'Spell Database'!$A$2:$W$1214,9,FALSE))</f>
        <v/>
      </c>
      <c r="BL58" s="29"/>
      <c r="BM58" s="29"/>
      <c r="BN58" s="29"/>
      <c r="BO58" s="29"/>
      <c r="BP58" s="29"/>
      <c r="BQ58" s="29"/>
      <c r="BR58" s="159" t="str">
        <f>IF(AV58="","",VLOOKUP(AV58,'Spell Database'!$A$2:$W$1214,10,FALSE))</f>
        <v/>
      </c>
      <c r="BS58" s="29"/>
      <c r="BT58" s="29"/>
      <c r="BU58" s="29"/>
      <c r="BV58" s="32"/>
      <c r="BW58" s="35"/>
      <c r="BX58" s="396"/>
      <c r="BY58" s="32"/>
      <c r="BZ58" s="35"/>
      <c r="CA58" s="35"/>
      <c r="CB58" s="214" t="str">
        <f>IF(CI56="","",VLOOKUP(CI56,'Spell Database'!$A$2:$W$1214,12,FALSE))</f>
        <v/>
      </c>
      <c r="CD58" s="179" t="str">
        <f>IF(CI56="","",VLOOKUP(CI56,'Spell Database'!$A$2:$W$1214,3,FALSE))</f>
        <v/>
      </c>
      <c r="CF58" s="181" t="str">
        <f>IF(CI56="","",VLOOKUP(CI56,'Spell Database'!$A$2:$W$1214,7,FALSE))</f>
        <v/>
      </c>
      <c r="CG58" s="32"/>
      <c r="CI58" s="40"/>
      <c r="DI58" s="41"/>
      <c r="DJ58" s="34"/>
      <c r="DK58" s="407"/>
      <c r="DL58" s="29"/>
      <c r="DM58" s="29"/>
      <c r="DN58" s="29"/>
      <c r="DO58" s="32"/>
      <c r="DP58" s="35"/>
    </row>
    <row r="59" ht="10.5" customHeight="1">
      <c r="A59" s="33"/>
      <c r="B59" s="48" t="s">
        <v>189</v>
      </c>
      <c r="D59" s="48" t="s">
        <v>190</v>
      </c>
      <c r="E59" s="53"/>
      <c r="F59" s="204" t="s">
        <v>191</v>
      </c>
      <c r="H59" s="53"/>
      <c r="I59" s="208" t="str">
        <f>IF(I58="","",VLOOKUP(I58,'Spell Database'!$A$2:$V$1214, (IFs(B58=1,"13", B58=2,"14", B58=3,"15", B58=4,"16", B58=5,"17", B58=6,"18", B58=7,"19", B58=8,"20", B58=9,"21", B58=10,"22")),FALSE))</f>
        <v/>
      </c>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21"/>
      <c r="AJ59" s="53"/>
      <c r="AK59" s="391" t="s">
        <v>196</v>
      </c>
      <c r="AL59" s="29"/>
      <c r="AM59" s="35"/>
      <c r="AN59" s="35"/>
      <c r="AO59" s="48" t="s">
        <v>189</v>
      </c>
      <c r="AQ59" s="48" t="s">
        <v>190</v>
      </c>
      <c r="AR59" s="53"/>
      <c r="AS59" s="204" t="s">
        <v>191</v>
      </c>
      <c r="AU59" s="53"/>
      <c r="AV59" s="208" t="str">
        <f>IF(AV58="","",VLOOKUP(AV58,'Spell Database'!$A$2:$V$1214, (IFs(AO58=1,"13", AO58=2,"14", AO58=3,"15", AO58=4,"16", AO58=5,"17", AO58=6,"18", AO58=7,"19", AO58=8,"20", AO58=9,"21", AO58=10,"22")),FALSE))</f>
        <v/>
      </c>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21"/>
      <c r="BW59" s="53"/>
      <c r="BX59" s="391" t="s">
        <v>196</v>
      </c>
      <c r="BY59" s="29"/>
      <c r="BZ59" s="35"/>
      <c r="CA59" s="35"/>
      <c r="CB59" s="48" t="s">
        <v>206</v>
      </c>
      <c r="CF59" s="48" t="s">
        <v>207</v>
      </c>
      <c r="CI59" s="40"/>
      <c r="DI59" s="41"/>
      <c r="DJ59" s="35"/>
      <c r="DP59" s="35"/>
    </row>
    <row r="60" ht="15.75" customHeight="1">
      <c r="A60" s="33"/>
      <c r="B60" s="214" t="str">
        <f>IF(I58="","",VLOOKUP(I58,'Spell Database'!$A$2:$W$1214,12,FALSE))</f>
        <v/>
      </c>
      <c r="D60" s="179" t="str">
        <f>IF(I58="","",VLOOKUP(I58,'Spell Database'!$A$2:$W$1214,3,FALSE))</f>
        <v/>
      </c>
      <c r="F60" s="181" t="str">
        <f>IF(I58="","",VLOOKUP(I58,'Spell Database'!$A$2:$W$1214,7,FALSE))</f>
        <v/>
      </c>
      <c r="G60" s="32"/>
      <c r="I60" s="40"/>
      <c r="AI60" s="41"/>
      <c r="AJ60" s="34"/>
      <c r="AK60" s="399"/>
      <c r="AL60" s="44"/>
      <c r="AM60" s="35"/>
      <c r="AN60" s="35"/>
      <c r="AO60" s="214" t="str">
        <f>IF(AV58="","",VLOOKUP(AV58,'Spell Database'!$A$2:$W$1214,12,FALSE))</f>
        <v/>
      </c>
      <c r="AQ60" s="179" t="str">
        <f>IF(AV58="","",VLOOKUP(AV58,'Spell Database'!$A$2:$W$1214,3,FALSE))</f>
        <v/>
      </c>
      <c r="AS60" s="181" t="str">
        <f>IF(AV58="","",VLOOKUP(AV58,'Spell Database'!$A$2:$W$1214,7,FALSE))</f>
        <v/>
      </c>
      <c r="AT60" s="32"/>
      <c r="AV60" s="40"/>
      <c r="BV60" s="41"/>
      <c r="BW60" s="34"/>
      <c r="BX60" s="399"/>
      <c r="BY60" s="44"/>
      <c r="BZ60" s="35"/>
      <c r="CA60" s="35"/>
      <c r="CB60" s="236" t="str">
        <f>IF(CI56="","",VLOOKUP(CI56,'Spell Database'!$A$2:$W$1214,11,FALSE))</f>
        <v/>
      </c>
      <c r="CC60" s="29"/>
      <c r="CD60" s="32"/>
      <c r="CF60" s="159" t="str">
        <f>IF(CI56="","",VLOOKUP(CI56,'Spell Database'!$A$2:$W$1214,4,FALSE))</f>
        <v/>
      </c>
      <c r="CG60" s="32"/>
      <c r="CI60" s="42"/>
      <c r="CJ60" s="43"/>
      <c r="CK60" s="43"/>
      <c r="CL60" s="43"/>
      <c r="CM60" s="43"/>
      <c r="CN60" s="43"/>
      <c r="CO60" s="43"/>
      <c r="CP60" s="43"/>
      <c r="CQ60" s="43"/>
      <c r="CR60" s="43"/>
      <c r="CS60" s="43"/>
      <c r="CT60" s="43"/>
      <c r="CU60" s="43"/>
      <c r="CV60" s="43"/>
      <c r="CW60" s="43"/>
      <c r="CX60" s="43"/>
      <c r="CY60" s="43"/>
      <c r="CZ60" s="43"/>
      <c r="DA60" s="43"/>
      <c r="DB60" s="43"/>
      <c r="DC60" s="43"/>
      <c r="DD60" s="43"/>
      <c r="DE60" s="43"/>
      <c r="DF60" s="43"/>
      <c r="DG60" s="43"/>
      <c r="DH60" s="43"/>
      <c r="DI60" s="44"/>
      <c r="DJ60" s="34"/>
      <c r="DN60" s="427"/>
      <c r="DO60" s="427"/>
      <c r="DP60" s="35"/>
    </row>
    <row r="61" ht="9.75" customHeight="1">
      <c r="A61" s="33"/>
      <c r="B61" s="48" t="s">
        <v>206</v>
      </c>
      <c r="F61" s="48" t="s">
        <v>207</v>
      </c>
      <c r="I61" s="40"/>
      <c r="AI61" s="41"/>
      <c r="AJ61" s="35"/>
      <c r="AK61" s="35"/>
      <c r="AL61" s="35"/>
      <c r="AM61" s="35"/>
      <c r="AN61" s="35"/>
      <c r="AO61" s="48" t="s">
        <v>206</v>
      </c>
      <c r="AS61" s="48" t="s">
        <v>207</v>
      </c>
      <c r="AV61" s="40"/>
      <c r="BV61" s="41"/>
      <c r="BW61" s="35"/>
      <c r="BX61" s="35"/>
      <c r="BY61" s="35"/>
      <c r="BZ61" s="35"/>
      <c r="CA61" s="35"/>
      <c r="CB61" s="48" t="s">
        <v>159</v>
      </c>
      <c r="CD61" s="48" t="s">
        <v>160</v>
      </c>
      <c r="CF61" s="48" t="s">
        <v>162</v>
      </c>
      <c r="CI61" s="173" t="s">
        <v>164</v>
      </c>
      <c r="CJ61" s="173"/>
      <c r="CK61" s="173"/>
      <c r="CL61" s="173"/>
      <c r="CM61" s="173"/>
      <c r="CN61" s="173"/>
      <c r="CO61" s="173"/>
      <c r="CP61" s="173"/>
      <c r="CQ61" s="173"/>
      <c r="CR61" s="173"/>
      <c r="CS61" s="48" t="s">
        <v>168</v>
      </c>
      <c r="CV61" s="48" t="s">
        <v>169</v>
      </c>
      <c r="DC61" s="48" t="s">
        <v>170</v>
      </c>
      <c r="DH61" s="173" t="s">
        <v>1357</v>
      </c>
      <c r="DJ61" s="35"/>
      <c r="DK61" s="53" t="s">
        <v>1360</v>
      </c>
      <c r="DM61" s="35"/>
      <c r="DN61" s="411" t="s">
        <v>196</v>
      </c>
      <c r="DO61" s="43"/>
      <c r="DP61" s="35"/>
    </row>
    <row r="62" ht="15.75" customHeight="1">
      <c r="A62" s="33"/>
      <c r="B62" s="236" t="str">
        <f>IF(I58="","",VLOOKUP(I58,'Spell Database'!$A$2:$W$1214,11,FALSE))</f>
        <v/>
      </c>
      <c r="C62" s="29"/>
      <c r="D62" s="32"/>
      <c r="F62" s="159" t="str">
        <f>IF(I58="","",VLOOKUP(I58,'Spell Database'!$A$2:$W$1214,4,FALSE))</f>
        <v/>
      </c>
      <c r="G62" s="32"/>
      <c r="I62" s="42"/>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4"/>
      <c r="AJ62" s="34"/>
      <c r="AK62" s="35"/>
      <c r="AL62" s="35"/>
      <c r="AM62" s="35"/>
      <c r="AN62" s="35"/>
      <c r="AO62" s="236" t="str">
        <f>IF(AV58="","",VLOOKUP(AV58,'Spell Database'!$A$2:$W$1214,11,FALSE))</f>
        <v/>
      </c>
      <c r="AP62" s="29"/>
      <c r="AQ62" s="32"/>
      <c r="AS62" s="159" t="str">
        <f>IF(AV58="","",VLOOKUP(AV58,'Spell Database'!$A$2:$W$1214,4,FALSE))</f>
        <v/>
      </c>
      <c r="AT62" s="32"/>
      <c r="AV62" s="42"/>
      <c r="AW62" s="43"/>
      <c r="AX62" s="43"/>
      <c r="AY62" s="43"/>
      <c r="AZ62" s="43"/>
      <c r="BA62" s="43"/>
      <c r="BB62" s="43"/>
      <c r="BC62" s="43"/>
      <c r="BD62" s="43"/>
      <c r="BE62" s="43"/>
      <c r="BF62" s="43"/>
      <c r="BG62" s="43"/>
      <c r="BH62" s="43"/>
      <c r="BI62" s="43"/>
      <c r="BJ62" s="43"/>
      <c r="BK62" s="43"/>
      <c r="BL62" s="43"/>
      <c r="BM62" s="43"/>
      <c r="BN62" s="43"/>
      <c r="BO62" s="43"/>
      <c r="BP62" s="43"/>
      <c r="BQ62" s="43"/>
      <c r="BR62" s="43"/>
      <c r="BS62" s="43"/>
      <c r="BT62" s="43"/>
      <c r="BU62" s="43"/>
      <c r="BV62" s="44"/>
      <c r="BW62" s="34"/>
      <c r="BX62" s="35"/>
      <c r="BY62" s="35"/>
      <c r="BZ62" s="35"/>
      <c r="CA62" s="35"/>
      <c r="CB62" s="179" t="str">
        <f>IF(CI62="","",VLOOKUP(CI62,'Spell Database'!$A$2:$W$1214,2,FALSE))</f>
        <v/>
      </c>
      <c r="CD62" s="179" t="str">
        <f>IF(CI62="","",VLOOKUP(CI62,'Spell Database'!$A$2:$W$1214,5,FALSE))</f>
        <v/>
      </c>
      <c r="CF62" s="181" t="str">
        <f>IF(CI62="","",VLOOKUP(CI62,'Spell Database'!$A$2:$W$1214,6,FALSE))</f>
        <v/>
      </c>
      <c r="CG62" s="32"/>
      <c r="CI62" s="184"/>
      <c r="CJ62" s="19"/>
      <c r="CK62" s="19"/>
      <c r="CL62" s="19"/>
      <c r="CM62" s="19"/>
      <c r="CN62" s="19"/>
      <c r="CO62" s="19"/>
      <c r="CP62" s="19"/>
      <c r="CQ62" s="19"/>
      <c r="CR62" s="19"/>
      <c r="CS62" s="159" t="str">
        <f>IF(CI62="","",VLOOKUP(CI62,'Spell Database'!$A$2:$W$1214,8,FALSE))</f>
        <v/>
      </c>
      <c r="CT62" s="29"/>
      <c r="CU62" s="32"/>
      <c r="CV62" s="191" t="str">
        <f>IF(CI62="","",VLOOKUP(CI62,'Spell Database'!$A$2:$W$1214,9,FALSE))</f>
        <v/>
      </c>
      <c r="CW62" s="29"/>
      <c r="CX62" s="29"/>
      <c r="CY62" s="29"/>
      <c r="CZ62" s="29"/>
      <c r="DA62" s="29"/>
      <c r="DB62" s="29"/>
      <c r="DC62" s="159" t="str">
        <f>IF(CI62="","",VLOOKUP(CI62,'Spell Database'!$A$2:$W$1214,10,FALSE))</f>
        <v/>
      </c>
      <c r="DD62" s="29"/>
      <c r="DE62" s="29"/>
      <c r="DF62" s="29"/>
      <c r="DG62" s="32"/>
      <c r="DH62" s="396"/>
      <c r="DI62" s="32"/>
      <c r="DJ62" s="35"/>
      <c r="DK62" s="396"/>
      <c r="DL62" s="32"/>
      <c r="DN62" s="399"/>
      <c r="DO62" s="44"/>
      <c r="DP62" s="35"/>
    </row>
    <row r="63" ht="9.75" customHeight="1">
      <c r="A63" s="33"/>
      <c r="B63" s="48" t="s">
        <v>159</v>
      </c>
      <c r="D63" s="48" t="s">
        <v>160</v>
      </c>
      <c r="F63" s="48" t="s">
        <v>162</v>
      </c>
      <c r="I63" s="173" t="s">
        <v>164</v>
      </c>
      <c r="J63" s="173"/>
      <c r="K63" s="173"/>
      <c r="L63" s="173"/>
      <c r="M63" s="173"/>
      <c r="N63" s="173"/>
      <c r="O63" s="173"/>
      <c r="P63" s="173"/>
      <c r="Q63" s="173"/>
      <c r="R63" s="173"/>
      <c r="S63" s="173"/>
      <c r="T63" s="173"/>
      <c r="U63" s="48" t="s">
        <v>168</v>
      </c>
      <c r="X63" s="48" t="s">
        <v>169</v>
      </c>
      <c r="AE63" s="48" t="s">
        <v>170</v>
      </c>
      <c r="AJ63" s="35"/>
      <c r="AK63" s="53" t="s">
        <v>1347</v>
      </c>
      <c r="AM63" s="35"/>
      <c r="AN63" s="35"/>
      <c r="AO63" s="48" t="s">
        <v>159</v>
      </c>
      <c r="AQ63" s="48" t="s">
        <v>160</v>
      </c>
      <c r="AS63" s="48" t="s">
        <v>162</v>
      </c>
      <c r="AV63" s="173" t="s">
        <v>164</v>
      </c>
      <c r="AW63" s="173"/>
      <c r="AX63" s="173"/>
      <c r="AY63" s="173"/>
      <c r="AZ63" s="173"/>
      <c r="BA63" s="173"/>
      <c r="BB63" s="173"/>
      <c r="BC63" s="173"/>
      <c r="BD63" s="173"/>
      <c r="BE63" s="173"/>
      <c r="BF63" s="173"/>
      <c r="BG63" s="173"/>
      <c r="BH63" s="48" t="s">
        <v>168</v>
      </c>
      <c r="BK63" s="48" t="s">
        <v>169</v>
      </c>
      <c r="BR63" s="48" t="s">
        <v>170</v>
      </c>
      <c r="BW63" s="35"/>
      <c r="BX63" s="53" t="s">
        <v>1347</v>
      </c>
      <c r="BZ63" s="35"/>
      <c r="CA63" s="35"/>
      <c r="CB63" s="48" t="s">
        <v>189</v>
      </c>
      <c r="CD63" s="48" t="s">
        <v>190</v>
      </c>
      <c r="CE63" s="53"/>
      <c r="CF63" s="340" t="s">
        <v>191</v>
      </c>
      <c r="CH63" s="53"/>
      <c r="CI63" s="208" t="str">
        <f>IF(CI62="","",VLOOKUP(CI62,'Spell Database'!$A$2:$V$1214, (IFs(CB62=1,"13", CB62=2,"14", CB62=3,"15", CB62=4,"16", CB62=5,"17", CB62=6,"18", CB62=7,"19", CB62=8,"20", CB62=9,"21", CB62=10,"22")),FALSE))</f>
        <v/>
      </c>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21"/>
      <c r="DJ63" s="53"/>
      <c r="DK63" s="53" t="s">
        <v>284</v>
      </c>
      <c r="DP63" s="35"/>
    </row>
    <row r="64" ht="15.75" customHeight="1">
      <c r="A64" s="33"/>
      <c r="B64" s="179" t="str">
        <f>IF(I64="","",VLOOKUP(I64,'Spell Database'!$A$2:$W$1214,2,FALSE))</f>
        <v/>
      </c>
      <c r="D64" s="179" t="str">
        <f>IF(I64="","",VLOOKUP(I64,'Spell Database'!$A$2:$W$1214,5,FALSE))</f>
        <v/>
      </c>
      <c r="F64" s="181" t="str">
        <f>IF(I64="","",VLOOKUP(I64,'Spell Database'!$A$2:$W$1214,6,FALSE))</f>
        <v/>
      </c>
      <c r="G64" s="32"/>
      <c r="I64" s="184"/>
      <c r="J64" s="19"/>
      <c r="K64" s="19"/>
      <c r="L64" s="19"/>
      <c r="M64" s="19"/>
      <c r="N64" s="19"/>
      <c r="O64" s="19"/>
      <c r="P64" s="19"/>
      <c r="Q64" s="19"/>
      <c r="R64" s="19"/>
      <c r="S64" s="19"/>
      <c r="T64" s="19"/>
      <c r="U64" s="159" t="str">
        <f>IF(I64="","",VLOOKUP(I64,'Spell Database'!$A$2:$W$1214,8,FALSE))</f>
        <v/>
      </c>
      <c r="V64" s="29"/>
      <c r="W64" s="32"/>
      <c r="X64" s="191" t="str">
        <f>IF(I64="","",VLOOKUP(I64,'Spell Database'!$A$2:$W$1214,9,FALSE))</f>
        <v/>
      </c>
      <c r="Y64" s="29"/>
      <c r="Z64" s="29"/>
      <c r="AA64" s="29"/>
      <c r="AB64" s="29"/>
      <c r="AC64" s="29"/>
      <c r="AD64" s="29"/>
      <c r="AE64" s="159" t="str">
        <f>IF(I64="","",VLOOKUP(I64,'Spell Database'!$A$2:$W$1214,10,FALSE))</f>
        <v/>
      </c>
      <c r="AF64" s="29"/>
      <c r="AG64" s="29"/>
      <c r="AH64" s="29"/>
      <c r="AI64" s="32"/>
      <c r="AJ64" s="35"/>
      <c r="AK64" s="396"/>
      <c r="AL64" s="32"/>
      <c r="AM64" s="35"/>
      <c r="AN64" s="35"/>
      <c r="AO64" s="179" t="str">
        <f>IF(AV64="","",VLOOKUP(AV64,'Spell Database'!$A$2:$W$1214,2,FALSE))</f>
        <v/>
      </c>
      <c r="AQ64" s="179" t="str">
        <f>IF(AV64="","",VLOOKUP(AV64,'Spell Database'!$A$2:$W$1214,5,FALSE))</f>
        <v/>
      </c>
      <c r="AS64" s="181" t="str">
        <f>IF(AV64="","",VLOOKUP(AV64,'Spell Database'!$A$2:$W$1214,6,FALSE))</f>
        <v/>
      </c>
      <c r="AT64" s="32"/>
      <c r="AV64" s="184"/>
      <c r="AW64" s="19"/>
      <c r="AX64" s="19"/>
      <c r="AY64" s="19"/>
      <c r="AZ64" s="19"/>
      <c r="BA64" s="19"/>
      <c r="BB64" s="19"/>
      <c r="BC64" s="19"/>
      <c r="BD64" s="19"/>
      <c r="BE64" s="19"/>
      <c r="BF64" s="19"/>
      <c r="BG64" s="19"/>
      <c r="BH64" s="159" t="str">
        <f>IF(AV64="","",VLOOKUP(AV64,'Spell Database'!$A$2:$W$1214,8,FALSE))</f>
        <v/>
      </c>
      <c r="BI64" s="29"/>
      <c r="BJ64" s="32"/>
      <c r="BK64" s="191" t="str">
        <f>IF(AV64="","",VLOOKUP(AV64,'Spell Database'!$A$2:$W$1214,9,FALSE))</f>
        <v/>
      </c>
      <c r="BL64" s="29"/>
      <c r="BM64" s="29"/>
      <c r="BN64" s="29"/>
      <c r="BO64" s="29"/>
      <c r="BP64" s="29"/>
      <c r="BQ64" s="29"/>
      <c r="BR64" s="159" t="str">
        <f>IF(AV64="","",VLOOKUP(AV64,'Spell Database'!$A$2:$W$1214,10,FALSE))</f>
        <v/>
      </c>
      <c r="BS64" s="29"/>
      <c r="BT64" s="29"/>
      <c r="BU64" s="29"/>
      <c r="BV64" s="32"/>
      <c r="BW64" s="35"/>
      <c r="BX64" s="396"/>
      <c r="BY64" s="32"/>
      <c r="BZ64" s="35"/>
      <c r="CA64" s="35"/>
      <c r="CB64" s="214" t="str">
        <f>IF(CI62="","",VLOOKUP(CI62,'Spell Database'!$A$2:$W$1214,12,FALSE))</f>
        <v/>
      </c>
      <c r="CD64" s="179" t="str">
        <f>IF(CI62="","",VLOOKUP(CI62,'Spell Database'!$A$2:$W$1214,3,FALSE))</f>
        <v/>
      </c>
      <c r="CF64" s="181" t="str">
        <f>IF(CI62="","",VLOOKUP(CI62,'Spell Database'!$A$2:$W$1214,7,FALSE))</f>
        <v/>
      </c>
      <c r="CG64" s="32"/>
      <c r="CI64" s="40"/>
      <c r="DI64" s="41"/>
      <c r="DJ64" s="34"/>
      <c r="DK64" s="407"/>
      <c r="DL64" s="29"/>
      <c r="DM64" s="29"/>
      <c r="DN64" s="29"/>
      <c r="DO64" s="32"/>
      <c r="DP64" s="35"/>
    </row>
    <row r="65" ht="9.75" customHeight="1">
      <c r="A65" s="33"/>
      <c r="B65" s="48" t="s">
        <v>189</v>
      </c>
      <c r="D65" s="48" t="s">
        <v>190</v>
      </c>
      <c r="E65" s="53"/>
      <c r="F65" s="340" t="s">
        <v>191</v>
      </c>
      <c r="H65" s="53"/>
      <c r="I65" s="208" t="str">
        <f>IF(I64="","",VLOOKUP(I64,'Spell Database'!$A$2:$V$1214, (IFs(B64=1,"13", B64=2,"14", B64=3,"15", B64=4,"16", B64=5,"17", B64=6,"18", B64=7,"19", B64=8,"20", B64=9,"21", B64=10,"22")),FALSE))</f>
        <v/>
      </c>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21"/>
      <c r="AJ65" s="53"/>
      <c r="AK65" s="391" t="s">
        <v>196</v>
      </c>
      <c r="AL65" s="29"/>
      <c r="AM65" s="35"/>
      <c r="AN65" s="35"/>
      <c r="AO65" s="48" t="s">
        <v>189</v>
      </c>
      <c r="AQ65" s="48" t="s">
        <v>190</v>
      </c>
      <c r="AR65" s="53"/>
      <c r="AS65" s="204" t="s">
        <v>191</v>
      </c>
      <c r="AU65" s="53"/>
      <c r="AV65" s="208" t="str">
        <f>IF(AV64="","",VLOOKUP(AV64,'Spell Database'!$A$2:$V$1214, (IFs(AO64=1,"13", AO64=2,"14", AO64=3,"15", AO64=4,"16", AO64=5,"17", AO64=6,"18", AO64=7,"19", AO64=8,"20", AO64=9,"21", AO64=10,"22")),FALSE))</f>
        <v/>
      </c>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21"/>
      <c r="BW65" s="53"/>
      <c r="BX65" s="391" t="s">
        <v>196</v>
      </c>
      <c r="BY65" s="29"/>
      <c r="BZ65" s="35"/>
      <c r="CA65" s="35"/>
      <c r="CB65" s="48" t="s">
        <v>206</v>
      </c>
      <c r="CF65" s="48" t="s">
        <v>207</v>
      </c>
      <c r="CI65" s="40"/>
      <c r="DI65" s="41"/>
      <c r="DJ65" s="35"/>
      <c r="DP65" s="35"/>
    </row>
    <row r="66" ht="15.75" customHeight="1">
      <c r="A66" s="33"/>
      <c r="B66" s="214" t="str">
        <f>IF(I64="","",VLOOKUP(I64,'Spell Database'!$A$2:$W$1214,12,FALSE))</f>
        <v/>
      </c>
      <c r="D66" s="179" t="str">
        <f>IF(I64="","",VLOOKUP(I64,'Spell Database'!$A$2:$W$1214,3,FALSE))</f>
        <v/>
      </c>
      <c r="F66" s="181" t="str">
        <f>IF(I64="","",VLOOKUP(I64,'Spell Database'!$A$2:$W$1214,7,FALSE))</f>
        <v/>
      </c>
      <c r="G66" s="32"/>
      <c r="I66" s="40"/>
      <c r="AI66" s="41"/>
      <c r="AJ66" s="34"/>
      <c r="AK66" s="399"/>
      <c r="AL66" s="44"/>
      <c r="AM66" s="35"/>
      <c r="AN66" s="35"/>
      <c r="AO66" s="214" t="str">
        <f>IF(AV64="","",VLOOKUP(AV64,'Spell Database'!$A$2:$W$1214,12,FALSE))</f>
        <v/>
      </c>
      <c r="AQ66" s="179" t="str">
        <f>IF(AV64="","",VLOOKUP(AV64,'Spell Database'!$A$2:$W$1214,3,FALSE))</f>
        <v/>
      </c>
      <c r="AS66" s="181" t="str">
        <f>IF(AV64="","",VLOOKUP(AV64,'Spell Database'!$A$2:$W$1214,7,FALSE))</f>
        <v/>
      </c>
      <c r="AT66" s="32"/>
      <c r="AV66" s="40"/>
      <c r="BV66" s="41"/>
      <c r="BW66" s="34"/>
      <c r="BX66" s="399"/>
      <c r="BY66" s="44"/>
      <c r="BZ66" s="35"/>
      <c r="CA66" s="35"/>
      <c r="CB66" s="236" t="str">
        <f>IF(CI62="","",VLOOKUP(CI62,'Spell Database'!$A$2:$W$1214,11,FALSE))</f>
        <v/>
      </c>
      <c r="CC66" s="29"/>
      <c r="CD66" s="32"/>
      <c r="CF66" s="159" t="str">
        <f>IF(CI62="","",VLOOKUP(CI62,'Spell Database'!$A$2:$W$1214,4,FALSE))</f>
        <v/>
      </c>
      <c r="CG66" s="32"/>
      <c r="CI66" s="42"/>
      <c r="CJ66" s="43"/>
      <c r="CK66" s="43"/>
      <c r="CL66" s="43"/>
      <c r="CM66" s="43"/>
      <c r="CN66" s="43"/>
      <c r="CO66" s="43"/>
      <c r="CP66" s="43"/>
      <c r="CQ66" s="43"/>
      <c r="CR66" s="43"/>
      <c r="CS66" s="43"/>
      <c r="CT66" s="43"/>
      <c r="CU66" s="43"/>
      <c r="CV66" s="43"/>
      <c r="CW66" s="43"/>
      <c r="CX66" s="43"/>
      <c r="CY66" s="43"/>
      <c r="CZ66" s="43"/>
      <c r="DA66" s="43"/>
      <c r="DB66" s="43"/>
      <c r="DC66" s="43"/>
      <c r="DD66" s="43"/>
      <c r="DE66" s="43"/>
      <c r="DF66" s="43"/>
      <c r="DG66" s="43"/>
      <c r="DH66" s="43"/>
      <c r="DI66" s="44"/>
      <c r="DJ66" s="34"/>
      <c r="DN66" s="427"/>
      <c r="DO66" s="427"/>
      <c r="DP66" s="35"/>
    </row>
    <row r="67" ht="9.75" customHeight="1">
      <c r="A67" s="33"/>
      <c r="B67" s="48" t="s">
        <v>206</v>
      </c>
      <c r="F67" s="48" t="s">
        <v>207</v>
      </c>
      <c r="I67" s="40"/>
      <c r="AI67" s="41"/>
      <c r="AJ67" s="35"/>
      <c r="AK67" s="35"/>
      <c r="AL67" s="35"/>
      <c r="AM67" s="48"/>
      <c r="AN67" s="48"/>
      <c r="AO67" s="48" t="s">
        <v>206</v>
      </c>
      <c r="AS67" s="48" t="s">
        <v>207</v>
      </c>
      <c r="AV67" s="40"/>
      <c r="BV67" s="41"/>
      <c r="BW67" s="35"/>
      <c r="BX67" s="35"/>
      <c r="BY67" s="35"/>
      <c r="BZ67" s="35"/>
      <c r="CA67" s="35"/>
      <c r="CB67" s="48" t="s">
        <v>159</v>
      </c>
      <c r="CD67" s="48" t="s">
        <v>160</v>
      </c>
      <c r="CF67" s="48" t="s">
        <v>162</v>
      </c>
      <c r="CI67" s="173" t="s">
        <v>164</v>
      </c>
      <c r="CJ67" s="173"/>
      <c r="CK67" s="173"/>
      <c r="CL67" s="173"/>
      <c r="CM67" s="173"/>
      <c r="CN67" s="173"/>
      <c r="CO67" s="173"/>
      <c r="CP67" s="173"/>
      <c r="CQ67" s="173"/>
      <c r="CR67" s="173"/>
      <c r="CS67" s="48" t="s">
        <v>168</v>
      </c>
      <c r="CV67" s="48" t="s">
        <v>169</v>
      </c>
      <c r="DC67" s="48" t="s">
        <v>170</v>
      </c>
      <c r="DH67" s="173" t="s">
        <v>1357</v>
      </c>
      <c r="DJ67" s="35"/>
      <c r="DK67" s="53" t="s">
        <v>1360</v>
      </c>
      <c r="DM67" s="35"/>
      <c r="DN67" s="411" t="s">
        <v>196</v>
      </c>
      <c r="DO67" s="43"/>
      <c r="DP67" s="35"/>
    </row>
    <row r="68" ht="15.75" customHeight="1">
      <c r="A68" s="33"/>
      <c r="B68" s="236" t="str">
        <f>IF(I64="","",VLOOKUP(I64,'Spell Database'!$A$2:$W$1214,11,FALSE))</f>
        <v/>
      </c>
      <c r="C68" s="29"/>
      <c r="D68" s="32"/>
      <c r="F68" s="159" t="str">
        <f>IF(I64="","",VLOOKUP(I64,'Spell Database'!$A$2:$W$1214,4,FALSE))</f>
        <v/>
      </c>
      <c r="G68" s="32"/>
      <c r="I68" s="42"/>
      <c r="J68" s="43"/>
      <c r="K68" s="43"/>
      <c r="L68" s="43"/>
      <c r="M68" s="43"/>
      <c r="N68" s="43"/>
      <c r="O68" s="43"/>
      <c r="P68" s="43"/>
      <c r="Q68" s="43"/>
      <c r="R68" s="43"/>
      <c r="S68" s="43"/>
      <c r="T68" s="43"/>
      <c r="U68" s="43"/>
      <c r="V68" s="43"/>
      <c r="W68" s="43"/>
      <c r="X68" s="43"/>
      <c r="Y68" s="43"/>
      <c r="Z68" s="43"/>
      <c r="AA68" s="43"/>
      <c r="AB68" s="43"/>
      <c r="AC68" s="43"/>
      <c r="AD68" s="43"/>
      <c r="AE68" s="43"/>
      <c r="AF68" s="43"/>
      <c r="AG68" s="43"/>
      <c r="AH68" s="43"/>
      <c r="AI68" s="44"/>
      <c r="AJ68" s="34"/>
      <c r="AK68" s="35"/>
      <c r="AL68" s="35"/>
      <c r="AM68" s="476"/>
      <c r="AN68" s="476"/>
      <c r="AO68" s="236" t="str">
        <f>IF(AV64="","",VLOOKUP(AV64,'Spell Database'!$A$2:$W$1214,11,FALSE))</f>
        <v/>
      </c>
      <c r="AP68" s="29"/>
      <c r="AQ68" s="32"/>
      <c r="AS68" s="159" t="str">
        <f>IF(AV64="","",VLOOKUP(AV64,'Spell Database'!$A$2:$W$1214,4,FALSE))</f>
        <v/>
      </c>
      <c r="AT68" s="32"/>
      <c r="AV68" s="42"/>
      <c r="AW68" s="43"/>
      <c r="AX68" s="43"/>
      <c r="AY68" s="43"/>
      <c r="AZ68" s="43"/>
      <c r="BA68" s="43"/>
      <c r="BB68" s="43"/>
      <c r="BC68" s="43"/>
      <c r="BD68" s="43"/>
      <c r="BE68" s="43"/>
      <c r="BF68" s="43"/>
      <c r="BG68" s="43"/>
      <c r="BH68" s="43"/>
      <c r="BI68" s="43"/>
      <c r="BJ68" s="43"/>
      <c r="BK68" s="43"/>
      <c r="BL68" s="43"/>
      <c r="BM68" s="43"/>
      <c r="BN68" s="43"/>
      <c r="BO68" s="43"/>
      <c r="BP68" s="43"/>
      <c r="BQ68" s="43"/>
      <c r="BR68" s="43"/>
      <c r="BS68" s="43"/>
      <c r="BT68" s="43"/>
      <c r="BU68" s="43"/>
      <c r="BV68" s="44"/>
      <c r="BW68" s="34"/>
      <c r="BX68" s="35"/>
      <c r="BY68" s="35"/>
      <c r="BZ68" s="35"/>
      <c r="CA68" s="35"/>
      <c r="CB68" s="179" t="str">
        <f>IF(CI68="","",VLOOKUP(CI68,'Spell Database'!$A$2:$W$1214,2,FALSE))</f>
        <v/>
      </c>
      <c r="CD68" s="179" t="str">
        <f>IF(CI68="","",VLOOKUP(CI68,'Spell Database'!$A$2:$W$1214,5,FALSE))</f>
        <v/>
      </c>
      <c r="CF68" s="181" t="str">
        <f>IF(CI68="","",VLOOKUP(CI68,'Spell Database'!$A$2:$W$1214,6,FALSE))</f>
        <v/>
      </c>
      <c r="CG68" s="32"/>
      <c r="CI68" s="184"/>
      <c r="CJ68" s="19"/>
      <c r="CK68" s="19"/>
      <c r="CL68" s="19"/>
      <c r="CM68" s="19"/>
      <c r="CN68" s="19"/>
      <c r="CO68" s="19"/>
      <c r="CP68" s="19"/>
      <c r="CQ68" s="19"/>
      <c r="CR68" s="19"/>
      <c r="CS68" s="159" t="str">
        <f>IF(CI68="","",VLOOKUP(CI68,'Spell Database'!$A$2:$W$1214,8,FALSE))</f>
        <v/>
      </c>
      <c r="CT68" s="29"/>
      <c r="CU68" s="32"/>
      <c r="CV68" s="191" t="str">
        <f>IF(CI68="","",VLOOKUP(CI68,'Spell Database'!$A$2:$W$1214,9,FALSE))</f>
        <v/>
      </c>
      <c r="CW68" s="29"/>
      <c r="CX68" s="29"/>
      <c r="CY68" s="29"/>
      <c r="CZ68" s="29"/>
      <c r="DA68" s="29"/>
      <c r="DB68" s="29"/>
      <c r="DC68" s="159" t="str">
        <f>IF(CI68="","",VLOOKUP(CI68,'Spell Database'!$A$2:$W$1214,10,FALSE))</f>
        <v/>
      </c>
      <c r="DD68" s="29"/>
      <c r="DE68" s="29"/>
      <c r="DF68" s="29"/>
      <c r="DG68" s="32"/>
      <c r="DH68" s="396"/>
      <c r="DI68" s="32"/>
      <c r="DJ68" s="35"/>
      <c r="DK68" s="396"/>
      <c r="DL68" s="32"/>
      <c r="DN68" s="399"/>
      <c r="DO68" s="44"/>
      <c r="DP68" s="35"/>
    </row>
    <row r="69" ht="9.75" customHeight="1">
      <c r="A69" s="33"/>
      <c r="B69" s="48" t="s">
        <v>159</v>
      </c>
      <c r="D69" s="48" t="s">
        <v>160</v>
      </c>
      <c r="F69" s="48" t="s">
        <v>162</v>
      </c>
      <c r="I69" s="173" t="s">
        <v>164</v>
      </c>
      <c r="J69" s="173"/>
      <c r="K69" s="173"/>
      <c r="L69" s="173"/>
      <c r="M69" s="173"/>
      <c r="N69" s="173"/>
      <c r="O69" s="173"/>
      <c r="P69" s="173"/>
      <c r="Q69" s="173"/>
      <c r="R69" s="173"/>
      <c r="S69" s="173"/>
      <c r="T69" s="173"/>
      <c r="U69" s="48" t="s">
        <v>168</v>
      </c>
      <c r="X69" s="48" t="s">
        <v>169</v>
      </c>
      <c r="AE69" s="48" t="s">
        <v>170</v>
      </c>
      <c r="AJ69" s="35"/>
      <c r="AK69" s="53" t="s">
        <v>1347</v>
      </c>
      <c r="AM69" s="476"/>
      <c r="AN69" s="476"/>
      <c r="AO69" s="48" t="s">
        <v>159</v>
      </c>
      <c r="AQ69" s="48" t="s">
        <v>160</v>
      </c>
      <c r="AS69" s="48" t="s">
        <v>162</v>
      </c>
      <c r="AV69" s="173" t="s">
        <v>164</v>
      </c>
      <c r="AW69" s="173"/>
      <c r="AX69" s="173"/>
      <c r="AY69" s="173"/>
      <c r="AZ69" s="173"/>
      <c r="BA69" s="173"/>
      <c r="BB69" s="173"/>
      <c r="BC69" s="173"/>
      <c r="BD69" s="173"/>
      <c r="BE69" s="173"/>
      <c r="BF69" s="173"/>
      <c r="BG69" s="173"/>
      <c r="BH69" s="48" t="s">
        <v>168</v>
      </c>
      <c r="BK69" s="48" t="s">
        <v>169</v>
      </c>
      <c r="BR69" s="48" t="s">
        <v>170</v>
      </c>
      <c r="BW69" s="35"/>
      <c r="BX69" s="53" t="s">
        <v>1347</v>
      </c>
      <c r="BZ69" s="35"/>
      <c r="CA69" s="35"/>
      <c r="CB69" s="48" t="s">
        <v>189</v>
      </c>
      <c r="CD69" s="48" t="s">
        <v>190</v>
      </c>
      <c r="CE69" s="53"/>
      <c r="CF69" s="340" t="s">
        <v>191</v>
      </c>
      <c r="CH69" s="53"/>
      <c r="CI69" s="208" t="str">
        <f>IF(CI68="","",VLOOKUP(CI68,'Spell Database'!$A$2:$V$1214, (IFs(CB68=1,"13", CB68=2,"14", CB68=3,"15", CB68=4,"16", CB68=5,"17", CB68=6,"18", CB68=7,"19", CB68=8,"20", CB68=9,"21", CB68=10,"22")),FALSE))</f>
        <v/>
      </c>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21"/>
      <c r="DJ69" s="53"/>
      <c r="DK69" s="53" t="s">
        <v>284</v>
      </c>
      <c r="DP69" s="35"/>
    </row>
    <row r="70" ht="15.75" customHeight="1">
      <c r="A70" s="33"/>
      <c r="B70" s="179" t="str">
        <f>IF(I70="","",VLOOKUP(I70,'Spell Database'!$A$2:$W$1214,2,FALSE))</f>
        <v/>
      </c>
      <c r="D70" s="179" t="str">
        <f>IF(I70="","",VLOOKUP(I70,'Spell Database'!$A$2:$W$1214,5,FALSE))</f>
        <v/>
      </c>
      <c r="F70" s="181" t="str">
        <f>IF(I70="","",VLOOKUP(I70,'Spell Database'!$A$2:$W$1214,6,FALSE))</f>
        <v/>
      </c>
      <c r="G70" s="32"/>
      <c r="I70" s="184"/>
      <c r="J70" s="19"/>
      <c r="K70" s="19"/>
      <c r="L70" s="19"/>
      <c r="M70" s="19"/>
      <c r="N70" s="19"/>
      <c r="O70" s="19"/>
      <c r="P70" s="19"/>
      <c r="Q70" s="19"/>
      <c r="R70" s="19"/>
      <c r="S70" s="19"/>
      <c r="T70" s="19"/>
      <c r="U70" s="159" t="str">
        <f>IF(I70="","",VLOOKUP(I70,'Spell Database'!$A$2:$W$1214,8,FALSE))</f>
        <v/>
      </c>
      <c r="V70" s="29"/>
      <c r="W70" s="32"/>
      <c r="X70" s="191" t="str">
        <f>IF(I70="","",VLOOKUP(I70,'Spell Database'!$A$2:$W$1214,9,FALSE))</f>
        <v/>
      </c>
      <c r="Y70" s="29"/>
      <c r="Z70" s="29"/>
      <c r="AA70" s="29"/>
      <c r="AB70" s="29"/>
      <c r="AC70" s="29"/>
      <c r="AD70" s="29"/>
      <c r="AE70" s="159" t="str">
        <f>IF(I70="","",VLOOKUP(I70,'Spell Database'!$A$2:$W$1214,10,FALSE))</f>
        <v/>
      </c>
      <c r="AF70" s="29"/>
      <c r="AG70" s="29"/>
      <c r="AH70" s="29"/>
      <c r="AI70" s="32"/>
      <c r="AJ70" s="35"/>
      <c r="AK70" s="396"/>
      <c r="AL70" s="32"/>
      <c r="AM70" s="476"/>
      <c r="AN70" s="476"/>
      <c r="AO70" s="179" t="str">
        <f>IF(AV70="","",VLOOKUP(AV70,'Spell Database'!$A$2:$W$1214,2,FALSE))</f>
        <v/>
      </c>
      <c r="AQ70" s="179" t="str">
        <f>IF(AV70="","",VLOOKUP(AV70,'Spell Database'!$A$2:$W$1214,5,FALSE))</f>
        <v/>
      </c>
      <c r="AS70" s="181" t="str">
        <f>IF(AV70="","",VLOOKUP(AV70,'Spell Database'!$A$2:$W$1214,6,FALSE))</f>
        <v/>
      </c>
      <c r="AT70" s="32"/>
      <c r="AV70" s="184"/>
      <c r="AW70" s="19"/>
      <c r="AX70" s="19"/>
      <c r="AY70" s="19"/>
      <c r="AZ70" s="19"/>
      <c r="BA70" s="19"/>
      <c r="BB70" s="19"/>
      <c r="BC70" s="19"/>
      <c r="BD70" s="19"/>
      <c r="BE70" s="19"/>
      <c r="BF70" s="19"/>
      <c r="BG70" s="19"/>
      <c r="BH70" s="159" t="str">
        <f>IF(AV70="","",VLOOKUP(AV70,'Spell Database'!$A$2:$W$1214,8,FALSE))</f>
        <v/>
      </c>
      <c r="BI70" s="29"/>
      <c r="BJ70" s="32"/>
      <c r="BK70" s="191" t="str">
        <f>IF(AV70="","",VLOOKUP(AV70,'Spell Database'!$A$2:$W$1214,9,FALSE))</f>
        <v/>
      </c>
      <c r="BL70" s="29"/>
      <c r="BM70" s="29"/>
      <c r="BN70" s="29"/>
      <c r="BO70" s="29"/>
      <c r="BP70" s="29"/>
      <c r="BQ70" s="29"/>
      <c r="BR70" s="159" t="str">
        <f>IF(AV70="","",VLOOKUP(AV70,'Spell Database'!$A$2:$W$1214,10,FALSE))</f>
        <v/>
      </c>
      <c r="BS70" s="29"/>
      <c r="BT70" s="29"/>
      <c r="BU70" s="29"/>
      <c r="BV70" s="32"/>
      <c r="BW70" s="35"/>
      <c r="BX70" s="396"/>
      <c r="BY70" s="32"/>
      <c r="BZ70" s="35"/>
      <c r="CA70" s="35"/>
      <c r="CB70" s="214" t="str">
        <f>IF(CI68="","",VLOOKUP(CI68,'Spell Database'!$A$2:$W$1214,12,FALSE))</f>
        <v/>
      </c>
      <c r="CD70" s="179" t="str">
        <f>IF(CI68="","",VLOOKUP(CI68,'Spell Database'!$A$2:$W$1214,3,FALSE))</f>
        <v/>
      </c>
      <c r="CF70" s="181" t="str">
        <f>IF(CI68="","",VLOOKUP(CI68,'Spell Database'!$A$2:$W$1214,7,FALSE))</f>
        <v/>
      </c>
      <c r="CG70" s="32"/>
      <c r="CI70" s="40"/>
      <c r="DI70" s="41"/>
      <c r="DJ70" s="34"/>
      <c r="DK70" s="407"/>
      <c r="DL70" s="29"/>
      <c r="DM70" s="29"/>
      <c r="DN70" s="29"/>
      <c r="DO70" s="32"/>
      <c r="DP70" s="35"/>
    </row>
    <row r="71" ht="9.75" customHeight="1">
      <c r="A71" s="33"/>
      <c r="B71" s="48" t="s">
        <v>189</v>
      </c>
      <c r="D71" s="48" t="s">
        <v>190</v>
      </c>
      <c r="E71" s="53"/>
      <c r="F71" s="204" t="s">
        <v>191</v>
      </c>
      <c r="H71" s="53"/>
      <c r="I71" s="208" t="str">
        <f>IF(I70="","",VLOOKUP(I70,'Spell Database'!$A$2:$V$1214, (IFs(B70=1,"13", B70=2,"14", B70=3,"15", B70=4,"16", B70=5,"17", B70=6,"18", B70=7,"19", B70=8,"20", B70=9,"21", B70=10,"22")),FALSE))</f>
        <v/>
      </c>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21"/>
      <c r="AJ71" s="53"/>
      <c r="AK71" s="391" t="s">
        <v>196</v>
      </c>
      <c r="AL71" s="29"/>
      <c r="AM71" s="476"/>
      <c r="AN71" s="476"/>
      <c r="AO71" s="48" t="s">
        <v>189</v>
      </c>
      <c r="AQ71" s="48" t="s">
        <v>190</v>
      </c>
      <c r="AR71" s="53"/>
      <c r="AS71" s="204" t="s">
        <v>191</v>
      </c>
      <c r="AU71" s="53"/>
      <c r="AV71" s="208" t="str">
        <f>IF(AV70="","",VLOOKUP(AV70,'Spell Database'!$A$2:$V$1214, (IFs(AO70=1,"13", AO70=2,"14", AO70=3,"15", AO70=4,"16", AO70=5,"17", AO70=6,"18", AO70=7,"19", AO70=8,"20", AO70=9,"21", AO70=10,"22")),FALSE))</f>
        <v/>
      </c>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21"/>
      <c r="BW71" s="53"/>
      <c r="BX71" s="391" t="s">
        <v>196</v>
      </c>
      <c r="BY71" s="29"/>
      <c r="BZ71" s="35"/>
      <c r="CA71" s="35"/>
      <c r="CB71" s="48" t="s">
        <v>206</v>
      </c>
      <c r="CF71" s="48" t="s">
        <v>207</v>
      </c>
      <c r="CI71" s="40"/>
      <c r="DI71" s="41"/>
      <c r="DJ71" s="35"/>
      <c r="DP71" s="35"/>
    </row>
    <row r="72" ht="15.75" customHeight="1">
      <c r="A72" s="33"/>
      <c r="B72" s="214" t="str">
        <f>IF(I70="","",VLOOKUP(I70,'Spell Database'!$A$2:$W$1214,12,FALSE))</f>
        <v/>
      </c>
      <c r="D72" s="179" t="str">
        <f>IF(I70="","",VLOOKUP(I70,'Spell Database'!$A$2:$W$1214,3,FALSE))</f>
        <v/>
      </c>
      <c r="F72" s="181" t="str">
        <f>IF(I70="","",VLOOKUP(I70,'Spell Database'!$A$2:$W$1214,7,FALSE))</f>
        <v/>
      </c>
      <c r="G72" s="32"/>
      <c r="I72" s="40"/>
      <c r="AI72" s="41"/>
      <c r="AJ72" s="34"/>
      <c r="AK72" s="399"/>
      <c r="AL72" s="44"/>
      <c r="AM72" s="476"/>
      <c r="AN72" s="476"/>
      <c r="AO72" s="214" t="str">
        <f>IF(AV70="","",VLOOKUP(AV70,'Spell Database'!$A$2:$W$1214,12,FALSE))</f>
        <v/>
      </c>
      <c r="AQ72" s="179" t="str">
        <f>IF(AV70="","",VLOOKUP(AV70,'Spell Database'!$A$2:$W$1214,3,FALSE))</f>
        <v/>
      </c>
      <c r="AS72" s="181" t="str">
        <f>IF(AV70="","",VLOOKUP(AV70,'Spell Database'!$A$2:$W$1214,7,FALSE))</f>
        <v/>
      </c>
      <c r="AT72" s="32"/>
      <c r="AV72" s="40"/>
      <c r="BV72" s="41"/>
      <c r="BW72" s="34"/>
      <c r="BX72" s="399"/>
      <c r="BY72" s="44"/>
      <c r="BZ72" s="35"/>
      <c r="CA72" s="35"/>
      <c r="CB72" s="236" t="str">
        <f>IF(CI68="","",VLOOKUP(CI68,'Spell Database'!$A$2:$W$1214,11,FALSE))</f>
        <v/>
      </c>
      <c r="CC72" s="29"/>
      <c r="CD72" s="32"/>
      <c r="CF72" s="159" t="str">
        <f>IF(CI68="","",VLOOKUP(CI68,'Spell Database'!$A$2:$W$1214,4,FALSE))</f>
        <v/>
      </c>
      <c r="CG72" s="32"/>
      <c r="CI72" s="42"/>
      <c r="CJ72" s="43"/>
      <c r="CK72" s="43"/>
      <c r="CL72" s="43"/>
      <c r="CM72" s="43"/>
      <c r="CN72" s="43"/>
      <c r="CO72" s="43"/>
      <c r="CP72" s="43"/>
      <c r="CQ72" s="43"/>
      <c r="CR72" s="43"/>
      <c r="CS72" s="43"/>
      <c r="CT72" s="43"/>
      <c r="CU72" s="43"/>
      <c r="CV72" s="43"/>
      <c r="CW72" s="43"/>
      <c r="CX72" s="43"/>
      <c r="CY72" s="43"/>
      <c r="CZ72" s="43"/>
      <c r="DA72" s="43"/>
      <c r="DB72" s="43"/>
      <c r="DC72" s="43"/>
      <c r="DD72" s="43"/>
      <c r="DE72" s="43"/>
      <c r="DF72" s="43"/>
      <c r="DG72" s="43"/>
      <c r="DH72" s="43"/>
      <c r="DI72" s="44"/>
      <c r="DJ72" s="34"/>
      <c r="DN72" s="427"/>
      <c r="DO72" s="427"/>
      <c r="DP72" s="35"/>
    </row>
    <row r="73" ht="9.75" customHeight="1">
      <c r="A73" s="33"/>
      <c r="B73" s="48" t="s">
        <v>206</v>
      </c>
      <c r="F73" s="48" t="s">
        <v>207</v>
      </c>
      <c r="I73" s="40"/>
      <c r="AI73" s="41"/>
      <c r="AJ73" s="35"/>
      <c r="AK73" s="35"/>
      <c r="AL73" s="35"/>
      <c r="AM73" s="476"/>
      <c r="AN73" s="476"/>
      <c r="AO73" s="48" t="s">
        <v>206</v>
      </c>
      <c r="AS73" s="48" t="s">
        <v>207</v>
      </c>
      <c r="AV73" s="40"/>
      <c r="BV73" s="41"/>
      <c r="BW73" s="35"/>
      <c r="BX73" s="35"/>
      <c r="BY73" s="35"/>
      <c r="BZ73" s="35"/>
      <c r="CA73" s="35"/>
      <c r="CB73" s="48" t="s">
        <v>159</v>
      </c>
      <c r="CD73" s="48" t="s">
        <v>160</v>
      </c>
      <c r="CF73" s="48" t="s">
        <v>162</v>
      </c>
      <c r="CI73" s="173" t="s">
        <v>164</v>
      </c>
      <c r="CJ73" s="173"/>
      <c r="CK73" s="173"/>
      <c r="CL73" s="173"/>
      <c r="CM73" s="173"/>
      <c r="CN73" s="173"/>
      <c r="CO73" s="173"/>
      <c r="CP73" s="173"/>
      <c r="CQ73" s="173"/>
      <c r="CR73" s="173"/>
      <c r="CS73" s="48" t="s">
        <v>168</v>
      </c>
      <c r="CV73" s="48" t="s">
        <v>169</v>
      </c>
      <c r="DC73" s="48" t="s">
        <v>170</v>
      </c>
      <c r="DH73" s="173" t="s">
        <v>1357</v>
      </c>
      <c r="DJ73" s="35"/>
      <c r="DK73" s="53" t="s">
        <v>1360</v>
      </c>
      <c r="DM73" s="35"/>
      <c r="DN73" s="411" t="s">
        <v>196</v>
      </c>
      <c r="DO73" s="43"/>
      <c r="DP73" s="35"/>
    </row>
    <row r="74" ht="15.75" customHeight="1">
      <c r="A74" s="33"/>
      <c r="B74" s="236" t="str">
        <f>IF(I70="","",VLOOKUP(I70,'Spell Database'!$A$2:$W$1214,11,FALSE))</f>
        <v/>
      </c>
      <c r="C74" s="29"/>
      <c r="D74" s="32"/>
      <c r="F74" s="159" t="str">
        <f>IF(I70="","",VLOOKUP(I70,'Spell Database'!$A$2:$W$1214,4,FALSE))</f>
        <v/>
      </c>
      <c r="G74" s="32"/>
      <c r="I74" s="42"/>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4"/>
      <c r="AJ74" s="34"/>
      <c r="AK74" s="35"/>
      <c r="AL74" s="35"/>
      <c r="AM74" s="476"/>
      <c r="AN74" s="476"/>
      <c r="AO74" s="236" t="str">
        <f>IF(AV70="","",VLOOKUP(AV70,'Spell Database'!$A$2:$W$1214,11,FALSE))</f>
        <v/>
      </c>
      <c r="AP74" s="29"/>
      <c r="AQ74" s="32"/>
      <c r="AS74" s="159" t="str">
        <f>IF(AV70="","",VLOOKUP(AV70,'Spell Database'!$A$2:$W$1214,4,FALSE))</f>
        <v/>
      </c>
      <c r="AT74" s="32"/>
      <c r="AV74" s="42"/>
      <c r="AW74" s="43"/>
      <c r="AX74" s="43"/>
      <c r="AY74" s="43"/>
      <c r="AZ74" s="43"/>
      <c r="BA74" s="43"/>
      <c r="BB74" s="43"/>
      <c r="BC74" s="43"/>
      <c r="BD74" s="43"/>
      <c r="BE74" s="43"/>
      <c r="BF74" s="43"/>
      <c r="BG74" s="43"/>
      <c r="BH74" s="43"/>
      <c r="BI74" s="43"/>
      <c r="BJ74" s="43"/>
      <c r="BK74" s="43"/>
      <c r="BL74" s="43"/>
      <c r="BM74" s="43"/>
      <c r="BN74" s="43"/>
      <c r="BO74" s="43"/>
      <c r="BP74" s="43"/>
      <c r="BQ74" s="43"/>
      <c r="BR74" s="43"/>
      <c r="BS74" s="43"/>
      <c r="BT74" s="43"/>
      <c r="BU74" s="43"/>
      <c r="BV74" s="44"/>
      <c r="BW74" s="34"/>
      <c r="BX74" s="35"/>
      <c r="BY74" s="35"/>
      <c r="BZ74" s="35"/>
      <c r="CA74" s="35"/>
      <c r="CB74" s="179" t="str">
        <f>IF(CI74="","",VLOOKUP(CI74,'Spell Database'!$A$2:$W$1214,2,FALSE))</f>
        <v/>
      </c>
      <c r="CD74" s="179" t="str">
        <f>IF(CI74="","",VLOOKUP(CI74,'Spell Database'!$A$2:$W$1214,5,FALSE))</f>
        <v/>
      </c>
      <c r="CF74" s="181" t="str">
        <f>IF(CI74="","",VLOOKUP(CI74,'Spell Database'!$A$2:$W$1214,6,FALSE))</f>
        <v/>
      </c>
      <c r="CG74" s="32"/>
      <c r="CI74" s="184"/>
      <c r="CJ74" s="19"/>
      <c r="CK74" s="19"/>
      <c r="CL74" s="19"/>
      <c r="CM74" s="19"/>
      <c r="CN74" s="19"/>
      <c r="CO74" s="19"/>
      <c r="CP74" s="19"/>
      <c r="CQ74" s="19"/>
      <c r="CR74" s="19"/>
      <c r="CS74" s="159" t="str">
        <f>IF(CI74="","",VLOOKUP(CI74,'Spell Database'!$A$2:$W$1214,8,FALSE))</f>
        <v/>
      </c>
      <c r="CT74" s="29"/>
      <c r="CU74" s="32"/>
      <c r="CV74" s="191" t="str">
        <f>IF(CI74="","",VLOOKUP(CI74,'Spell Database'!$A$2:$W$1214,9,FALSE))</f>
        <v/>
      </c>
      <c r="CW74" s="29"/>
      <c r="CX74" s="29"/>
      <c r="CY74" s="29"/>
      <c r="CZ74" s="29"/>
      <c r="DA74" s="29"/>
      <c r="DB74" s="29"/>
      <c r="DC74" s="159" t="str">
        <f>IF(CI74="","",VLOOKUP(CI74,'Spell Database'!$A$2:$W$1214,10,FALSE))</f>
        <v/>
      </c>
      <c r="DD74" s="29"/>
      <c r="DE74" s="29"/>
      <c r="DF74" s="29"/>
      <c r="DG74" s="32"/>
      <c r="DH74" s="396"/>
      <c r="DI74" s="32"/>
      <c r="DJ74" s="35"/>
      <c r="DK74" s="396"/>
      <c r="DL74" s="32"/>
      <c r="DN74" s="399"/>
      <c r="DO74" s="44"/>
      <c r="DP74" s="35"/>
    </row>
    <row r="75" ht="9.75" customHeight="1">
      <c r="A75" s="33"/>
      <c r="B75" s="476"/>
      <c r="C75" s="476"/>
      <c r="D75" s="476"/>
      <c r="E75" s="476"/>
      <c r="F75" s="476"/>
      <c r="G75" s="476"/>
      <c r="H75" s="476"/>
      <c r="I75" s="476"/>
      <c r="J75" s="476"/>
      <c r="K75" s="476"/>
      <c r="L75" s="476"/>
      <c r="M75" s="476"/>
      <c r="N75" s="476"/>
      <c r="O75" s="476"/>
      <c r="P75" s="476"/>
      <c r="Q75" s="476"/>
      <c r="R75" s="476"/>
      <c r="S75" s="476"/>
      <c r="T75" s="476"/>
      <c r="U75" s="476"/>
      <c r="V75" s="476"/>
      <c r="W75" s="476"/>
      <c r="X75" s="476"/>
      <c r="Y75" s="476"/>
      <c r="Z75" s="476"/>
      <c r="AA75" s="476"/>
      <c r="AB75" s="476"/>
      <c r="AC75" s="476"/>
      <c r="AD75" s="476"/>
      <c r="AE75" s="476"/>
      <c r="AF75" s="476"/>
      <c r="AG75" s="476"/>
      <c r="AH75" s="476"/>
      <c r="AI75" s="476"/>
      <c r="AJ75" s="476"/>
      <c r="AK75" s="476"/>
      <c r="AL75" s="476"/>
      <c r="AM75" s="476"/>
      <c r="AN75" s="476"/>
      <c r="AO75" s="476"/>
      <c r="AP75" s="476"/>
      <c r="AQ75" s="476"/>
      <c r="AR75" s="476"/>
      <c r="AS75" s="476"/>
      <c r="AT75" s="476"/>
      <c r="AU75" s="476"/>
      <c r="AV75" s="476"/>
      <c r="AW75" s="476"/>
      <c r="AX75" s="476"/>
      <c r="AY75" s="476"/>
      <c r="AZ75" s="476"/>
      <c r="BA75" s="476"/>
      <c r="BB75" s="476"/>
      <c r="BC75" s="476"/>
      <c r="BD75" s="476"/>
      <c r="BE75" s="476"/>
      <c r="BF75" s="476"/>
      <c r="BG75" s="476"/>
      <c r="BH75" s="476"/>
      <c r="BI75" s="476"/>
      <c r="BJ75" s="476"/>
      <c r="BK75" s="476"/>
      <c r="BL75" s="476"/>
      <c r="BM75" s="476"/>
      <c r="BN75" s="476"/>
      <c r="BO75" s="476"/>
      <c r="BP75" s="476"/>
      <c r="BQ75" s="476"/>
      <c r="BR75" s="476"/>
      <c r="BS75" s="476"/>
      <c r="BT75" s="35"/>
      <c r="BU75" s="35"/>
      <c r="BV75" s="35"/>
      <c r="BW75" s="35"/>
      <c r="BX75" s="35"/>
      <c r="BY75" s="35"/>
      <c r="BZ75" s="35"/>
      <c r="CA75" s="35"/>
      <c r="CB75" s="48" t="s">
        <v>189</v>
      </c>
      <c r="CD75" s="48" t="s">
        <v>190</v>
      </c>
      <c r="CE75" s="53"/>
      <c r="CF75" s="340" t="s">
        <v>191</v>
      </c>
      <c r="CH75" s="53"/>
      <c r="CI75" s="208" t="str">
        <f>IF(CI74="","",VLOOKUP(CI74,'Spell Database'!$A$2:$V$1214, (IFs(CB74=1,"13", CB74=2,"14", CB74=3,"15", CB74=4,"16", CB74=5,"17", CB74=6,"18", CB74=7,"19", CB74=8,"20", CB74=9,"21", CB74=10,"22")),FALSE))</f>
        <v/>
      </c>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21"/>
      <c r="DJ75" s="53"/>
      <c r="DK75" s="53" t="s">
        <v>284</v>
      </c>
      <c r="DP75" s="35"/>
    </row>
    <row r="76" ht="15.75" customHeight="1">
      <c r="A76" s="33"/>
      <c r="B76" s="28" t="s">
        <v>3539</v>
      </c>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c r="AZ76" s="29"/>
      <c r="BA76" s="29"/>
      <c r="BB76" s="29"/>
      <c r="BC76" s="29"/>
      <c r="BD76" s="29"/>
      <c r="BE76" s="29"/>
      <c r="BF76" s="29"/>
      <c r="BG76" s="29"/>
      <c r="BH76" s="29"/>
      <c r="BI76" s="29"/>
      <c r="BJ76" s="29"/>
      <c r="BK76" s="29"/>
      <c r="BL76" s="29"/>
      <c r="BM76" s="29"/>
      <c r="BN76" s="29"/>
      <c r="BO76" s="29"/>
      <c r="BP76" s="29"/>
      <c r="BQ76" s="29"/>
      <c r="BR76" s="29"/>
      <c r="BS76" s="29"/>
      <c r="BT76" s="29"/>
      <c r="BU76" s="29"/>
      <c r="BV76" s="29"/>
      <c r="BW76" s="29"/>
      <c r="BX76" s="29"/>
      <c r="BY76" s="32"/>
      <c r="BZ76" s="35"/>
      <c r="CA76" s="35"/>
      <c r="CB76" s="214" t="str">
        <f>IF(CI74="","",VLOOKUP(CI74,'Spell Database'!$A$2:$W$1214,12,FALSE))</f>
        <v/>
      </c>
      <c r="CD76" s="179" t="str">
        <f>IF(CI74="","",VLOOKUP(CI74,'Spell Database'!$A$2:$W$1214,3,FALSE))</f>
        <v/>
      </c>
      <c r="CF76" s="181" t="str">
        <f>IF(CI74="","",VLOOKUP(CI74,'Spell Database'!$A$2:$W$1214,7,FALSE))</f>
        <v/>
      </c>
      <c r="CG76" s="32"/>
      <c r="CI76" s="40"/>
      <c r="DI76" s="41"/>
      <c r="DJ76" s="34"/>
      <c r="DK76" s="407"/>
      <c r="DL76" s="29"/>
      <c r="DM76" s="29"/>
      <c r="DN76" s="29"/>
      <c r="DO76" s="32"/>
      <c r="DP76" s="35"/>
    </row>
    <row r="77" ht="9.75" customHeight="1">
      <c r="A77" s="33"/>
      <c r="B77" s="48" t="s">
        <v>159</v>
      </c>
      <c r="D77" s="48" t="s">
        <v>160</v>
      </c>
      <c r="F77" s="48" t="s">
        <v>162</v>
      </c>
      <c r="I77" s="173" t="s">
        <v>164</v>
      </c>
      <c r="J77" s="173"/>
      <c r="K77" s="173"/>
      <c r="L77" s="173"/>
      <c r="M77" s="173"/>
      <c r="N77" s="173"/>
      <c r="O77" s="173"/>
      <c r="P77" s="173"/>
      <c r="Q77" s="173"/>
      <c r="R77" s="173"/>
      <c r="S77" s="173"/>
      <c r="T77" s="173"/>
      <c r="U77" s="48" t="s">
        <v>168</v>
      </c>
      <c r="X77" s="48" t="s">
        <v>169</v>
      </c>
      <c r="AE77" s="48" t="s">
        <v>170</v>
      </c>
      <c r="AJ77" s="35"/>
      <c r="AK77" s="53" t="s">
        <v>1347</v>
      </c>
      <c r="AM77" s="35"/>
      <c r="AN77" s="35"/>
      <c r="AO77" s="48" t="s">
        <v>159</v>
      </c>
      <c r="AQ77" s="48" t="s">
        <v>160</v>
      </c>
      <c r="AS77" s="48" t="s">
        <v>162</v>
      </c>
      <c r="AV77" s="173" t="s">
        <v>164</v>
      </c>
      <c r="AW77" s="173"/>
      <c r="AX77" s="173"/>
      <c r="AY77" s="173"/>
      <c r="AZ77" s="173"/>
      <c r="BA77" s="173"/>
      <c r="BB77" s="173"/>
      <c r="BC77" s="173"/>
      <c r="BD77" s="173"/>
      <c r="BE77" s="173"/>
      <c r="BF77" s="173"/>
      <c r="BG77" s="173"/>
      <c r="BH77" s="48" t="s">
        <v>168</v>
      </c>
      <c r="BK77" s="48" t="s">
        <v>169</v>
      </c>
      <c r="BR77" s="48" t="s">
        <v>170</v>
      </c>
      <c r="BW77" s="35"/>
      <c r="BX77" s="53" t="s">
        <v>1347</v>
      </c>
      <c r="BZ77" s="35"/>
      <c r="CA77" s="35"/>
      <c r="CB77" s="48" t="s">
        <v>206</v>
      </c>
      <c r="CF77" s="48" t="s">
        <v>207</v>
      </c>
      <c r="CI77" s="40"/>
      <c r="DI77" s="41"/>
      <c r="DJ77" s="35"/>
      <c r="DP77" s="35"/>
    </row>
    <row r="78" ht="15.75" customHeight="1">
      <c r="A78" s="33"/>
      <c r="B78" s="179" t="str">
        <f>IF(I78="","",VLOOKUP(I78,'Spell Database'!$A$2:$W$1214,2,FALSE))</f>
        <v/>
      </c>
      <c r="D78" s="179" t="str">
        <f>IF(I78="","",VLOOKUP(I78,'Spell Database'!$A$2:$W$1214,5,FALSE))</f>
        <v/>
      </c>
      <c r="F78" s="181" t="str">
        <f>IF(I78="","",VLOOKUP(I78,'Spell Database'!$A$2:$W$1214,6,FALSE))</f>
        <v/>
      </c>
      <c r="G78" s="32"/>
      <c r="I78" s="184"/>
      <c r="J78" s="19"/>
      <c r="K78" s="19"/>
      <c r="L78" s="19"/>
      <c r="M78" s="19"/>
      <c r="N78" s="19"/>
      <c r="O78" s="19"/>
      <c r="P78" s="19"/>
      <c r="Q78" s="19"/>
      <c r="R78" s="19"/>
      <c r="S78" s="19"/>
      <c r="T78" s="19"/>
      <c r="U78" s="159" t="str">
        <f>IF(I78="","",VLOOKUP(I78,'Spell Database'!$A$2:$W$1214,8,FALSE))</f>
        <v/>
      </c>
      <c r="V78" s="29"/>
      <c r="W78" s="32"/>
      <c r="X78" s="191" t="str">
        <f>IF(I78="","",VLOOKUP(I78,'Spell Database'!$A$2:$W$1214,9,FALSE))</f>
        <v/>
      </c>
      <c r="Y78" s="29"/>
      <c r="Z78" s="29"/>
      <c r="AA78" s="29"/>
      <c r="AB78" s="29"/>
      <c r="AC78" s="29"/>
      <c r="AD78" s="29"/>
      <c r="AE78" s="159" t="str">
        <f>IF(I78="","",VLOOKUP(I78,'Spell Database'!$A$2:$W$1214,10,FALSE))</f>
        <v/>
      </c>
      <c r="AF78" s="29"/>
      <c r="AG78" s="29"/>
      <c r="AH78" s="29"/>
      <c r="AI78" s="32"/>
      <c r="AJ78" s="35"/>
      <c r="AK78" s="396"/>
      <c r="AL78" s="32"/>
      <c r="AM78" s="35"/>
      <c r="AN78" s="35"/>
      <c r="AO78" s="179" t="str">
        <f>IF(AV78="","",VLOOKUP(AV78,'Spell Database'!$A$2:$W$1214,2,FALSE))</f>
        <v/>
      </c>
      <c r="AQ78" s="179" t="str">
        <f>IF(AV78="","",VLOOKUP(AV78,'Spell Database'!$A$2:$W$1214,5,FALSE))</f>
        <v/>
      </c>
      <c r="AS78" s="181" t="str">
        <f>IF(AV78="","",VLOOKUP(AV78,'Spell Database'!$A$2:$W$1214,6,FALSE))</f>
        <v/>
      </c>
      <c r="AT78" s="32"/>
      <c r="AV78" s="184"/>
      <c r="AW78" s="19"/>
      <c r="AX78" s="19"/>
      <c r="AY78" s="19"/>
      <c r="AZ78" s="19"/>
      <c r="BA78" s="19"/>
      <c r="BB78" s="19"/>
      <c r="BC78" s="19"/>
      <c r="BD78" s="19"/>
      <c r="BE78" s="19"/>
      <c r="BF78" s="19"/>
      <c r="BG78" s="19"/>
      <c r="BH78" s="159" t="str">
        <f>IF(AV78="","",VLOOKUP(AV78,'Spell Database'!$A$2:$W$1214,8,FALSE))</f>
        <v/>
      </c>
      <c r="BI78" s="29"/>
      <c r="BJ78" s="32"/>
      <c r="BK78" s="191" t="str">
        <f>IF(AV78="","",VLOOKUP(AV78,'Spell Database'!$A$2:$W$1214,9,FALSE))</f>
        <v/>
      </c>
      <c r="BL78" s="29"/>
      <c r="BM78" s="29"/>
      <c r="BN78" s="29"/>
      <c r="BO78" s="29"/>
      <c r="BP78" s="29"/>
      <c r="BQ78" s="29"/>
      <c r="BR78" s="159" t="str">
        <f>IF(AV78="","",VLOOKUP(AV78,'Spell Database'!$A$2:$W$1214,10,FALSE))</f>
        <v/>
      </c>
      <c r="BS78" s="29"/>
      <c r="BT78" s="29"/>
      <c r="BU78" s="29"/>
      <c r="BV78" s="32"/>
      <c r="BW78" s="35"/>
      <c r="BX78" s="396"/>
      <c r="BY78" s="32"/>
      <c r="BZ78" s="35"/>
      <c r="CA78" s="35"/>
      <c r="CB78" s="236" t="str">
        <f>IF(CI74="","",VLOOKUP(CI74,'Spell Database'!$A$2:$W$1214,11,FALSE))</f>
        <v/>
      </c>
      <c r="CC78" s="29"/>
      <c r="CD78" s="32"/>
      <c r="CF78" s="159" t="str">
        <f>IF(CI74="","",VLOOKUP(CI74,'Spell Database'!$A$2:$W$1214,4,FALSE))</f>
        <v/>
      </c>
      <c r="CG78" s="32"/>
      <c r="CI78" s="42"/>
      <c r="CJ78" s="43"/>
      <c r="CK78" s="43"/>
      <c r="CL78" s="43"/>
      <c r="CM78" s="43"/>
      <c r="CN78" s="43"/>
      <c r="CO78" s="43"/>
      <c r="CP78" s="43"/>
      <c r="CQ78" s="43"/>
      <c r="CR78" s="43"/>
      <c r="CS78" s="43"/>
      <c r="CT78" s="43"/>
      <c r="CU78" s="43"/>
      <c r="CV78" s="43"/>
      <c r="CW78" s="43"/>
      <c r="CX78" s="43"/>
      <c r="CY78" s="43"/>
      <c r="CZ78" s="43"/>
      <c r="DA78" s="43"/>
      <c r="DB78" s="43"/>
      <c r="DC78" s="43"/>
      <c r="DD78" s="43"/>
      <c r="DE78" s="43"/>
      <c r="DF78" s="43"/>
      <c r="DG78" s="43"/>
      <c r="DH78" s="43"/>
      <c r="DI78" s="44"/>
      <c r="DJ78" s="34"/>
      <c r="DN78" s="427"/>
      <c r="DO78" s="427"/>
      <c r="DP78" s="35"/>
    </row>
    <row r="79" ht="9.75" customHeight="1">
      <c r="A79" s="33"/>
      <c r="B79" s="48" t="s">
        <v>189</v>
      </c>
      <c r="D79" s="48" t="s">
        <v>190</v>
      </c>
      <c r="E79" s="53"/>
      <c r="F79" s="204" t="s">
        <v>191</v>
      </c>
      <c r="H79" s="53"/>
      <c r="I79" s="208" t="str">
        <f>IF(I78="","",VLOOKUP(I78,'Spell Database'!$A$2:$V$1214, (IFs(B78=1,"13", B78=2,"14", B78=3,"15", B78=4,"16", B78=5,"17", B78=6,"18", B78=7,"19", B78=8,"20", B78=9,"21", B78=10,"22")),FALSE))</f>
        <v/>
      </c>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21"/>
      <c r="AJ79" s="53"/>
      <c r="AK79" s="391" t="s">
        <v>196</v>
      </c>
      <c r="AL79" s="29"/>
      <c r="AM79" s="35"/>
      <c r="AN79" s="35"/>
      <c r="AO79" s="48" t="s">
        <v>189</v>
      </c>
      <c r="AQ79" s="48" t="s">
        <v>190</v>
      </c>
      <c r="AR79" s="53"/>
      <c r="AS79" s="204" t="s">
        <v>191</v>
      </c>
      <c r="AU79" s="53"/>
      <c r="AV79" s="208" t="str">
        <f>IF(AV78="","",VLOOKUP(AV78,'Spell Database'!$A$2:$V$1214, (IFs(AO78=1,"13", AO78=2,"14", AO78=3,"15", AO78=4,"16", AO78=5,"17", AO78=6,"18", AO78=7,"19", AO78=8,"20", AO78=9,"21", AO78=10,"22")),FALSE))</f>
        <v/>
      </c>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21"/>
      <c r="BW79" s="53"/>
      <c r="BX79" s="391" t="s">
        <v>196</v>
      </c>
      <c r="BY79" s="29"/>
      <c r="BZ79" s="35"/>
      <c r="CA79" s="35"/>
      <c r="CB79" s="48" t="s">
        <v>159</v>
      </c>
      <c r="CD79" s="48" t="s">
        <v>160</v>
      </c>
      <c r="CF79" s="48" t="s">
        <v>162</v>
      </c>
      <c r="CI79" s="173" t="s">
        <v>164</v>
      </c>
      <c r="CJ79" s="173"/>
      <c r="CK79" s="173"/>
      <c r="CL79" s="173"/>
      <c r="CM79" s="173"/>
      <c r="CN79" s="173"/>
      <c r="CO79" s="173"/>
      <c r="CP79" s="173"/>
      <c r="CQ79" s="173"/>
      <c r="CR79" s="173"/>
      <c r="CS79" s="48" t="s">
        <v>168</v>
      </c>
      <c r="CV79" s="48" t="s">
        <v>169</v>
      </c>
      <c r="DC79" s="48" t="s">
        <v>170</v>
      </c>
      <c r="DH79" s="173" t="s">
        <v>1357</v>
      </c>
      <c r="DJ79" s="35"/>
      <c r="DK79" s="53" t="s">
        <v>1360</v>
      </c>
      <c r="DM79" s="35"/>
      <c r="DN79" s="411" t="s">
        <v>196</v>
      </c>
      <c r="DO79" s="43"/>
      <c r="DP79" s="35"/>
    </row>
    <row r="80" ht="15.75" customHeight="1">
      <c r="A80" s="33"/>
      <c r="B80" s="214" t="str">
        <f>IF(I78="","",VLOOKUP(I78,'Spell Database'!$A$2:$W$1214,12,FALSE))</f>
        <v/>
      </c>
      <c r="D80" s="179" t="str">
        <f>IF(I78="","",VLOOKUP(I78,'Spell Database'!$A$2:$W$1214,3,FALSE))</f>
        <v/>
      </c>
      <c r="F80" s="181" t="str">
        <f>IF(I78="","",VLOOKUP(I78,'Spell Database'!$A$2:$W$1214,7,FALSE))</f>
        <v/>
      </c>
      <c r="G80" s="32"/>
      <c r="I80" s="40"/>
      <c r="AI80" s="41"/>
      <c r="AJ80" s="34"/>
      <c r="AK80" s="399"/>
      <c r="AL80" s="44"/>
      <c r="AM80" s="35"/>
      <c r="AN80" s="35"/>
      <c r="AO80" s="214" t="str">
        <f>IF(AV78="","",VLOOKUP(AV78,'Spell Database'!$A$2:$W$1214,12,FALSE))</f>
        <v/>
      </c>
      <c r="AQ80" s="179" t="str">
        <f>IF(AV78="","",VLOOKUP(AV78,'Spell Database'!$A$2:$W$1214,3,FALSE))</f>
        <v/>
      </c>
      <c r="AS80" s="181" t="str">
        <f>IF(AV78="","",VLOOKUP(AV78,'Spell Database'!$A$2:$W$1214,7,FALSE))</f>
        <v/>
      </c>
      <c r="AT80" s="32"/>
      <c r="AV80" s="40"/>
      <c r="BV80" s="41"/>
      <c r="BW80" s="34"/>
      <c r="BX80" s="399"/>
      <c r="BY80" s="44"/>
      <c r="BZ80" s="35"/>
      <c r="CA80" s="35"/>
      <c r="CB80" s="179" t="str">
        <f>IF(CI80="","",VLOOKUP(CI80,'Spell Database'!$A$2:$W$1214,2,FALSE))</f>
        <v/>
      </c>
      <c r="CD80" s="179" t="str">
        <f>IF(CI80="","",VLOOKUP(CI80,'Spell Database'!$A$2:$W$1214,5,FALSE))</f>
        <v/>
      </c>
      <c r="CF80" s="181" t="str">
        <f>IF(CI80="","",VLOOKUP(CI80,'Spell Database'!$A$2:$W$1214,6,FALSE))</f>
        <v/>
      </c>
      <c r="CG80" s="32"/>
      <c r="CI80" s="184"/>
      <c r="CJ80" s="19"/>
      <c r="CK80" s="19"/>
      <c r="CL80" s="19"/>
      <c r="CM80" s="19"/>
      <c r="CN80" s="19"/>
      <c r="CO80" s="19"/>
      <c r="CP80" s="19"/>
      <c r="CQ80" s="19"/>
      <c r="CR80" s="19"/>
      <c r="CS80" s="159" t="str">
        <f>IF(CI80="","",VLOOKUP(CI80,'Spell Database'!$A$2:$W$1214,8,FALSE))</f>
        <v/>
      </c>
      <c r="CT80" s="29"/>
      <c r="CU80" s="32"/>
      <c r="CV80" s="191" t="str">
        <f>IF(CI80="","",VLOOKUP(CI80,'Spell Database'!$A$2:$W$1214,9,FALSE))</f>
        <v/>
      </c>
      <c r="CW80" s="29"/>
      <c r="CX80" s="29"/>
      <c r="CY80" s="29"/>
      <c r="CZ80" s="29"/>
      <c r="DA80" s="29"/>
      <c r="DB80" s="29"/>
      <c r="DC80" s="159" t="str">
        <f>IF(CI80="","",VLOOKUP(CI80,'Spell Database'!$A$2:$W$1214,10,FALSE))</f>
        <v/>
      </c>
      <c r="DD80" s="29"/>
      <c r="DE80" s="29"/>
      <c r="DF80" s="29"/>
      <c r="DG80" s="32"/>
      <c r="DH80" s="396"/>
      <c r="DI80" s="32"/>
      <c r="DJ80" s="35"/>
      <c r="DK80" s="396"/>
      <c r="DL80" s="32"/>
      <c r="DN80" s="399"/>
      <c r="DO80" s="44"/>
      <c r="DP80" s="35"/>
    </row>
    <row r="81" ht="9.75" customHeight="1">
      <c r="A81" s="33"/>
      <c r="B81" s="48" t="s">
        <v>206</v>
      </c>
      <c r="F81" s="48" t="s">
        <v>207</v>
      </c>
      <c r="I81" s="40"/>
      <c r="AI81" s="41"/>
      <c r="AJ81" s="35"/>
      <c r="AK81" s="35"/>
      <c r="AL81" s="35"/>
      <c r="AM81" s="35"/>
      <c r="AN81" s="35"/>
      <c r="AO81" s="48" t="s">
        <v>206</v>
      </c>
      <c r="AS81" s="48" t="s">
        <v>207</v>
      </c>
      <c r="AV81" s="40"/>
      <c r="BV81" s="41"/>
      <c r="BW81" s="35"/>
      <c r="BX81" s="35"/>
      <c r="BY81" s="35"/>
      <c r="BZ81" s="35"/>
      <c r="CA81" s="35"/>
      <c r="CB81" s="48" t="s">
        <v>189</v>
      </c>
      <c r="CD81" s="48" t="s">
        <v>190</v>
      </c>
      <c r="CE81" s="53"/>
      <c r="CF81" s="340" t="s">
        <v>191</v>
      </c>
      <c r="CH81" s="53"/>
      <c r="CI81" s="208" t="str">
        <f>IF(CI80="","",VLOOKUP(CI80,'Spell Database'!$A$2:$V$1214, (IFs(CB80=1,"13", CB80=2,"14", CB80=3,"15", CB80=4,"16", CB80=5,"17", CB80=6,"18", CB80=7,"19", CB80=8,"20", CB80=9,"21", CB80=10,"22")),FALSE))</f>
        <v/>
      </c>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21"/>
      <c r="DJ81" s="53"/>
      <c r="DK81" s="53" t="s">
        <v>284</v>
      </c>
      <c r="DP81" s="35"/>
    </row>
    <row r="82" ht="15.75" customHeight="1">
      <c r="A82" s="33"/>
      <c r="B82" s="236" t="str">
        <f>IF(I78="","",VLOOKUP(I78,'Spell Database'!$A$2:$W$1214,11,FALSE))</f>
        <v/>
      </c>
      <c r="C82" s="29"/>
      <c r="D82" s="32"/>
      <c r="F82" s="159" t="str">
        <f>IF(I78="","",VLOOKUP(I78,'Spell Database'!$A$2:$W$1214,4,FALSE))</f>
        <v/>
      </c>
      <c r="G82" s="32"/>
      <c r="I82" s="42"/>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4"/>
      <c r="AJ82" s="34"/>
      <c r="AK82" s="35"/>
      <c r="AL82" s="35"/>
      <c r="AM82" s="35"/>
      <c r="AN82" s="35"/>
      <c r="AO82" s="236" t="str">
        <f>IF(AV78="","",VLOOKUP(AV78,'Spell Database'!$A$2:$W$1214,11,FALSE))</f>
        <v/>
      </c>
      <c r="AP82" s="29"/>
      <c r="AQ82" s="32"/>
      <c r="AS82" s="159" t="str">
        <f>IF(AV78="","",VLOOKUP(AV78,'Spell Database'!$A$2:$W$1214,4,FALSE))</f>
        <v/>
      </c>
      <c r="AT82" s="32"/>
      <c r="AV82" s="42"/>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4"/>
      <c r="BW82" s="34"/>
      <c r="BX82" s="35"/>
      <c r="BY82" s="35"/>
      <c r="BZ82" s="35"/>
      <c r="CA82" s="35"/>
      <c r="CB82" s="214" t="str">
        <f>IF(CI80="","",VLOOKUP(CI80,'Spell Database'!$A$2:$W$1214,12,FALSE))</f>
        <v/>
      </c>
      <c r="CD82" s="179" t="str">
        <f>IF(CI80="","",VLOOKUP(CI80,'Spell Database'!$A$2:$W$1214,3,FALSE))</f>
        <v/>
      </c>
      <c r="CF82" s="181" t="str">
        <f>IF(CI80="","",VLOOKUP(CI80,'Spell Database'!$A$2:$W$1214,7,FALSE))</f>
        <v/>
      </c>
      <c r="CG82" s="32"/>
      <c r="CI82" s="40"/>
      <c r="DI82" s="41"/>
      <c r="DJ82" s="34"/>
      <c r="DK82" s="407"/>
      <c r="DL82" s="29"/>
      <c r="DM82" s="29"/>
      <c r="DN82" s="29"/>
      <c r="DO82" s="32"/>
      <c r="DP82" s="35"/>
    </row>
    <row r="83" ht="9.75" customHeight="1">
      <c r="A83" s="33"/>
      <c r="B83" s="48" t="s">
        <v>159</v>
      </c>
      <c r="D83" s="48" t="s">
        <v>160</v>
      </c>
      <c r="F83" s="48" t="s">
        <v>162</v>
      </c>
      <c r="I83" s="173" t="s">
        <v>164</v>
      </c>
      <c r="J83" s="173"/>
      <c r="K83" s="173"/>
      <c r="L83" s="173"/>
      <c r="M83" s="173"/>
      <c r="N83" s="173"/>
      <c r="O83" s="173"/>
      <c r="P83" s="173"/>
      <c r="Q83" s="173"/>
      <c r="R83" s="173"/>
      <c r="S83" s="173"/>
      <c r="T83" s="173"/>
      <c r="U83" s="48" t="s">
        <v>168</v>
      </c>
      <c r="X83" s="48" t="s">
        <v>169</v>
      </c>
      <c r="AE83" s="48" t="s">
        <v>170</v>
      </c>
      <c r="AJ83" s="35"/>
      <c r="AK83" s="53" t="s">
        <v>1347</v>
      </c>
      <c r="AM83" s="35"/>
      <c r="AN83" s="35"/>
      <c r="AO83" s="48" t="s">
        <v>159</v>
      </c>
      <c r="AQ83" s="48" t="s">
        <v>160</v>
      </c>
      <c r="AS83" s="48" t="s">
        <v>162</v>
      </c>
      <c r="AV83" s="173" t="s">
        <v>164</v>
      </c>
      <c r="AW83" s="173"/>
      <c r="AX83" s="173"/>
      <c r="AY83" s="173"/>
      <c r="AZ83" s="173"/>
      <c r="BA83" s="173"/>
      <c r="BB83" s="173"/>
      <c r="BC83" s="173"/>
      <c r="BD83" s="173"/>
      <c r="BE83" s="173"/>
      <c r="BF83" s="173"/>
      <c r="BG83" s="173"/>
      <c r="BH83" s="48" t="s">
        <v>168</v>
      </c>
      <c r="BK83" s="48" t="s">
        <v>169</v>
      </c>
      <c r="BR83" s="48" t="s">
        <v>170</v>
      </c>
      <c r="BW83" s="35"/>
      <c r="BX83" s="53" t="s">
        <v>1347</v>
      </c>
      <c r="BZ83" s="35"/>
      <c r="CA83" s="35"/>
      <c r="CB83" s="48" t="s">
        <v>206</v>
      </c>
      <c r="CF83" s="48" t="s">
        <v>207</v>
      </c>
      <c r="CI83" s="40"/>
      <c r="DI83" s="41"/>
      <c r="DJ83" s="35"/>
      <c r="DP83" s="35"/>
    </row>
    <row r="84" ht="15.75" customHeight="1">
      <c r="A84" s="33"/>
      <c r="B84" s="179" t="str">
        <f>IF(I84="","",VLOOKUP(I84,'Spell Database'!$A$2:$W$1214,2,FALSE))</f>
        <v/>
      </c>
      <c r="D84" s="179" t="str">
        <f>IF(I84="","",VLOOKUP(I84,'Spell Database'!$A$2:$W$1214,5,FALSE))</f>
        <v/>
      </c>
      <c r="F84" s="181" t="str">
        <f>IF(I84="","",VLOOKUP(I84,'Spell Database'!$A$2:$W$1214,6,FALSE))</f>
        <v/>
      </c>
      <c r="G84" s="32"/>
      <c r="I84" s="184"/>
      <c r="J84" s="19"/>
      <c r="K84" s="19"/>
      <c r="L84" s="19"/>
      <c r="M84" s="19"/>
      <c r="N84" s="19"/>
      <c r="O84" s="19"/>
      <c r="P84" s="19"/>
      <c r="Q84" s="19"/>
      <c r="R84" s="19"/>
      <c r="S84" s="19"/>
      <c r="T84" s="19"/>
      <c r="U84" s="159" t="str">
        <f>IF(I84="","",VLOOKUP(I84,'Spell Database'!$A$2:$W$1214,8,FALSE))</f>
        <v/>
      </c>
      <c r="V84" s="29"/>
      <c r="W84" s="32"/>
      <c r="X84" s="191" t="str">
        <f>IF(I84="","",VLOOKUP(I84,'Spell Database'!$A$2:$W$1214,9,FALSE))</f>
        <v/>
      </c>
      <c r="Y84" s="29"/>
      <c r="Z84" s="29"/>
      <c r="AA84" s="29"/>
      <c r="AB84" s="29"/>
      <c r="AC84" s="29"/>
      <c r="AD84" s="29"/>
      <c r="AE84" s="159" t="str">
        <f>IF(I84="","",VLOOKUP(I84,'Spell Database'!$A$2:$W$1214,10,FALSE))</f>
        <v/>
      </c>
      <c r="AF84" s="29"/>
      <c r="AG84" s="29"/>
      <c r="AH84" s="29"/>
      <c r="AI84" s="32"/>
      <c r="AJ84" s="35"/>
      <c r="AK84" s="396"/>
      <c r="AL84" s="32"/>
      <c r="AM84" s="35"/>
      <c r="AN84" s="35"/>
      <c r="AO84" s="179" t="str">
        <f>IF(AV84="","",VLOOKUP(AV84,'Spell Database'!$A$2:$W$1214,2,FALSE))</f>
        <v/>
      </c>
      <c r="AQ84" s="179" t="str">
        <f>IF(AV84="","",VLOOKUP(AV84,'Spell Database'!$A$2:$W$1214,5,FALSE))</f>
        <v/>
      </c>
      <c r="AS84" s="181" t="str">
        <f>IF(AV84="","",VLOOKUP(AV84,'Spell Database'!$A$2:$W$1214,6,FALSE))</f>
        <v/>
      </c>
      <c r="AT84" s="32"/>
      <c r="AV84" s="184"/>
      <c r="AW84" s="19"/>
      <c r="AX84" s="19"/>
      <c r="AY84" s="19"/>
      <c r="AZ84" s="19"/>
      <c r="BA84" s="19"/>
      <c r="BB84" s="19"/>
      <c r="BC84" s="19"/>
      <c r="BD84" s="19"/>
      <c r="BE84" s="19"/>
      <c r="BF84" s="19"/>
      <c r="BG84" s="19"/>
      <c r="BH84" s="159" t="str">
        <f>IF(AV84="","",VLOOKUP(AV84,'Spell Database'!$A$2:$W$1214,8,FALSE))</f>
        <v/>
      </c>
      <c r="BI84" s="29"/>
      <c r="BJ84" s="32"/>
      <c r="BK84" s="191" t="str">
        <f>IF(AV84="","",VLOOKUP(AV84,'Spell Database'!$A$2:$W$1214,9,FALSE))</f>
        <v/>
      </c>
      <c r="BL84" s="29"/>
      <c r="BM84" s="29"/>
      <c r="BN84" s="29"/>
      <c r="BO84" s="29"/>
      <c r="BP84" s="29"/>
      <c r="BQ84" s="29"/>
      <c r="BR84" s="159" t="str">
        <f>IF(AV84="","",VLOOKUP(AV84,'Spell Database'!$A$2:$W$1214,10,FALSE))</f>
        <v/>
      </c>
      <c r="BS84" s="29"/>
      <c r="BT84" s="29"/>
      <c r="BU84" s="29"/>
      <c r="BV84" s="32"/>
      <c r="BW84" s="35"/>
      <c r="BX84" s="396"/>
      <c r="BY84" s="32"/>
      <c r="BZ84" s="35"/>
      <c r="CA84" s="35"/>
      <c r="CB84" s="236" t="str">
        <f>IF(CI80="","",VLOOKUP(CI80,'Spell Database'!$A$2:$W$1214,11,FALSE))</f>
        <v/>
      </c>
      <c r="CC84" s="29"/>
      <c r="CD84" s="32"/>
      <c r="CF84" s="159" t="str">
        <f>IF(CI80="","",VLOOKUP(CI80,'Spell Database'!$A$2:$W$1214,4,FALSE))</f>
        <v/>
      </c>
      <c r="CG84" s="32"/>
      <c r="CI84" s="42"/>
      <c r="CJ84" s="43"/>
      <c r="CK84" s="43"/>
      <c r="CL84" s="43"/>
      <c r="CM84" s="43"/>
      <c r="CN84" s="43"/>
      <c r="CO84" s="43"/>
      <c r="CP84" s="43"/>
      <c r="CQ84" s="43"/>
      <c r="CR84" s="43"/>
      <c r="CS84" s="43"/>
      <c r="CT84" s="43"/>
      <c r="CU84" s="43"/>
      <c r="CV84" s="43"/>
      <c r="CW84" s="43"/>
      <c r="CX84" s="43"/>
      <c r="CY84" s="43"/>
      <c r="CZ84" s="43"/>
      <c r="DA84" s="43"/>
      <c r="DB84" s="43"/>
      <c r="DC84" s="43"/>
      <c r="DD84" s="43"/>
      <c r="DE84" s="43"/>
      <c r="DF84" s="43"/>
      <c r="DG84" s="43"/>
      <c r="DH84" s="43"/>
      <c r="DI84" s="44"/>
      <c r="DJ84" s="34"/>
      <c r="DN84" s="427"/>
      <c r="DO84" s="427"/>
      <c r="DP84" s="35"/>
    </row>
    <row r="85" ht="9.75" customHeight="1">
      <c r="A85" s="33"/>
      <c r="B85" s="48" t="s">
        <v>189</v>
      </c>
      <c r="D85" s="48" t="s">
        <v>190</v>
      </c>
      <c r="E85" s="53"/>
      <c r="F85" s="204" t="s">
        <v>191</v>
      </c>
      <c r="H85" s="53"/>
      <c r="I85" s="208" t="str">
        <f>IF(I84="","",VLOOKUP(I84,'Spell Database'!$A$2:$V$1214, (IFs(B84=1,"13", B84=2,"14", B84=3,"15", B84=4,"16", B84=5,"17", B84=6,"18", B84=7,"19", B84=8,"20", B84=9,"21", B84=10,"22")),FALSE))</f>
        <v/>
      </c>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21"/>
      <c r="AJ85" s="53"/>
      <c r="AK85" s="391" t="s">
        <v>196</v>
      </c>
      <c r="AL85" s="29"/>
      <c r="AM85" s="35"/>
      <c r="AN85" s="35"/>
      <c r="AO85" s="48" t="s">
        <v>189</v>
      </c>
      <c r="AQ85" s="48" t="s">
        <v>190</v>
      </c>
      <c r="AR85" s="53"/>
      <c r="AS85" s="204" t="s">
        <v>191</v>
      </c>
      <c r="AU85" s="53"/>
      <c r="AV85" s="208" t="str">
        <f>IF(AV84="","",VLOOKUP(AV84,'Spell Database'!$A$2:$V$1214, (IFs(AO84=1,"13", AO84=2,"14", AO84=3,"15", AO84=4,"16", AO84=5,"17", AO84=6,"18", AO84=7,"19", AO84=8,"20", AO84=9,"21", AO84=10,"22")),FALSE))</f>
        <v/>
      </c>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21"/>
      <c r="BW85" s="53"/>
      <c r="BX85" s="391" t="s">
        <v>196</v>
      </c>
      <c r="BY85" s="29"/>
      <c r="BZ85" s="35"/>
      <c r="CA85" s="35"/>
      <c r="CB85" s="48" t="s">
        <v>159</v>
      </c>
      <c r="CD85" s="48" t="s">
        <v>160</v>
      </c>
      <c r="CF85" s="48" t="s">
        <v>162</v>
      </c>
      <c r="CI85" s="173" t="s">
        <v>164</v>
      </c>
      <c r="CJ85" s="173"/>
      <c r="CK85" s="173"/>
      <c r="CL85" s="173"/>
      <c r="CM85" s="173"/>
      <c r="CN85" s="173"/>
      <c r="CO85" s="173"/>
      <c r="CP85" s="173"/>
      <c r="CQ85" s="173"/>
      <c r="CR85" s="173"/>
      <c r="CS85" s="48" t="s">
        <v>168</v>
      </c>
      <c r="CV85" s="48" t="s">
        <v>169</v>
      </c>
      <c r="DC85" s="48" t="s">
        <v>170</v>
      </c>
      <c r="DH85" s="173" t="s">
        <v>1357</v>
      </c>
      <c r="DJ85" s="35"/>
      <c r="DK85" s="53" t="s">
        <v>1360</v>
      </c>
      <c r="DM85" s="35"/>
      <c r="DN85" s="411" t="s">
        <v>196</v>
      </c>
      <c r="DO85" s="43"/>
      <c r="DP85" s="35"/>
    </row>
    <row r="86" ht="15.75" customHeight="1">
      <c r="A86" s="33"/>
      <c r="B86" s="214" t="str">
        <f>IF(I84="","",VLOOKUP(I84,'Spell Database'!$A$2:$W$1214,12,FALSE))</f>
        <v/>
      </c>
      <c r="D86" s="179" t="str">
        <f>IF(I84="","",VLOOKUP(I84,'Spell Database'!$A$2:$W$1214,3,FALSE))</f>
        <v/>
      </c>
      <c r="F86" s="181" t="str">
        <f>IF(I84="","",VLOOKUP(I84,'Spell Database'!$A$2:$W$1214,7,FALSE))</f>
        <v/>
      </c>
      <c r="G86" s="32"/>
      <c r="I86" s="40"/>
      <c r="AI86" s="41"/>
      <c r="AJ86" s="34"/>
      <c r="AK86" s="399"/>
      <c r="AL86" s="44"/>
      <c r="AM86" s="35"/>
      <c r="AN86" s="35"/>
      <c r="AO86" s="214" t="str">
        <f>IF(AV84="","",VLOOKUP(AV84,'Spell Database'!$A$2:$W$1214,12,FALSE))</f>
        <v/>
      </c>
      <c r="AQ86" s="179" t="str">
        <f>IF(AV84="","",VLOOKUP(AV84,'Spell Database'!$A$2:$W$1214,3,FALSE))</f>
        <v/>
      </c>
      <c r="AS86" s="181" t="str">
        <f>IF(AV84="","",VLOOKUP(AV84,'Spell Database'!$A$2:$W$1214,7,FALSE))</f>
        <v/>
      </c>
      <c r="AT86" s="32"/>
      <c r="AV86" s="40"/>
      <c r="BV86" s="41"/>
      <c r="BW86" s="34"/>
      <c r="BX86" s="399"/>
      <c r="BY86" s="44"/>
      <c r="BZ86" s="35"/>
      <c r="CA86" s="35"/>
      <c r="CB86" s="179" t="str">
        <f>IF(CI86="","",VLOOKUP(CI86,'Spell Database'!$A$2:$W$1214,2,FALSE))</f>
        <v/>
      </c>
      <c r="CD86" s="179" t="str">
        <f>IF(CI86="","",VLOOKUP(CI86,'Spell Database'!$A$2:$W$1214,5,FALSE))</f>
        <v/>
      </c>
      <c r="CF86" s="181" t="str">
        <f>IF(CI86="","",VLOOKUP(CI86,'Spell Database'!$A$2:$W$1214,6,FALSE))</f>
        <v/>
      </c>
      <c r="CG86" s="32"/>
      <c r="CI86" s="184"/>
      <c r="CJ86" s="19"/>
      <c r="CK86" s="19"/>
      <c r="CL86" s="19"/>
      <c r="CM86" s="19"/>
      <c r="CN86" s="19"/>
      <c r="CO86" s="19"/>
      <c r="CP86" s="19"/>
      <c r="CQ86" s="19"/>
      <c r="CR86" s="19"/>
      <c r="CS86" s="159" t="str">
        <f>IF(CI86="","",VLOOKUP(CI86,'Spell Database'!$A$2:$W$1214,8,FALSE))</f>
        <v/>
      </c>
      <c r="CT86" s="29"/>
      <c r="CU86" s="32"/>
      <c r="CV86" s="191" t="str">
        <f>IF(CI86="","",VLOOKUP(CI86,'Spell Database'!$A$2:$W$1214,9,FALSE))</f>
        <v/>
      </c>
      <c r="CW86" s="29"/>
      <c r="CX86" s="29"/>
      <c r="CY86" s="29"/>
      <c r="CZ86" s="29"/>
      <c r="DA86" s="29"/>
      <c r="DB86" s="29"/>
      <c r="DC86" s="159" t="str">
        <f>IF(CI86="","",VLOOKUP(CI86,'Spell Database'!$A$2:$W$1214,10,FALSE))</f>
        <v/>
      </c>
      <c r="DD86" s="29"/>
      <c r="DE86" s="29"/>
      <c r="DF86" s="29"/>
      <c r="DG86" s="32"/>
      <c r="DH86" s="396"/>
      <c r="DI86" s="32"/>
      <c r="DJ86" s="35"/>
      <c r="DK86" s="396"/>
      <c r="DL86" s="32"/>
      <c r="DN86" s="399"/>
      <c r="DO86" s="44"/>
      <c r="DP86" s="35"/>
    </row>
    <row r="87" ht="9.75" customHeight="1">
      <c r="A87" s="33"/>
      <c r="B87" s="48" t="s">
        <v>206</v>
      </c>
      <c r="F87" s="48" t="s">
        <v>207</v>
      </c>
      <c r="I87" s="40"/>
      <c r="AI87" s="41"/>
      <c r="AJ87" s="35"/>
      <c r="AK87" s="35"/>
      <c r="AL87" s="35"/>
      <c r="AM87" s="48"/>
      <c r="AN87" s="48"/>
      <c r="AO87" s="48" t="s">
        <v>206</v>
      </c>
      <c r="AS87" s="48" t="s">
        <v>207</v>
      </c>
      <c r="AV87" s="40"/>
      <c r="BV87" s="41"/>
      <c r="BW87" s="35"/>
      <c r="BX87" s="35"/>
      <c r="BY87" s="35"/>
      <c r="BZ87" s="35"/>
      <c r="CA87" s="35"/>
      <c r="CB87" s="48" t="s">
        <v>189</v>
      </c>
      <c r="CD87" s="48" t="s">
        <v>190</v>
      </c>
      <c r="CE87" s="53"/>
      <c r="CF87" s="340" t="s">
        <v>191</v>
      </c>
      <c r="CH87" s="53"/>
      <c r="CI87" s="208" t="str">
        <f>IF(CI86="","",VLOOKUP(CI86,'Spell Database'!$A$2:$V$1214, (IFs(CB86=1,"13", CB86=2,"14", CB86=3,"15", CB86=4,"16", CB86=5,"17", CB86=6,"18", CB86=7,"19", CB86=8,"20", CB86=9,"21", CB86=10,"22")),FALSE))</f>
        <v/>
      </c>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21"/>
      <c r="DJ87" s="53"/>
      <c r="DK87" s="53" t="s">
        <v>284</v>
      </c>
      <c r="DP87" s="35"/>
    </row>
    <row r="88" ht="15.75" customHeight="1">
      <c r="A88" s="33"/>
      <c r="B88" s="236" t="str">
        <f>IF(I84="","",VLOOKUP(I84,'Spell Database'!$A$2:$W$1214,11,FALSE))</f>
        <v/>
      </c>
      <c r="C88" s="29"/>
      <c r="D88" s="32"/>
      <c r="F88" s="159" t="str">
        <f>IF(I84="","",VLOOKUP(I84,'Spell Database'!$A$2:$W$1214,4,FALSE))</f>
        <v/>
      </c>
      <c r="G88" s="32"/>
      <c r="I88" s="42"/>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4"/>
      <c r="AJ88" s="34"/>
      <c r="AK88" s="35"/>
      <c r="AL88" s="35"/>
      <c r="AM88" s="476"/>
      <c r="AN88" s="476"/>
      <c r="AO88" s="236" t="str">
        <f>IF(AV84="","",VLOOKUP(AV84,'Spell Database'!$A$2:$W$1214,11,FALSE))</f>
        <v/>
      </c>
      <c r="AP88" s="29"/>
      <c r="AQ88" s="32"/>
      <c r="AS88" s="159" t="str">
        <f>IF(AV84="","",VLOOKUP(AV84,'Spell Database'!$A$2:$W$1214,4,FALSE))</f>
        <v/>
      </c>
      <c r="AT88" s="32"/>
      <c r="AV88" s="42"/>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4"/>
      <c r="BW88" s="34"/>
      <c r="BX88" s="35"/>
      <c r="BY88" s="35"/>
      <c r="BZ88" s="35"/>
      <c r="CA88" s="35"/>
      <c r="CB88" s="214" t="str">
        <f>IF(CI86="","",VLOOKUP(CI86,'Spell Database'!$A$2:$W$1214,12,FALSE))</f>
        <v/>
      </c>
      <c r="CD88" s="179" t="str">
        <f>IF(CI86="","",VLOOKUP(CI86,'Spell Database'!$A$2:$W$1214,3,FALSE))</f>
        <v/>
      </c>
      <c r="CF88" s="181" t="str">
        <f>IF(CI86="","",VLOOKUP(CI86,'Spell Database'!$A$2:$W$1214,7,FALSE))</f>
        <v/>
      </c>
      <c r="CG88" s="32"/>
      <c r="CI88" s="40"/>
      <c r="DI88" s="41"/>
      <c r="DJ88" s="34"/>
      <c r="DK88" s="407"/>
      <c r="DL88" s="29"/>
      <c r="DM88" s="29"/>
      <c r="DN88" s="29"/>
      <c r="DO88" s="32"/>
      <c r="DP88" s="35"/>
    </row>
    <row r="89" ht="9.75" customHeight="1">
      <c r="A89" s="33"/>
      <c r="B89" s="476"/>
      <c r="C89" s="476"/>
      <c r="D89" s="476"/>
      <c r="E89" s="476"/>
      <c r="F89" s="476"/>
      <c r="G89" s="476"/>
      <c r="H89" s="476"/>
      <c r="I89" s="476"/>
      <c r="J89" s="476"/>
      <c r="K89" s="476"/>
      <c r="L89" s="476"/>
      <c r="M89" s="476"/>
      <c r="N89" s="476"/>
      <c r="O89" s="476"/>
      <c r="P89" s="476"/>
      <c r="Q89" s="476"/>
      <c r="R89" s="476"/>
      <c r="S89" s="476"/>
      <c r="T89" s="476"/>
      <c r="U89" s="476"/>
      <c r="V89" s="476"/>
      <c r="W89" s="476"/>
      <c r="X89" s="476"/>
      <c r="Y89" s="476"/>
      <c r="Z89" s="476"/>
      <c r="AA89" s="476"/>
      <c r="AB89" s="476"/>
      <c r="AC89" s="476"/>
      <c r="AD89" s="476"/>
      <c r="AE89" s="476"/>
      <c r="AF89" s="476"/>
      <c r="AG89" s="476"/>
      <c r="AH89" s="476"/>
      <c r="AI89" s="476"/>
      <c r="AJ89" s="476"/>
      <c r="AK89" s="476"/>
      <c r="AL89" s="476"/>
      <c r="AM89" s="476"/>
      <c r="AN89" s="476"/>
      <c r="AO89" s="476"/>
      <c r="AP89" s="476"/>
      <c r="AQ89" s="476"/>
      <c r="AR89" s="476"/>
      <c r="AS89" s="476"/>
      <c r="AT89" s="476"/>
      <c r="AU89" s="476"/>
      <c r="AV89" s="476"/>
      <c r="AW89" s="476"/>
      <c r="AX89" s="476"/>
      <c r="AY89" s="476"/>
      <c r="AZ89" s="476"/>
      <c r="BA89" s="476"/>
      <c r="BB89" s="476"/>
      <c r="BC89" s="476"/>
      <c r="BD89" s="476"/>
      <c r="BE89" s="476"/>
      <c r="BF89" s="476"/>
      <c r="BG89" s="476"/>
      <c r="BH89" s="476"/>
      <c r="BI89" s="476"/>
      <c r="BJ89" s="476"/>
      <c r="BK89" s="476"/>
      <c r="BL89" s="476"/>
      <c r="BM89" s="476"/>
      <c r="BN89" s="476"/>
      <c r="BO89" s="476"/>
      <c r="BP89" s="476"/>
      <c r="BQ89" s="476"/>
      <c r="BR89" s="476"/>
      <c r="BS89" s="476"/>
      <c r="BT89" s="476"/>
      <c r="BU89" s="476"/>
      <c r="BV89" s="476"/>
      <c r="BW89" s="476"/>
      <c r="BX89" s="476"/>
      <c r="BY89" s="476"/>
      <c r="BZ89" s="35"/>
      <c r="CA89" s="35"/>
      <c r="CB89" s="48" t="s">
        <v>206</v>
      </c>
      <c r="CF89" s="48" t="s">
        <v>207</v>
      </c>
      <c r="CI89" s="40"/>
      <c r="DI89" s="41"/>
      <c r="DJ89" s="35"/>
      <c r="DP89" s="35"/>
    </row>
    <row r="90" ht="15.75" customHeight="1">
      <c r="A90" s="33"/>
      <c r="B90" s="28" t="s">
        <v>4145</v>
      </c>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c r="AZ90" s="29"/>
      <c r="BA90" s="29"/>
      <c r="BB90" s="29"/>
      <c r="BC90" s="29"/>
      <c r="BD90" s="29"/>
      <c r="BE90" s="29"/>
      <c r="BF90" s="29"/>
      <c r="BG90" s="29"/>
      <c r="BH90" s="29"/>
      <c r="BI90" s="29"/>
      <c r="BJ90" s="29"/>
      <c r="BK90" s="29"/>
      <c r="BL90" s="29"/>
      <c r="BM90" s="29"/>
      <c r="BN90" s="29"/>
      <c r="BO90" s="29"/>
      <c r="BP90" s="29"/>
      <c r="BQ90" s="29"/>
      <c r="BR90" s="29"/>
      <c r="BS90" s="29"/>
      <c r="BT90" s="29"/>
      <c r="BU90" s="29"/>
      <c r="BV90" s="29"/>
      <c r="BW90" s="29"/>
      <c r="BX90" s="29"/>
      <c r="BY90" s="32"/>
      <c r="BZ90" s="35"/>
      <c r="CA90" s="35"/>
      <c r="CB90" s="236" t="str">
        <f>IF(CI86="","",VLOOKUP(CI86,'Spell Database'!$A$2:$W$1214,11,FALSE))</f>
        <v/>
      </c>
      <c r="CC90" s="29"/>
      <c r="CD90" s="32"/>
      <c r="CF90" s="159" t="str">
        <f>IF(CI86="","",VLOOKUP(CI86,'Spell Database'!$A$2:$W$1214,4,FALSE))</f>
        <v/>
      </c>
      <c r="CG90" s="32"/>
      <c r="CI90" s="42"/>
      <c r="CJ90" s="43"/>
      <c r="CK90" s="43"/>
      <c r="CL90" s="43"/>
      <c r="CM90" s="43"/>
      <c r="CN90" s="43"/>
      <c r="CO90" s="43"/>
      <c r="CP90" s="43"/>
      <c r="CQ90" s="43"/>
      <c r="CR90" s="43"/>
      <c r="CS90" s="43"/>
      <c r="CT90" s="43"/>
      <c r="CU90" s="43"/>
      <c r="CV90" s="43"/>
      <c r="CW90" s="43"/>
      <c r="CX90" s="43"/>
      <c r="CY90" s="43"/>
      <c r="CZ90" s="43"/>
      <c r="DA90" s="43"/>
      <c r="DB90" s="43"/>
      <c r="DC90" s="43"/>
      <c r="DD90" s="43"/>
      <c r="DE90" s="43"/>
      <c r="DF90" s="43"/>
      <c r="DG90" s="43"/>
      <c r="DH90" s="43"/>
      <c r="DI90" s="44"/>
      <c r="DJ90" s="34"/>
      <c r="DN90" s="427"/>
      <c r="DO90" s="427"/>
      <c r="DP90" s="35"/>
    </row>
    <row r="91" ht="9.75" customHeight="1">
      <c r="A91" s="33"/>
      <c r="B91" s="48" t="s">
        <v>159</v>
      </c>
      <c r="D91" s="48" t="s">
        <v>160</v>
      </c>
      <c r="F91" s="48" t="s">
        <v>162</v>
      </c>
      <c r="I91" s="173" t="s">
        <v>164</v>
      </c>
      <c r="J91" s="173"/>
      <c r="K91" s="173"/>
      <c r="L91" s="173"/>
      <c r="M91" s="173"/>
      <c r="N91" s="173"/>
      <c r="O91" s="173"/>
      <c r="P91" s="173"/>
      <c r="Q91" s="173"/>
      <c r="R91" s="173"/>
      <c r="S91" s="173"/>
      <c r="T91" s="173"/>
      <c r="U91" s="48" t="s">
        <v>168</v>
      </c>
      <c r="X91" s="48" t="s">
        <v>169</v>
      </c>
      <c r="AE91" s="48" t="s">
        <v>170</v>
      </c>
      <c r="AJ91" s="35"/>
      <c r="AK91" s="53" t="s">
        <v>1347</v>
      </c>
      <c r="AM91" s="35"/>
      <c r="AN91" s="35"/>
      <c r="AO91" s="48" t="s">
        <v>159</v>
      </c>
      <c r="AQ91" s="48" t="s">
        <v>160</v>
      </c>
      <c r="AS91" s="48" t="s">
        <v>162</v>
      </c>
      <c r="AV91" s="173" t="s">
        <v>164</v>
      </c>
      <c r="AW91" s="173"/>
      <c r="AX91" s="173"/>
      <c r="AY91" s="173"/>
      <c r="AZ91" s="173"/>
      <c r="BA91" s="173"/>
      <c r="BB91" s="173"/>
      <c r="BC91" s="173"/>
      <c r="BD91" s="173"/>
      <c r="BE91" s="173"/>
      <c r="BF91" s="173"/>
      <c r="BG91" s="173"/>
      <c r="BH91" s="48" t="s">
        <v>168</v>
      </c>
      <c r="BK91" s="48" t="s">
        <v>169</v>
      </c>
      <c r="BR91" s="48" t="s">
        <v>170</v>
      </c>
      <c r="BW91" s="35"/>
      <c r="BX91" s="53" t="s">
        <v>1347</v>
      </c>
      <c r="BZ91" s="35"/>
      <c r="CA91" s="35"/>
      <c r="CB91" s="48" t="s">
        <v>159</v>
      </c>
      <c r="CD91" s="48" t="s">
        <v>160</v>
      </c>
      <c r="CF91" s="48" t="s">
        <v>162</v>
      </c>
      <c r="CI91" s="173" t="s">
        <v>164</v>
      </c>
      <c r="CJ91" s="173"/>
      <c r="CK91" s="173"/>
      <c r="CL91" s="173"/>
      <c r="CM91" s="173"/>
      <c r="CN91" s="173"/>
      <c r="CO91" s="173"/>
      <c r="CP91" s="173"/>
      <c r="CQ91" s="173"/>
      <c r="CR91" s="173"/>
      <c r="CS91" s="48" t="s">
        <v>168</v>
      </c>
      <c r="CV91" s="48" t="s">
        <v>169</v>
      </c>
      <c r="DC91" s="48" t="s">
        <v>170</v>
      </c>
      <c r="DH91" s="173" t="s">
        <v>1357</v>
      </c>
      <c r="DJ91" s="35"/>
      <c r="DK91" s="53" t="s">
        <v>1360</v>
      </c>
      <c r="DM91" s="35"/>
      <c r="DN91" s="411" t="s">
        <v>196</v>
      </c>
      <c r="DO91" s="43"/>
      <c r="DP91" s="35"/>
    </row>
    <row r="92" ht="15.75" customHeight="1">
      <c r="A92" s="33"/>
      <c r="B92" s="179" t="str">
        <f>IF(I92="","",VLOOKUP(I92,'Spell Database'!$A$2:$W$1214,2,FALSE))</f>
        <v/>
      </c>
      <c r="D92" s="179" t="str">
        <f>IF(I92="","",VLOOKUP(I92,'Spell Database'!$A$2:$W$1214,5,FALSE))</f>
        <v/>
      </c>
      <c r="F92" s="181" t="str">
        <f>IF(I92="","",VLOOKUP(I92,'Spell Database'!$A$2:$W$1214,6,FALSE))</f>
        <v/>
      </c>
      <c r="G92" s="32"/>
      <c r="I92" s="184"/>
      <c r="J92" s="19"/>
      <c r="K92" s="19"/>
      <c r="L92" s="19"/>
      <c r="M92" s="19"/>
      <c r="N92" s="19"/>
      <c r="O92" s="19"/>
      <c r="P92" s="19"/>
      <c r="Q92" s="19"/>
      <c r="R92" s="19"/>
      <c r="S92" s="19"/>
      <c r="T92" s="19"/>
      <c r="U92" s="159" t="str">
        <f>IF(I92="","",VLOOKUP(I92,'Spell Database'!$A$2:$W$1214,8,FALSE))</f>
        <v/>
      </c>
      <c r="V92" s="29"/>
      <c r="W92" s="32"/>
      <c r="X92" s="191" t="str">
        <f>IF(I92="","",VLOOKUP(I92,'Spell Database'!$A$2:$W$1214,9,FALSE))</f>
        <v/>
      </c>
      <c r="Y92" s="29"/>
      <c r="Z92" s="29"/>
      <c r="AA92" s="29"/>
      <c r="AB92" s="29"/>
      <c r="AC92" s="29"/>
      <c r="AD92" s="29"/>
      <c r="AE92" s="159" t="str">
        <f>IF(I92="","",VLOOKUP(I92,'Spell Database'!$A$2:$W$1214,10,FALSE))</f>
        <v/>
      </c>
      <c r="AF92" s="29"/>
      <c r="AG92" s="29"/>
      <c r="AH92" s="29"/>
      <c r="AI92" s="32"/>
      <c r="AJ92" s="35"/>
      <c r="AK92" s="396"/>
      <c r="AL92" s="32"/>
      <c r="AM92" s="35"/>
      <c r="AN92" s="35"/>
      <c r="AO92" s="179" t="str">
        <f>IF(AV92="","",VLOOKUP(AV92,'Spell Database'!$A$2:$W$1214,2,FALSE))</f>
        <v/>
      </c>
      <c r="AQ92" s="179" t="str">
        <f>IF(AV92="","",VLOOKUP(AV92,'Spell Database'!$A$2:$W$1214,5,FALSE))</f>
        <v/>
      </c>
      <c r="AS92" s="181" t="str">
        <f>IF(AV92="","",VLOOKUP(AV92,'Spell Database'!$A$2:$W$1214,6,FALSE))</f>
        <v/>
      </c>
      <c r="AT92" s="32"/>
      <c r="AV92" s="184"/>
      <c r="AW92" s="19"/>
      <c r="AX92" s="19"/>
      <c r="AY92" s="19"/>
      <c r="AZ92" s="19"/>
      <c r="BA92" s="19"/>
      <c r="BB92" s="19"/>
      <c r="BC92" s="19"/>
      <c r="BD92" s="19"/>
      <c r="BE92" s="19"/>
      <c r="BF92" s="19"/>
      <c r="BG92" s="19"/>
      <c r="BH92" s="159" t="str">
        <f>IF(AV92="","",VLOOKUP(AV92,'Spell Database'!$A$2:$W$1214,8,FALSE))</f>
        <v/>
      </c>
      <c r="BI92" s="29"/>
      <c r="BJ92" s="32"/>
      <c r="BK92" s="191" t="str">
        <f>IF(AV92="","",VLOOKUP(AV92,'Spell Database'!$A$2:$W$1214,9,FALSE))</f>
        <v/>
      </c>
      <c r="BL92" s="29"/>
      <c r="BM92" s="29"/>
      <c r="BN92" s="29"/>
      <c r="BO92" s="29"/>
      <c r="BP92" s="29"/>
      <c r="BQ92" s="29"/>
      <c r="BR92" s="159" t="str">
        <f>IF(AV92="","",VLOOKUP(AV92,'Spell Database'!$A$2:$W$1214,10,FALSE))</f>
        <v/>
      </c>
      <c r="BS92" s="29"/>
      <c r="BT92" s="29"/>
      <c r="BU92" s="29"/>
      <c r="BV92" s="32"/>
      <c r="BW92" s="35"/>
      <c r="BX92" s="396"/>
      <c r="BY92" s="32"/>
      <c r="BZ92" s="35"/>
      <c r="CA92" s="35"/>
      <c r="CB92" s="179" t="str">
        <f>IF(CI92="","",VLOOKUP(CI92,'Spell Database'!$A$2:$W$1214,2,FALSE))</f>
        <v/>
      </c>
      <c r="CD92" s="179" t="str">
        <f>IF(CI92="","",VLOOKUP(CI92,'Spell Database'!$A$2:$W$1214,5,FALSE))</f>
        <v/>
      </c>
      <c r="CF92" s="181" t="str">
        <f>IF(CI92="","",VLOOKUP(CI92,'Spell Database'!$A$2:$W$1214,6,FALSE))</f>
        <v/>
      </c>
      <c r="CG92" s="32"/>
      <c r="CI92" s="184"/>
      <c r="CJ92" s="19"/>
      <c r="CK92" s="19"/>
      <c r="CL92" s="19"/>
      <c r="CM92" s="19"/>
      <c r="CN92" s="19"/>
      <c r="CO92" s="19"/>
      <c r="CP92" s="19"/>
      <c r="CQ92" s="19"/>
      <c r="CR92" s="19"/>
      <c r="CS92" s="159" t="str">
        <f>IF(CI92="","",VLOOKUP(CI92,'Spell Database'!$A$2:$W$1214,8,FALSE))</f>
        <v/>
      </c>
      <c r="CT92" s="29"/>
      <c r="CU92" s="32"/>
      <c r="CV92" s="191" t="str">
        <f>IF(CI92="","",VLOOKUP(CI92,'Spell Database'!$A$2:$W$1214,9,FALSE))</f>
        <v/>
      </c>
      <c r="CW92" s="29"/>
      <c r="CX92" s="29"/>
      <c r="CY92" s="29"/>
      <c r="CZ92" s="29"/>
      <c r="DA92" s="29"/>
      <c r="DB92" s="29"/>
      <c r="DC92" s="159" t="str">
        <f>IF(CI92="","",VLOOKUP(CI92,'Spell Database'!$A$2:$W$1214,10,FALSE))</f>
        <v/>
      </c>
      <c r="DD92" s="29"/>
      <c r="DE92" s="29"/>
      <c r="DF92" s="29"/>
      <c r="DG92" s="32"/>
      <c r="DH92" s="396"/>
      <c r="DI92" s="32"/>
      <c r="DJ92" s="35"/>
      <c r="DK92" s="396"/>
      <c r="DL92" s="32"/>
      <c r="DN92" s="399"/>
      <c r="DO92" s="44"/>
      <c r="DP92" s="35"/>
    </row>
    <row r="93" ht="9.75" customHeight="1">
      <c r="A93" s="33"/>
      <c r="B93" s="48" t="s">
        <v>189</v>
      </c>
      <c r="D93" s="48" t="s">
        <v>190</v>
      </c>
      <c r="E93" s="53"/>
      <c r="F93" s="340" t="s">
        <v>191</v>
      </c>
      <c r="H93" s="53"/>
      <c r="I93" s="208" t="str">
        <f>IF(I92="","",VLOOKUP(I92,'Spell Database'!$A$2:$V$1214, (IFs(B92=1,"13", B92=2,"14", B92=3,"15", B92=4,"16", B92=5,"17", B92=6,"18", B92=7,"19", B92=8,"20", B92=9,"21", B92=10,"22")),FALSE))</f>
        <v/>
      </c>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21"/>
      <c r="AJ93" s="53"/>
      <c r="AK93" s="391" t="s">
        <v>196</v>
      </c>
      <c r="AL93" s="29"/>
      <c r="AM93" s="35"/>
      <c r="AN93" s="35"/>
      <c r="AO93" s="48" t="s">
        <v>189</v>
      </c>
      <c r="AQ93" s="48" t="s">
        <v>190</v>
      </c>
      <c r="AR93" s="53"/>
      <c r="AS93" s="340" t="s">
        <v>191</v>
      </c>
      <c r="AU93" s="53"/>
      <c r="AV93" s="208" t="str">
        <f>IF(AV92="","",VLOOKUP(AV92,'Spell Database'!$A$2:$V$1214, (IFs(AO92=1,"13", AO92=2,"14", AO92=3,"15", AO92=4,"16", AO92=5,"17", AO92=6,"18", AO92=7,"19", AO92=8,"20", AO92=9,"21", AO92=10,"22")),FALSE))</f>
        <v/>
      </c>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21"/>
      <c r="BW93" s="53"/>
      <c r="BX93" s="391" t="s">
        <v>196</v>
      </c>
      <c r="BY93" s="29"/>
      <c r="BZ93" s="35"/>
      <c r="CA93" s="35"/>
      <c r="CB93" s="48" t="s">
        <v>189</v>
      </c>
      <c r="CD93" s="48" t="s">
        <v>190</v>
      </c>
      <c r="CE93" s="53"/>
      <c r="CF93" s="340" t="s">
        <v>191</v>
      </c>
      <c r="CH93" s="53"/>
      <c r="CI93" s="208" t="str">
        <f>IF(CI92="","",VLOOKUP(CI92,'Spell Database'!$A$2:$V$1214, (IFs(CB92=1,"13", CB92=2,"14", CB92=3,"15", CB92=4,"16", CB92=5,"17", CB92=6,"18", CB92=7,"19", CB92=8,"20", CB92=9,"21", CB92=10,"22")),FALSE))</f>
        <v/>
      </c>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21"/>
      <c r="DJ93" s="53"/>
      <c r="DK93" s="53" t="s">
        <v>284</v>
      </c>
      <c r="DP93" s="35"/>
    </row>
    <row r="94" ht="15.75" customHeight="1">
      <c r="A94" s="33"/>
      <c r="B94" s="214" t="str">
        <f>IF(I92="","",VLOOKUP(I92,'Spell Database'!$A$2:$W$1214,12,FALSE))</f>
        <v/>
      </c>
      <c r="D94" s="179" t="str">
        <f>IF(I92="","",VLOOKUP(I92,'Spell Database'!$A$2:$W$1214,3,FALSE))</f>
        <v/>
      </c>
      <c r="F94" s="181" t="str">
        <f>IF(I92="","",VLOOKUP(I92,'Spell Database'!$A$2:$W$1214,7,FALSE))</f>
        <v/>
      </c>
      <c r="G94" s="32"/>
      <c r="I94" s="40"/>
      <c r="AI94" s="41"/>
      <c r="AJ94" s="34"/>
      <c r="AK94" s="399"/>
      <c r="AL94" s="44"/>
      <c r="AM94" s="35"/>
      <c r="AN94" s="35"/>
      <c r="AO94" s="214" t="str">
        <f>IF(AV92="","",VLOOKUP(AV92,'Spell Database'!$A$2:$W$1214,12,FALSE))</f>
        <v/>
      </c>
      <c r="AQ94" s="179" t="str">
        <f>IF(AV92="","",VLOOKUP(AV92,'Spell Database'!$A$2:$W$1214,3,FALSE))</f>
        <v/>
      </c>
      <c r="AS94" s="181" t="str">
        <f>IF(AV92="","",VLOOKUP(AV92,'Spell Database'!$A$2:$W$1214,7,FALSE))</f>
        <v/>
      </c>
      <c r="AT94" s="32"/>
      <c r="AV94" s="40"/>
      <c r="BV94" s="41"/>
      <c r="BW94" s="34"/>
      <c r="BX94" s="399"/>
      <c r="BY94" s="44"/>
      <c r="BZ94" s="35"/>
      <c r="CA94" s="35"/>
      <c r="CB94" s="214" t="str">
        <f>IF(CI92="","",VLOOKUP(CI92,'Spell Database'!$A$2:$W$1214,12,FALSE))</f>
        <v/>
      </c>
      <c r="CD94" s="179" t="str">
        <f>IF(CI92="","",VLOOKUP(CI92,'Spell Database'!$A$2:$W$1214,3,FALSE))</f>
        <v/>
      </c>
      <c r="CF94" s="181" t="str">
        <f>IF(CI92="","",VLOOKUP(CI92,'Spell Database'!$A$2:$W$1214,7,FALSE))</f>
        <v/>
      </c>
      <c r="CG94" s="32"/>
      <c r="CI94" s="40"/>
      <c r="DI94" s="41"/>
      <c r="DJ94" s="34"/>
      <c r="DK94" s="407"/>
      <c r="DL94" s="29"/>
      <c r="DM94" s="29"/>
      <c r="DN94" s="29"/>
      <c r="DO94" s="32"/>
      <c r="DP94" s="35"/>
    </row>
    <row r="95" ht="9.75" customHeight="1">
      <c r="A95" s="33"/>
      <c r="B95" s="48" t="s">
        <v>206</v>
      </c>
      <c r="F95" s="48" t="s">
        <v>207</v>
      </c>
      <c r="I95" s="40"/>
      <c r="AI95" s="41"/>
      <c r="AJ95" s="35"/>
      <c r="AK95" s="35"/>
      <c r="AL95" s="35"/>
      <c r="AM95" s="35"/>
      <c r="AN95" s="35"/>
      <c r="AO95" s="48" t="s">
        <v>206</v>
      </c>
      <c r="AS95" s="48" t="s">
        <v>207</v>
      </c>
      <c r="AV95" s="40"/>
      <c r="BV95" s="41"/>
      <c r="BW95" s="35"/>
      <c r="BX95" s="35"/>
      <c r="BY95" s="35"/>
      <c r="BZ95" s="35"/>
      <c r="CA95" s="35"/>
      <c r="CB95" s="48" t="s">
        <v>206</v>
      </c>
      <c r="CF95" s="48" t="s">
        <v>207</v>
      </c>
      <c r="CI95" s="40"/>
      <c r="DI95" s="41"/>
      <c r="DJ95" s="35"/>
      <c r="DP95" s="35"/>
    </row>
    <row r="96" ht="15.75" customHeight="1">
      <c r="A96" s="33"/>
      <c r="B96" s="236" t="str">
        <f>IF(I92="","",VLOOKUP(I92,'Spell Database'!$A$2:$W$1214,11,FALSE))</f>
        <v/>
      </c>
      <c r="C96" s="29"/>
      <c r="D96" s="32"/>
      <c r="F96" s="159" t="str">
        <f>IF(I92="","",VLOOKUP(I92,'Spell Database'!$A$2:$W$1214,4,FALSE))</f>
        <v/>
      </c>
      <c r="G96" s="32"/>
      <c r="I96" s="42"/>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4"/>
      <c r="AJ96" s="34"/>
      <c r="AK96" s="35"/>
      <c r="AL96" s="35"/>
      <c r="AM96" s="35"/>
      <c r="AN96" s="35"/>
      <c r="AO96" s="236" t="str">
        <f>IF(AV92="","",VLOOKUP(AV92,'Spell Database'!$A$2:$W$1214,11,FALSE))</f>
        <v/>
      </c>
      <c r="AP96" s="29"/>
      <c r="AQ96" s="32"/>
      <c r="AS96" s="159" t="str">
        <f>IF(AV92="","",VLOOKUP(AV92,'Spell Database'!$A$2:$W$1214,4,FALSE))</f>
        <v/>
      </c>
      <c r="AT96" s="32"/>
      <c r="AV96" s="42"/>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4"/>
      <c r="BW96" s="34"/>
      <c r="BX96" s="35"/>
      <c r="BY96" s="35"/>
      <c r="BZ96" s="35"/>
      <c r="CA96" s="35"/>
      <c r="CB96" s="236" t="str">
        <f>IF(CI92="","",VLOOKUP(CI92,'Spell Database'!$A$2:$W$1214,11,FALSE))</f>
        <v/>
      </c>
      <c r="CC96" s="29"/>
      <c r="CD96" s="32"/>
      <c r="CF96" s="159" t="str">
        <f>IF(CI92="","",VLOOKUP(CI92,'Spell Database'!$A$2:$W$1214,4,FALSE))</f>
        <v/>
      </c>
      <c r="CG96" s="32"/>
      <c r="CI96" s="42"/>
      <c r="CJ96" s="43"/>
      <c r="CK96" s="43"/>
      <c r="CL96" s="43"/>
      <c r="CM96" s="43"/>
      <c r="CN96" s="43"/>
      <c r="CO96" s="43"/>
      <c r="CP96" s="43"/>
      <c r="CQ96" s="43"/>
      <c r="CR96" s="43"/>
      <c r="CS96" s="43"/>
      <c r="CT96" s="43"/>
      <c r="CU96" s="43"/>
      <c r="CV96" s="43"/>
      <c r="CW96" s="43"/>
      <c r="CX96" s="43"/>
      <c r="CY96" s="43"/>
      <c r="CZ96" s="43"/>
      <c r="DA96" s="43"/>
      <c r="DB96" s="43"/>
      <c r="DC96" s="43"/>
      <c r="DD96" s="43"/>
      <c r="DE96" s="43"/>
      <c r="DF96" s="43"/>
      <c r="DG96" s="43"/>
      <c r="DH96" s="43"/>
      <c r="DI96" s="44"/>
      <c r="DJ96" s="34"/>
      <c r="DN96" s="427"/>
      <c r="DO96" s="427"/>
      <c r="DP96" s="35"/>
    </row>
    <row r="97" ht="9.75" customHeight="1">
      <c r="A97" s="33"/>
      <c r="B97" s="48" t="s">
        <v>159</v>
      </c>
      <c r="D97" s="48" t="s">
        <v>160</v>
      </c>
      <c r="F97" s="48" t="s">
        <v>162</v>
      </c>
      <c r="I97" s="173" t="s">
        <v>164</v>
      </c>
      <c r="J97" s="173"/>
      <c r="K97" s="173"/>
      <c r="L97" s="173"/>
      <c r="M97" s="173"/>
      <c r="N97" s="173"/>
      <c r="O97" s="173"/>
      <c r="P97" s="173"/>
      <c r="Q97" s="173"/>
      <c r="R97" s="173"/>
      <c r="S97" s="173"/>
      <c r="T97" s="173"/>
      <c r="U97" s="48" t="s">
        <v>168</v>
      </c>
      <c r="X97" s="48" t="s">
        <v>169</v>
      </c>
      <c r="AE97" s="48" t="s">
        <v>170</v>
      </c>
      <c r="AJ97" s="35"/>
      <c r="AK97" s="53" t="s">
        <v>1347</v>
      </c>
      <c r="AM97" s="35"/>
      <c r="AN97" s="35"/>
      <c r="AO97" s="48" t="s">
        <v>159</v>
      </c>
      <c r="AQ97" s="48" t="s">
        <v>160</v>
      </c>
      <c r="AS97" s="48" t="s">
        <v>162</v>
      </c>
      <c r="AV97" s="173" t="s">
        <v>164</v>
      </c>
      <c r="AW97" s="173"/>
      <c r="AX97" s="173"/>
      <c r="AY97" s="173"/>
      <c r="AZ97" s="173"/>
      <c r="BA97" s="173"/>
      <c r="BB97" s="173"/>
      <c r="BC97" s="173"/>
      <c r="BD97" s="173"/>
      <c r="BE97" s="173"/>
      <c r="BF97" s="173"/>
      <c r="BG97" s="173"/>
      <c r="BH97" s="48" t="s">
        <v>168</v>
      </c>
      <c r="BK97" s="48" t="s">
        <v>169</v>
      </c>
      <c r="BR97" s="48" t="s">
        <v>170</v>
      </c>
      <c r="BW97" s="35"/>
      <c r="BX97" s="53" t="s">
        <v>1347</v>
      </c>
      <c r="BZ97" s="35"/>
      <c r="CA97" s="35"/>
      <c r="CB97" s="48" t="s">
        <v>159</v>
      </c>
      <c r="CD97" s="48" t="s">
        <v>160</v>
      </c>
      <c r="CF97" s="48" t="s">
        <v>162</v>
      </c>
      <c r="CI97" s="173" t="s">
        <v>164</v>
      </c>
      <c r="CJ97" s="173"/>
      <c r="CK97" s="173"/>
      <c r="CL97" s="173"/>
      <c r="CM97" s="173"/>
      <c r="CN97" s="173"/>
      <c r="CO97" s="173"/>
      <c r="CP97" s="173"/>
      <c r="CQ97" s="173"/>
      <c r="CR97" s="173"/>
      <c r="CS97" s="48" t="s">
        <v>168</v>
      </c>
      <c r="CV97" s="48" t="s">
        <v>169</v>
      </c>
      <c r="DC97" s="48" t="s">
        <v>170</v>
      </c>
      <c r="DH97" s="173" t="s">
        <v>1357</v>
      </c>
      <c r="DJ97" s="35"/>
      <c r="DK97" s="53" t="s">
        <v>1360</v>
      </c>
      <c r="DM97" s="35"/>
      <c r="DN97" s="411" t="s">
        <v>196</v>
      </c>
      <c r="DO97" s="43"/>
      <c r="DP97" s="35"/>
    </row>
    <row r="98" ht="15.75" customHeight="1">
      <c r="A98" s="33"/>
      <c r="B98" s="179" t="str">
        <f>IF(I98="","",VLOOKUP(I98,'Spell Database'!$A$2:$W$1214,2,FALSE))</f>
        <v/>
      </c>
      <c r="D98" s="179" t="str">
        <f>IF(I98="","",VLOOKUP(I98,'Spell Database'!$A$2:$W$1214,5,FALSE))</f>
        <v/>
      </c>
      <c r="F98" s="181" t="str">
        <f>IF(I98="","",VLOOKUP(I98,'Spell Database'!$A$2:$W$1214,6,FALSE))</f>
        <v/>
      </c>
      <c r="G98" s="32"/>
      <c r="I98" s="184"/>
      <c r="J98" s="19"/>
      <c r="K98" s="19"/>
      <c r="L98" s="19"/>
      <c r="M98" s="19"/>
      <c r="N98" s="19"/>
      <c r="O98" s="19"/>
      <c r="P98" s="19"/>
      <c r="Q98" s="19"/>
      <c r="R98" s="19"/>
      <c r="S98" s="19"/>
      <c r="T98" s="19"/>
      <c r="U98" s="159" t="str">
        <f>IF(I98="","",VLOOKUP(I98,'Spell Database'!$A$2:$W$1214,8,FALSE))</f>
        <v/>
      </c>
      <c r="V98" s="29"/>
      <c r="W98" s="32"/>
      <c r="X98" s="191" t="str">
        <f>IF(I98="","",VLOOKUP(I98,'Spell Database'!$A$2:$W$1214,9,FALSE))</f>
        <v/>
      </c>
      <c r="Y98" s="29"/>
      <c r="Z98" s="29"/>
      <c r="AA98" s="29"/>
      <c r="AB98" s="29"/>
      <c r="AC98" s="29"/>
      <c r="AD98" s="29"/>
      <c r="AE98" s="159" t="str">
        <f>IF(I98="","",VLOOKUP(I98,'Spell Database'!$A$2:$W$1214,10,FALSE))</f>
        <v/>
      </c>
      <c r="AF98" s="29"/>
      <c r="AG98" s="29"/>
      <c r="AH98" s="29"/>
      <c r="AI98" s="32"/>
      <c r="AJ98" s="35"/>
      <c r="AK98" s="396"/>
      <c r="AL98" s="32"/>
      <c r="AM98" s="35"/>
      <c r="AN98" s="35"/>
      <c r="AO98" s="179" t="str">
        <f>IF(AV98="","",VLOOKUP(AV98,'Spell Database'!$A$2:$W$1214,2,FALSE))</f>
        <v/>
      </c>
      <c r="AQ98" s="179" t="str">
        <f>IF(AV98="","",VLOOKUP(AV98,'Spell Database'!$A$2:$W$1214,5,FALSE))</f>
        <v/>
      </c>
      <c r="AS98" s="181" t="str">
        <f>IF(AV98="","",VLOOKUP(AV98,'Spell Database'!$A$2:$W$1214,6,FALSE))</f>
        <v/>
      </c>
      <c r="AT98" s="32"/>
      <c r="AV98" s="184"/>
      <c r="AW98" s="19"/>
      <c r="AX98" s="19"/>
      <c r="AY98" s="19"/>
      <c r="AZ98" s="19"/>
      <c r="BA98" s="19"/>
      <c r="BB98" s="19"/>
      <c r="BC98" s="19"/>
      <c r="BD98" s="19"/>
      <c r="BE98" s="19"/>
      <c r="BF98" s="19"/>
      <c r="BG98" s="19"/>
      <c r="BH98" s="159" t="str">
        <f>IF(AV98="","",VLOOKUP(AV98,'Spell Database'!$A$2:$W$1214,8,FALSE))</f>
        <v/>
      </c>
      <c r="BI98" s="29"/>
      <c r="BJ98" s="32"/>
      <c r="BK98" s="191" t="str">
        <f>IF(AV98="","",VLOOKUP(AV98,'Spell Database'!$A$2:$W$1214,9,FALSE))</f>
        <v/>
      </c>
      <c r="BL98" s="29"/>
      <c r="BM98" s="29"/>
      <c r="BN98" s="29"/>
      <c r="BO98" s="29"/>
      <c r="BP98" s="29"/>
      <c r="BQ98" s="29"/>
      <c r="BR98" s="159" t="str">
        <f>IF(AV98="","",VLOOKUP(AV98,'Spell Database'!$A$2:$W$1214,10,FALSE))</f>
        <v/>
      </c>
      <c r="BS98" s="29"/>
      <c r="BT98" s="29"/>
      <c r="BU98" s="29"/>
      <c r="BV98" s="32"/>
      <c r="BW98" s="35"/>
      <c r="BX98" s="396"/>
      <c r="BY98" s="32"/>
      <c r="BZ98" s="35"/>
      <c r="CA98" s="35"/>
      <c r="CB98" s="179" t="str">
        <f>IF(CI98="","",VLOOKUP(CI98,'Spell Database'!$A$2:$W$1214,2,FALSE))</f>
        <v/>
      </c>
      <c r="CD98" s="179" t="str">
        <f>IF(CI98="","",VLOOKUP(CI98,'Spell Database'!$A$2:$W$1214,5,FALSE))</f>
        <v/>
      </c>
      <c r="CF98" s="181" t="str">
        <f>IF(CI98="","",VLOOKUP(CI98,'Spell Database'!$A$2:$W$1214,6,FALSE))</f>
        <v/>
      </c>
      <c r="CG98" s="32"/>
      <c r="CI98" s="184"/>
      <c r="CJ98" s="19"/>
      <c r="CK98" s="19"/>
      <c r="CL98" s="19"/>
      <c r="CM98" s="19"/>
      <c r="CN98" s="19"/>
      <c r="CO98" s="19"/>
      <c r="CP98" s="19"/>
      <c r="CQ98" s="19"/>
      <c r="CR98" s="19"/>
      <c r="CS98" s="159" t="str">
        <f>IF(CI98="","",VLOOKUP(CI98,'Spell Database'!$A$2:$W$1214,8,FALSE))</f>
        <v/>
      </c>
      <c r="CT98" s="29"/>
      <c r="CU98" s="32"/>
      <c r="CV98" s="191" t="str">
        <f>IF(CI98="","",VLOOKUP(CI98,'Spell Database'!$A$2:$W$1214,9,FALSE))</f>
        <v/>
      </c>
      <c r="CW98" s="29"/>
      <c r="CX98" s="29"/>
      <c r="CY98" s="29"/>
      <c r="CZ98" s="29"/>
      <c r="DA98" s="29"/>
      <c r="DB98" s="29"/>
      <c r="DC98" s="159" t="str">
        <f>IF(CI98="","",VLOOKUP(CI98,'Spell Database'!$A$2:$W$1214,10,FALSE))</f>
        <v/>
      </c>
      <c r="DD98" s="29"/>
      <c r="DE98" s="29"/>
      <c r="DF98" s="29"/>
      <c r="DG98" s="32"/>
      <c r="DH98" s="396"/>
      <c r="DI98" s="32"/>
      <c r="DJ98" s="35"/>
      <c r="DK98" s="396"/>
      <c r="DL98" s="32"/>
      <c r="DN98" s="399"/>
      <c r="DO98" s="44"/>
      <c r="DP98" s="35"/>
    </row>
    <row r="99" ht="9.75" customHeight="1">
      <c r="A99" s="33"/>
      <c r="B99" s="48" t="s">
        <v>189</v>
      </c>
      <c r="D99" s="48" t="s">
        <v>190</v>
      </c>
      <c r="E99" s="53"/>
      <c r="F99" s="340" t="s">
        <v>191</v>
      </c>
      <c r="H99" s="53"/>
      <c r="I99" s="208" t="str">
        <f>IF(I98="","",VLOOKUP(I98,'Spell Database'!$A$2:$V$1214, (IFs(B98=1,"13", B98=2,"14", B98=3,"15", B98=4,"16", B98=5,"17", B98=6,"18", B98=7,"19", B98=8,"20", B98=9,"21", B98=10,"22")),FALSE))</f>
        <v/>
      </c>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21"/>
      <c r="AJ99" s="53"/>
      <c r="AK99" s="391" t="s">
        <v>196</v>
      </c>
      <c r="AL99" s="29"/>
      <c r="AM99" s="35"/>
      <c r="AN99" s="35"/>
      <c r="AO99" s="48" t="s">
        <v>189</v>
      </c>
      <c r="AQ99" s="48" t="s">
        <v>190</v>
      </c>
      <c r="AR99" s="53"/>
      <c r="AS99" s="340" t="s">
        <v>191</v>
      </c>
      <c r="AU99" s="53"/>
      <c r="AV99" s="208" t="str">
        <f>IF(AV98="","",VLOOKUP(AV98,'Spell Database'!$A$2:$V$1214, (IFs(AO98=1,"13", AO98=2,"14", AO98=3,"15", AO98=4,"16", AO98=5,"17", AO98=6,"18", AO98=7,"19", AO98=8,"20", AO98=9,"21", AO98=10,"22")),FALSE))</f>
        <v/>
      </c>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21"/>
      <c r="BW99" s="53"/>
      <c r="BX99" s="391" t="s">
        <v>196</v>
      </c>
      <c r="BY99" s="29"/>
      <c r="BZ99" s="35"/>
      <c r="CA99" s="35"/>
      <c r="CB99" s="48" t="s">
        <v>189</v>
      </c>
      <c r="CD99" s="48" t="s">
        <v>190</v>
      </c>
      <c r="CE99" s="53"/>
      <c r="CF99" s="340" t="s">
        <v>191</v>
      </c>
      <c r="CH99" s="53"/>
      <c r="CI99" s="208" t="str">
        <f>IF(CI98="","",VLOOKUP(CI98,'Spell Database'!$A$2:$V$1214, (IFs(CB98=1,"13", CB98=2,"14", CB98=3,"15", CB98=4,"16", CB98=5,"17", CB98=6,"18", CB98=7,"19", CB98=8,"20", CB98=9,"21", CB98=10,"22")),FALSE))</f>
        <v/>
      </c>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21"/>
      <c r="DJ99" s="53"/>
      <c r="DK99" s="53" t="s">
        <v>284</v>
      </c>
      <c r="DP99" s="35"/>
    </row>
    <row r="100" ht="15.75" customHeight="1">
      <c r="A100" s="33"/>
      <c r="B100" s="214" t="str">
        <f>IF(I98="","",VLOOKUP(I98,'Spell Database'!$A$2:$W$1214,12,FALSE))</f>
        <v/>
      </c>
      <c r="D100" s="179" t="str">
        <f>IF(I98="","",VLOOKUP(I98,'Spell Database'!$A$2:$W$1214,3,FALSE))</f>
        <v/>
      </c>
      <c r="F100" s="181" t="str">
        <f>IF(I98="","",VLOOKUP(I98,'Spell Database'!$A$2:$W$1214,7,FALSE))</f>
        <v/>
      </c>
      <c r="G100" s="32"/>
      <c r="I100" s="40"/>
      <c r="AI100" s="41"/>
      <c r="AJ100" s="34"/>
      <c r="AK100" s="399"/>
      <c r="AL100" s="44"/>
      <c r="AM100" s="35"/>
      <c r="AN100" s="35"/>
      <c r="AO100" s="214" t="str">
        <f>IF(AV98="","",VLOOKUP(AV98,'Spell Database'!$A$2:$W$1214,12,FALSE))</f>
        <v/>
      </c>
      <c r="AQ100" s="179" t="str">
        <f>IF(AV98="","",VLOOKUP(AV98,'Spell Database'!$A$2:$W$1214,3,FALSE))</f>
        <v/>
      </c>
      <c r="AS100" s="181" t="str">
        <f>IF(AV98="","",VLOOKUP(AV98,'Spell Database'!$A$2:$W$1214,7,FALSE))</f>
        <v/>
      </c>
      <c r="AT100" s="32"/>
      <c r="AV100" s="40"/>
      <c r="BV100" s="41"/>
      <c r="BW100" s="34"/>
      <c r="BX100" s="399"/>
      <c r="BY100" s="44"/>
      <c r="BZ100" s="35"/>
      <c r="CA100" s="35"/>
      <c r="CB100" s="214" t="str">
        <f>IF(CI98="","",VLOOKUP(CI98,'Spell Database'!$A$2:$W$1214,12,FALSE))</f>
        <v/>
      </c>
      <c r="CD100" s="179" t="str">
        <f>IF(CI98="","",VLOOKUP(CI98,'Spell Database'!$A$2:$W$1214,3,FALSE))</f>
        <v/>
      </c>
      <c r="CF100" s="181" t="str">
        <f>IF(CI98="","",VLOOKUP(CI98,'Spell Database'!$A$2:$W$1214,7,FALSE))</f>
        <v/>
      </c>
      <c r="CG100" s="32"/>
      <c r="CI100" s="40"/>
      <c r="DI100" s="41"/>
      <c r="DJ100" s="34"/>
      <c r="DK100" s="407"/>
      <c r="DL100" s="29"/>
      <c r="DM100" s="29"/>
      <c r="DN100" s="29"/>
      <c r="DO100" s="32"/>
      <c r="DP100" s="35"/>
    </row>
    <row r="101" ht="9.75" customHeight="1">
      <c r="A101" s="33"/>
      <c r="B101" s="48" t="s">
        <v>206</v>
      </c>
      <c r="F101" s="48" t="s">
        <v>207</v>
      </c>
      <c r="I101" s="40"/>
      <c r="AI101" s="41"/>
      <c r="AJ101" s="35"/>
      <c r="AK101" s="35"/>
      <c r="AL101" s="35"/>
      <c r="AM101" s="48"/>
      <c r="AN101" s="48"/>
      <c r="AO101" s="48" t="s">
        <v>206</v>
      </c>
      <c r="AS101" s="48" t="s">
        <v>207</v>
      </c>
      <c r="AV101" s="40"/>
      <c r="BV101" s="41"/>
      <c r="BW101" s="35"/>
      <c r="BX101" s="35"/>
      <c r="BY101" s="35"/>
      <c r="BZ101" s="35"/>
      <c r="CA101" s="35"/>
      <c r="CB101" s="48" t="s">
        <v>206</v>
      </c>
      <c r="CF101" s="48" t="s">
        <v>207</v>
      </c>
      <c r="CI101" s="40"/>
      <c r="DI101" s="41"/>
      <c r="DJ101" s="35"/>
      <c r="DP101" s="35"/>
    </row>
    <row r="102" ht="15.75" customHeight="1">
      <c r="A102" s="33"/>
      <c r="B102" s="236" t="str">
        <f>IF(I98="","",VLOOKUP(I98,'Spell Database'!$A$2:$W$1214,11,FALSE))</f>
        <v/>
      </c>
      <c r="C102" s="29"/>
      <c r="D102" s="32"/>
      <c r="F102" s="159" t="str">
        <f>IF(I98="","",VLOOKUP(I98,'Spell Database'!$A$2:$W$1214,4,FALSE))</f>
        <v/>
      </c>
      <c r="G102" s="32"/>
      <c r="I102" s="42"/>
      <c r="J102" s="43"/>
      <c r="K102" s="43"/>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43"/>
      <c r="AI102" s="44"/>
      <c r="AJ102" s="34"/>
      <c r="AK102" s="35"/>
      <c r="AL102" s="35"/>
      <c r="AM102" s="476"/>
      <c r="AN102" s="476"/>
      <c r="AO102" s="236" t="str">
        <f>IF(AV98="","",VLOOKUP(AV98,'Spell Database'!$A$2:$W$1214,11,FALSE))</f>
        <v/>
      </c>
      <c r="AP102" s="29"/>
      <c r="AQ102" s="32"/>
      <c r="AS102" s="159" t="str">
        <f>IF(AV98="","",VLOOKUP(AV98,'Spell Database'!$A$2:$W$1214,4,FALSE))</f>
        <v/>
      </c>
      <c r="AT102" s="32"/>
      <c r="AV102" s="42"/>
      <c r="AW102" s="43"/>
      <c r="AX102" s="43"/>
      <c r="AY102" s="43"/>
      <c r="AZ102" s="43"/>
      <c r="BA102" s="43"/>
      <c r="BB102" s="43"/>
      <c r="BC102" s="43"/>
      <c r="BD102" s="43"/>
      <c r="BE102" s="43"/>
      <c r="BF102" s="43"/>
      <c r="BG102" s="43"/>
      <c r="BH102" s="43"/>
      <c r="BI102" s="43"/>
      <c r="BJ102" s="43"/>
      <c r="BK102" s="43"/>
      <c r="BL102" s="43"/>
      <c r="BM102" s="43"/>
      <c r="BN102" s="43"/>
      <c r="BO102" s="43"/>
      <c r="BP102" s="43"/>
      <c r="BQ102" s="43"/>
      <c r="BR102" s="43"/>
      <c r="BS102" s="43"/>
      <c r="BT102" s="43"/>
      <c r="BU102" s="43"/>
      <c r="BV102" s="44"/>
      <c r="BW102" s="34"/>
      <c r="BX102" s="35"/>
      <c r="BY102" s="35"/>
      <c r="BZ102" s="35"/>
      <c r="CA102" s="35"/>
      <c r="CB102" s="236" t="str">
        <f>IF(CI98="","",VLOOKUP(CI98,'Spell Database'!$A$2:$W$1214,11,FALSE))</f>
        <v/>
      </c>
      <c r="CC102" s="29"/>
      <c r="CD102" s="32"/>
      <c r="CF102" s="159" t="str">
        <f>IF(CI98="","",VLOOKUP(CI98,'Spell Database'!$A$2:$W$1214,4,FALSE))</f>
        <v/>
      </c>
      <c r="CG102" s="32"/>
      <c r="CI102" s="42"/>
      <c r="CJ102" s="43"/>
      <c r="CK102" s="43"/>
      <c r="CL102" s="43"/>
      <c r="CM102" s="43"/>
      <c r="CN102" s="43"/>
      <c r="CO102" s="43"/>
      <c r="CP102" s="43"/>
      <c r="CQ102" s="43"/>
      <c r="CR102" s="43"/>
      <c r="CS102" s="43"/>
      <c r="CT102" s="43"/>
      <c r="CU102" s="43"/>
      <c r="CV102" s="43"/>
      <c r="CW102" s="43"/>
      <c r="CX102" s="43"/>
      <c r="CY102" s="43"/>
      <c r="CZ102" s="43"/>
      <c r="DA102" s="43"/>
      <c r="DB102" s="43"/>
      <c r="DC102" s="43"/>
      <c r="DD102" s="43"/>
      <c r="DE102" s="43"/>
      <c r="DF102" s="43"/>
      <c r="DG102" s="43"/>
      <c r="DH102" s="43"/>
      <c r="DI102" s="44"/>
      <c r="DJ102" s="34"/>
      <c r="DN102" s="427"/>
      <c r="DO102" s="427"/>
      <c r="DP102" s="35"/>
    </row>
    <row r="103" ht="9.75" customHeight="1">
      <c r="A103" s="33"/>
      <c r="B103" s="476"/>
      <c r="C103" s="476"/>
      <c r="D103" s="476"/>
      <c r="E103" s="476"/>
      <c r="F103" s="476"/>
      <c r="G103" s="476"/>
      <c r="H103" s="476"/>
      <c r="I103" s="476"/>
      <c r="J103" s="476"/>
      <c r="K103" s="476"/>
      <c r="L103" s="476"/>
      <c r="M103" s="476"/>
      <c r="N103" s="476"/>
      <c r="O103" s="476"/>
      <c r="P103" s="476"/>
      <c r="Q103" s="476"/>
      <c r="R103" s="476"/>
      <c r="S103" s="476"/>
      <c r="T103" s="476"/>
      <c r="U103" s="476"/>
      <c r="V103" s="476"/>
      <c r="W103" s="476"/>
      <c r="X103" s="476"/>
      <c r="Y103" s="476"/>
      <c r="Z103" s="476"/>
      <c r="AA103" s="476"/>
      <c r="AB103" s="476"/>
      <c r="AC103" s="476"/>
      <c r="AD103" s="476"/>
      <c r="AE103" s="476"/>
      <c r="AF103" s="476"/>
      <c r="AG103" s="476"/>
      <c r="AH103" s="476"/>
      <c r="AI103" s="476"/>
      <c r="AJ103" s="476"/>
      <c r="AK103" s="476"/>
      <c r="AL103" s="476"/>
      <c r="AM103" s="476"/>
      <c r="AN103" s="476"/>
      <c r="AO103" s="476"/>
      <c r="AP103" s="476"/>
      <c r="AQ103" s="476"/>
      <c r="AR103" s="476"/>
      <c r="AS103" s="476"/>
      <c r="AT103" s="476"/>
      <c r="AU103" s="476"/>
      <c r="AV103" s="476"/>
      <c r="AW103" s="476"/>
      <c r="AX103" s="476"/>
      <c r="AY103" s="476"/>
      <c r="AZ103" s="476"/>
      <c r="BA103" s="476"/>
      <c r="BB103" s="476"/>
      <c r="BC103" s="476"/>
      <c r="BD103" s="476"/>
      <c r="BE103" s="476"/>
      <c r="BF103" s="476"/>
      <c r="BG103" s="476"/>
      <c r="BH103" s="476"/>
      <c r="BI103" s="476"/>
      <c r="BJ103" s="476"/>
      <c r="BK103" s="476"/>
      <c r="BL103" s="476"/>
      <c r="BM103" s="476"/>
      <c r="BN103" s="476"/>
      <c r="BO103" s="476"/>
      <c r="BP103" s="476"/>
      <c r="BQ103" s="476"/>
      <c r="BR103" s="476"/>
      <c r="BS103" s="476"/>
      <c r="BT103" s="476"/>
      <c r="BU103" s="476"/>
      <c r="BV103" s="476"/>
      <c r="BW103" s="476"/>
      <c r="BX103" s="476"/>
      <c r="BY103" s="476"/>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c r="DI103" s="35"/>
      <c r="DJ103" s="35"/>
      <c r="DK103" s="35"/>
      <c r="DL103" s="35"/>
      <c r="DM103" s="35"/>
      <c r="DN103" s="35"/>
      <c r="DO103" s="35"/>
      <c r="DP103" s="35"/>
    </row>
    <row r="104" ht="15.75" customHeight="1">
      <c r="A104" s="33"/>
      <c r="B104" s="28" t="s">
        <v>4639</v>
      </c>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c r="AT104" s="29"/>
      <c r="AU104" s="29"/>
      <c r="AV104" s="29"/>
      <c r="AW104" s="29"/>
      <c r="AX104" s="29"/>
      <c r="AY104" s="29"/>
      <c r="AZ104" s="29"/>
      <c r="BA104" s="29"/>
      <c r="BB104" s="29"/>
      <c r="BC104" s="29"/>
      <c r="BD104" s="29"/>
      <c r="BE104" s="29"/>
      <c r="BF104" s="29"/>
      <c r="BG104" s="29"/>
      <c r="BH104" s="29"/>
      <c r="BI104" s="29"/>
      <c r="BJ104" s="29"/>
      <c r="BK104" s="29"/>
      <c r="BL104" s="29"/>
      <c r="BM104" s="29"/>
      <c r="BN104" s="29"/>
      <c r="BO104" s="29"/>
      <c r="BP104" s="29"/>
      <c r="BQ104" s="29"/>
      <c r="BR104" s="29"/>
      <c r="BS104" s="29"/>
      <c r="BT104" s="29"/>
      <c r="BU104" s="29"/>
      <c r="BV104" s="29"/>
      <c r="BW104" s="29"/>
      <c r="BX104" s="29"/>
      <c r="BY104" s="32"/>
      <c r="BZ104" s="35"/>
      <c r="CA104" s="35"/>
      <c r="CB104" s="28" t="s">
        <v>4646</v>
      </c>
      <c r="CC104" s="29"/>
      <c r="CD104" s="29"/>
      <c r="CE104" s="29"/>
      <c r="CF104" s="29"/>
      <c r="CG104" s="29"/>
      <c r="CH104" s="29"/>
      <c r="CI104" s="29"/>
      <c r="CJ104" s="29"/>
      <c r="CK104" s="29"/>
      <c r="CL104" s="29"/>
      <c r="CM104" s="29"/>
      <c r="CN104" s="29"/>
      <c r="CO104" s="29"/>
      <c r="CP104" s="29"/>
      <c r="CQ104" s="29"/>
      <c r="CR104" s="29"/>
      <c r="CS104" s="29"/>
      <c r="CT104" s="29"/>
      <c r="CU104" s="29"/>
      <c r="CV104" s="29"/>
      <c r="CW104" s="29"/>
      <c r="CX104" s="29"/>
      <c r="CY104" s="29"/>
      <c r="CZ104" s="29"/>
      <c r="DA104" s="29"/>
      <c r="DB104" s="29"/>
      <c r="DC104" s="29"/>
      <c r="DD104" s="29"/>
      <c r="DE104" s="29"/>
      <c r="DF104" s="29"/>
      <c r="DG104" s="29"/>
      <c r="DH104" s="29"/>
      <c r="DI104" s="29"/>
      <c r="DJ104" s="29"/>
      <c r="DK104" s="29"/>
      <c r="DL104" s="29"/>
      <c r="DM104" s="29"/>
      <c r="DN104" s="29"/>
      <c r="DO104" s="32"/>
      <c r="DP104" s="35"/>
    </row>
    <row r="105" ht="9.75" customHeight="1">
      <c r="A105" s="33"/>
      <c r="B105" s="48" t="s">
        <v>159</v>
      </c>
      <c r="D105" s="48" t="s">
        <v>160</v>
      </c>
      <c r="F105" s="48" t="s">
        <v>162</v>
      </c>
      <c r="I105" s="173" t="s">
        <v>164</v>
      </c>
      <c r="J105" s="173"/>
      <c r="K105" s="173"/>
      <c r="L105" s="173"/>
      <c r="M105" s="173"/>
      <c r="N105" s="173"/>
      <c r="O105" s="173"/>
      <c r="P105" s="173"/>
      <c r="Q105" s="173"/>
      <c r="R105" s="173"/>
      <c r="S105" s="173"/>
      <c r="T105" s="173"/>
      <c r="U105" s="48" t="s">
        <v>168</v>
      </c>
      <c r="X105" s="48" t="s">
        <v>169</v>
      </c>
      <c r="AE105" s="48" t="s">
        <v>170</v>
      </c>
      <c r="AJ105" s="35"/>
      <c r="AK105" s="53" t="s">
        <v>1347</v>
      </c>
      <c r="AM105" s="35"/>
      <c r="AN105" s="35"/>
      <c r="AO105" s="48" t="s">
        <v>159</v>
      </c>
      <c r="AQ105" s="48" t="s">
        <v>160</v>
      </c>
      <c r="AS105" s="48" t="s">
        <v>162</v>
      </c>
      <c r="AV105" s="173" t="s">
        <v>164</v>
      </c>
      <c r="AW105" s="173"/>
      <c r="AX105" s="173"/>
      <c r="AY105" s="173"/>
      <c r="AZ105" s="173"/>
      <c r="BA105" s="173"/>
      <c r="BB105" s="173"/>
      <c r="BC105" s="173"/>
      <c r="BD105" s="173"/>
      <c r="BE105" s="173"/>
      <c r="BF105" s="173"/>
      <c r="BG105" s="173"/>
      <c r="BH105" s="48" t="s">
        <v>168</v>
      </c>
      <c r="BK105" s="48" t="s">
        <v>169</v>
      </c>
      <c r="BR105" s="48" t="s">
        <v>170</v>
      </c>
      <c r="BW105" s="35"/>
      <c r="BX105" s="53" t="s">
        <v>1347</v>
      </c>
      <c r="BZ105" s="35"/>
      <c r="CA105" s="35"/>
      <c r="CB105" s="48" t="s">
        <v>159</v>
      </c>
      <c r="CD105" s="48" t="s">
        <v>160</v>
      </c>
      <c r="CF105" s="48" t="s">
        <v>162</v>
      </c>
      <c r="CI105" s="173" t="s">
        <v>164</v>
      </c>
      <c r="CJ105" s="173"/>
      <c r="CK105" s="173"/>
      <c r="CL105" s="173"/>
      <c r="CM105" s="173"/>
      <c r="CN105" s="173"/>
      <c r="CO105" s="173"/>
      <c r="CP105" s="173"/>
      <c r="CQ105" s="173"/>
      <c r="CR105" s="173"/>
      <c r="CS105" s="173"/>
      <c r="CT105" s="173"/>
      <c r="CU105" s="48" t="s">
        <v>168</v>
      </c>
      <c r="CX105" s="48" t="s">
        <v>169</v>
      </c>
      <c r="DE105" s="48" t="s">
        <v>170</v>
      </c>
      <c r="DJ105" s="35"/>
      <c r="DK105" s="35"/>
      <c r="DL105" s="35"/>
      <c r="DM105" s="35"/>
      <c r="DN105" s="35"/>
      <c r="DO105" s="35"/>
      <c r="DP105" s="35"/>
    </row>
    <row r="106" ht="15.75" customHeight="1">
      <c r="A106" s="33"/>
      <c r="B106" s="179" t="str">
        <f>IF(I106="","",VLOOKUP(I106,'Spell Database'!$A$2:$W$1214,2,FALSE))</f>
        <v/>
      </c>
      <c r="D106" s="179" t="str">
        <f>IF(I106="","",VLOOKUP(I106,'Spell Database'!$A$2:$W$1214,5,FALSE))</f>
        <v/>
      </c>
      <c r="F106" s="181" t="str">
        <f>IF(I106="","",VLOOKUP(I106,'Spell Database'!$A$2:$W$1214,6,FALSE))</f>
        <v/>
      </c>
      <c r="G106" s="32"/>
      <c r="I106" s="184"/>
      <c r="J106" s="19"/>
      <c r="K106" s="19"/>
      <c r="L106" s="19"/>
      <c r="M106" s="19"/>
      <c r="N106" s="19"/>
      <c r="O106" s="19"/>
      <c r="P106" s="19"/>
      <c r="Q106" s="19"/>
      <c r="R106" s="19"/>
      <c r="S106" s="19"/>
      <c r="T106" s="19"/>
      <c r="U106" s="159" t="str">
        <f>IF(I106="","",VLOOKUP(I106,'Spell Database'!$A$2:$W$1214,8,FALSE))</f>
        <v/>
      </c>
      <c r="V106" s="29"/>
      <c r="W106" s="32"/>
      <c r="X106" s="191" t="str">
        <f>IF(I106="","",VLOOKUP(I106,'Spell Database'!$A$2:$W$1214,9,FALSE))</f>
        <v/>
      </c>
      <c r="Y106" s="29"/>
      <c r="Z106" s="29"/>
      <c r="AA106" s="29"/>
      <c r="AB106" s="29"/>
      <c r="AC106" s="29"/>
      <c r="AD106" s="29"/>
      <c r="AE106" s="159" t="str">
        <f>IF(I106="","",VLOOKUP(I106,'Spell Database'!$A$2:$W$1214,10,FALSE))</f>
        <v/>
      </c>
      <c r="AF106" s="29"/>
      <c r="AG106" s="29"/>
      <c r="AH106" s="29"/>
      <c r="AI106" s="32"/>
      <c r="AJ106" s="35"/>
      <c r="AK106" s="396"/>
      <c r="AL106" s="32"/>
      <c r="AM106" s="35"/>
      <c r="AN106" s="35"/>
      <c r="AO106" s="179" t="str">
        <f>IF(AV106="","",VLOOKUP(AV106,'Spell Database'!$A$2:$W$1214,2,FALSE))</f>
        <v/>
      </c>
      <c r="AQ106" s="179" t="str">
        <f>IF(AV106="","",VLOOKUP(AV106,'Spell Database'!$A$2:$W$1214,5,FALSE))</f>
        <v/>
      </c>
      <c r="AS106" s="181" t="str">
        <f>IF(AV106="","",VLOOKUP(AV106,'Spell Database'!$A$2:$W$1214,6,FALSE))</f>
        <v/>
      </c>
      <c r="AT106" s="32"/>
      <c r="AV106" s="184"/>
      <c r="AW106" s="19"/>
      <c r="AX106" s="19"/>
      <c r="AY106" s="19"/>
      <c r="AZ106" s="19"/>
      <c r="BA106" s="19"/>
      <c r="BB106" s="19"/>
      <c r="BC106" s="19"/>
      <c r="BD106" s="19"/>
      <c r="BE106" s="19"/>
      <c r="BF106" s="19"/>
      <c r="BG106" s="19"/>
      <c r="BH106" s="159" t="str">
        <f>IF(AV106="","",VLOOKUP(AV106,'Spell Database'!$A$2:$W$1214,8,FALSE))</f>
        <v/>
      </c>
      <c r="BI106" s="29"/>
      <c r="BJ106" s="32"/>
      <c r="BK106" s="191" t="str">
        <f>IF(AV106="","",VLOOKUP(AV106,'Spell Database'!$A$2:$W$1214,9,FALSE))</f>
        <v/>
      </c>
      <c r="BL106" s="29"/>
      <c r="BM106" s="29"/>
      <c r="BN106" s="29"/>
      <c r="BO106" s="29"/>
      <c r="BP106" s="29"/>
      <c r="BQ106" s="29"/>
      <c r="BR106" s="159" t="str">
        <f>IF(AV106="","",VLOOKUP(AV106,'Spell Database'!$A$2:$W$1214,10,FALSE))</f>
        <v/>
      </c>
      <c r="BS106" s="29"/>
      <c r="BT106" s="29"/>
      <c r="BU106" s="29"/>
      <c r="BV106" s="32"/>
      <c r="BW106" s="35"/>
      <c r="BX106" s="396"/>
      <c r="BY106" s="32"/>
      <c r="BZ106" s="35"/>
      <c r="CA106" s="35"/>
      <c r="CB106" s="179" t="str">
        <f>IF(CI106="","",VLOOKUP(CI106,'Spell Database'!$A$2:$W$1214,2,FALSE))</f>
        <v/>
      </c>
      <c r="CD106" s="179" t="str">
        <f>IF(CI106="","",VLOOKUP(CI106,'Spell Database'!$A$2:$W$1214,5,FALSE))</f>
        <v/>
      </c>
      <c r="CF106" s="181" t="str">
        <f>IF(CI106="","",VLOOKUP(CI106,'Spell Database'!$A$2:$W$1214,6,FALSE))</f>
        <v/>
      </c>
      <c r="CG106" s="32"/>
      <c r="CI106" s="184"/>
      <c r="CJ106" s="19"/>
      <c r="CK106" s="19"/>
      <c r="CL106" s="19"/>
      <c r="CM106" s="19"/>
      <c r="CN106" s="19"/>
      <c r="CO106" s="19"/>
      <c r="CP106" s="19"/>
      <c r="CQ106" s="19"/>
      <c r="CR106" s="19"/>
      <c r="CS106" s="19"/>
      <c r="CT106" s="19"/>
      <c r="CU106" s="159" t="str">
        <f>IF(CI106="","",VLOOKUP(CI106,'Spell Database'!$A$2:$W$1214,8,FALSE))</f>
        <v/>
      </c>
      <c r="CV106" s="29"/>
      <c r="CW106" s="32"/>
      <c r="CX106" s="191" t="str">
        <f>IF(CI106="","",VLOOKUP(CI106,'Spell Database'!$A$2:$W$1214,9,FALSE))</f>
        <v/>
      </c>
      <c r="CY106" s="29"/>
      <c r="CZ106" s="29"/>
      <c r="DA106" s="29"/>
      <c r="DB106" s="29"/>
      <c r="DC106" s="29"/>
      <c r="DD106" s="29"/>
      <c r="DE106" s="159" t="str">
        <f>IF(CI106="","",VLOOKUP(CI106,'Spell Database'!$A$2:$W$1214,10,FALSE))</f>
        <v/>
      </c>
      <c r="DF106" s="29"/>
      <c r="DG106" s="29"/>
      <c r="DH106" s="29"/>
      <c r="DI106" s="32"/>
      <c r="DJ106" s="35"/>
      <c r="DK106" s="35"/>
      <c r="DL106" s="35"/>
      <c r="DM106" s="35"/>
      <c r="DN106" s="35"/>
      <c r="DO106" s="35"/>
      <c r="DP106" s="35"/>
    </row>
    <row r="107" ht="9.75" customHeight="1">
      <c r="A107" s="33"/>
      <c r="B107" s="48" t="s">
        <v>189</v>
      </c>
      <c r="D107" s="48" t="s">
        <v>190</v>
      </c>
      <c r="E107" s="53"/>
      <c r="F107" s="340" t="s">
        <v>191</v>
      </c>
      <c r="H107" s="53"/>
      <c r="I107" s="208" t="str">
        <f>IF(I106="","",VLOOKUP(I106,'Spell Database'!$A$2:$V$1214, (IFs(B106=1,"13", B106=2,"14", B106=3,"15", B106=4,"16", B106=5,"17", B106=6,"18", B106=7,"19", B106=8,"20", B106=9,"21", B106=10,"22")),FALSE))</f>
        <v/>
      </c>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21"/>
      <c r="AJ107" s="53"/>
      <c r="AK107" s="391" t="s">
        <v>196</v>
      </c>
      <c r="AL107" s="29"/>
      <c r="AM107" s="35"/>
      <c r="AN107" s="35"/>
      <c r="AO107" s="48" t="s">
        <v>189</v>
      </c>
      <c r="AQ107" s="48" t="s">
        <v>190</v>
      </c>
      <c r="AR107" s="53"/>
      <c r="AS107" s="340" t="s">
        <v>191</v>
      </c>
      <c r="AU107" s="53"/>
      <c r="AV107" s="208" t="str">
        <f>IF(AV106="","",VLOOKUP(AV106,'Spell Database'!$A$2:$V$1214, (IFs(AO106=1,"13", AO106=2,"14", AO106=3,"15", AO106=4,"16", AO106=5,"17", AO106=6,"18", AO106=7,"19", AO106=8,"20", AO106=9,"21", AO106=10,"22")),FALSE))</f>
        <v/>
      </c>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21"/>
      <c r="BW107" s="53"/>
      <c r="BX107" s="391" t="s">
        <v>196</v>
      </c>
      <c r="BY107" s="29"/>
      <c r="BZ107" s="35"/>
      <c r="CA107" s="35"/>
      <c r="CB107" s="48" t="s">
        <v>189</v>
      </c>
      <c r="CD107" s="48" t="s">
        <v>190</v>
      </c>
      <c r="CE107" s="53"/>
      <c r="CF107" s="340" t="s">
        <v>191</v>
      </c>
      <c r="CH107" s="53"/>
      <c r="CI107" s="208" t="str">
        <f>IF(CI106="","",VLOOKUP(CI106,'Spell Database'!$A$2:$V$1214, (IFs(CB106=1,"13", CB106=2,"14", CB106=3,"15", CB106=4,"16", CB106=5,"17", CB106=6,"18", CB106=7,"19", CB106=8,"20", CB106=9,"21", CB106=10,"22")),FALSE))</f>
        <v/>
      </c>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21"/>
      <c r="DJ107" s="35"/>
      <c r="DK107" s="35"/>
      <c r="DL107" s="35"/>
      <c r="DM107" s="35"/>
      <c r="DN107" s="35"/>
      <c r="DO107" s="35"/>
      <c r="DP107" s="35"/>
    </row>
    <row r="108" ht="15.75" customHeight="1">
      <c r="A108" s="33"/>
      <c r="B108" s="214" t="str">
        <f>IF(I106="","",VLOOKUP(I106,'Spell Database'!$A$2:$W$1214,12,FALSE))</f>
        <v/>
      </c>
      <c r="D108" s="179" t="str">
        <f>IF(I106="","",VLOOKUP(I106,'Spell Database'!$A$2:$W$1214,3,FALSE))</f>
        <v/>
      </c>
      <c r="F108" s="181" t="str">
        <f>IF(I106="","",VLOOKUP(I106,'Spell Database'!$A$2:$W$1214,7,FALSE))</f>
        <v/>
      </c>
      <c r="G108" s="32"/>
      <c r="I108" s="40"/>
      <c r="AI108" s="41"/>
      <c r="AJ108" s="34"/>
      <c r="AK108" s="399"/>
      <c r="AL108" s="44"/>
      <c r="AM108" s="35"/>
      <c r="AN108" s="35"/>
      <c r="AO108" s="214" t="str">
        <f>IF(AV106="","",VLOOKUP(AV106,'Spell Database'!$A$2:$W$1214,12,FALSE))</f>
        <v/>
      </c>
      <c r="AQ108" s="179" t="str">
        <f>IF(AV106="","",VLOOKUP(AV106,'Spell Database'!$A$2:$W$1214,3,FALSE))</f>
        <v/>
      </c>
      <c r="AS108" s="181" t="str">
        <f>IF(AV106="","",VLOOKUP(AV106,'Spell Database'!$A$2:$W$1214,7,FALSE))</f>
        <v/>
      </c>
      <c r="AT108" s="32"/>
      <c r="AV108" s="40"/>
      <c r="BV108" s="41"/>
      <c r="BW108" s="34"/>
      <c r="BX108" s="399"/>
      <c r="BY108" s="44"/>
      <c r="BZ108" s="35"/>
      <c r="CA108" s="35"/>
      <c r="CB108" s="214" t="str">
        <f>IF(CI106="","",VLOOKUP(CI106,'Spell Database'!$A$2:$W$1214,12,FALSE))</f>
        <v/>
      </c>
      <c r="CD108" s="179" t="str">
        <f>IF(CI106="","",VLOOKUP(CI106,'Spell Database'!$A$2:$W$1214,3,FALSE))</f>
        <v/>
      </c>
      <c r="CF108" s="181" t="str">
        <f>IF(CI106="","",VLOOKUP(CI106,'Spell Database'!$A$2:$W$1214,7,FALSE))</f>
        <v/>
      </c>
      <c r="CG108" s="32"/>
      <c r="CI108" s="40"/>
      <c r="DI108" s="41"/>
      <c r="DJ108" s="35"/>
      <c r="DK108" s="35"/>
      <c r="DL108" s="35"/>
      <c r="DM108" s="35"/>
      <c r="DN108" s="35"/>
      <c r="DO108" s="35"/>
      <c r="DP108" s="35"/>
    </row>
    <row r="109" ht="9.75" customHeight="1">
      <c r="A109" s="33"/>
      <c r="B109" s="48" t="s">
        <v>206</v>
      </c>
      <c r="F109" s="48" t="s">
        <v>207</v>
      </c>
      <c r="I109" s="40"/>
      <c r="AI109" s="41"/>
      <c r="AJ109" s="35"/>
      <c r="AK109" s="35"/>
      <c r="AL109" s="35"/>
      <c r="AM109" s="35"/>
      <c r="AN109" s="35"/>
      <c r="AO109" s="48" t="s">
        <v>206</v>
      </c>
      <c r="AS109" s="48" t="s">
        <v>207</v>
      </c>
      <c r="AV109" s="40"/>
      <c r="BV109" s="41"/>
      <c r="BW109" s="35"/>
      <c r="BX109" s="35"/>
      <c r="BY109" s="35"/>
      <c r="BZ109" s="35"/>
      <c r="CA109" s="35"/>
      <c r="CB109" s="48" t="s">
        <v>206</v>
      </c>
      <c r="CF109" s="48" t="s">
        <v>207</v>
      </c>
      <c r="CI109" s="40"/>
      <c r="DI109" s="41"/>
      <c r="DJ109" s="35"/>
      <c r="DK109" s="35"/>
      <c r="DL109" s="35"/>
      <c r="DM109" s="35"/>
      <c r="DN109" s="35"/>
      <c r="DO109" s="35"/>
      <c r="DP109" s="35"/>
    </row>
    <row r="110" ht="15.75" customHeight="1">
      <c r="A110" s="33"/>
      <c r="B110" s="236" t="str">
        <f>IF(I106="","",VLOOKUP(I106,'Spell Database'!$A$2:$W$1214,11,FALSE))</f>
        <v/>
      </c>
      <c r="C110" s="29"/>
      <c r="D110" s="32"/>
      <c r="F110" s="159" t="str">
        <f>IF(I106="","",VLOOKUP(I106,'Spell Database'!$A$2:$W$1214,4,FALSE))</f>
        <v/>
      </c>
      <c r="G110" s="32"/>
      <c r="I110" s="42"/>
      <c r="J110" s="43"/>
      <c r="K110" s="43"/>
      <c r="L110" s="43"/>
      <c r="M110" s="43"/>
      <c r="N110" s="43"/>
      <c r="O110" s="43"/>
      <c r="P110" s="43"/>
      <c r="Q110" s="43"/>
      <c r="R110" s="43"/>
      <c r="S110" s="43"/>
      <c r="T110" s="43"/>
      <c r="U110" s="43"/>
      <c r="V110" s="43"/>
      <c r="W110" s="43"/>
      <c r="X110" s="43"/>
      <c r="Y110" s="43"/>
      <c r="Z110" s="43"/>
      <c r="AA110" s="43"/>
      <c r="AB110" s="43"/>
      <c r="AC110" s="43"/>
      <c r="AD110" s="43"/>
      <c r="AE110" s="43"/>
      <c r="AF110" s="43"/>
      <c r="AG110" s="43"/>
      <c r="AH110" s="43"/>
      <c r="AI110" s="44"/>
      <c r="AJ110" s="34"/>
      <c r="AK110" s="35"/>
      <c r="AL110" s="35"/>
      <c r="AM110" s="35"/>
      <c r="AN110" s="35"/>
      <c r="AO110" s="236" t="str">
        <f>IF(AV106="","",VLOOKUP(AV106,'Spell Database'!$A$2:$W$1214,11,FALSE))</f>
        <v/>
      </c>
      <c r="AP110" s="29"/>
      <c r="AQ110" s="32"/>
      <c r="AS110" s="159" t="str">
        <f>IF(AV106="","",VLOOKUP(AV106,'Spell Database'!$A$2:$W$1214,4,FALSE))</f>
        <v/>
      </c>
      <c r="AT110" s="32"/>
      <c r="AV110" s="42"/>
      <c r="AW110" s="43"/>
      <c r="AX110" s="43"/>
      <c r="AY110" s="43"/>
      <c r="AZ110" s="43"/>
      <c r="BA110" s="43"/>
      <c r="BB110" s="43"/>
      <c r="BC110" s="43"/>
      <c r="BD110" s="43"/>
      <c r="BE110" s="43"/>
      <c r="BF110" s="43"/>
      <c r="BG110" s="43"/>
      <c r="BH110" s="43"/>
      <c r="BI110" s="43"/>
      <c r="BJ110" s="43"/>
      <c r="BK110" s="43"/>
      <c r="BL110" s="43"/>
      <c r="BM110" s="43"/>
      <c r="BN110" s="43"/>
      <c r="BO110" s="43"/>
      <c r="BP110" s="43"/>
      <c r="BQ110" s="43"/>
      <c r="BR110" s="43"/>
      <c r="BS110" s="43"/>
      <c r="BT110" s="43"/>
      <c r="BU110" s="43"/>
      <c r="BV110" s="44"/>
      <c r="BW110" s="34"/>
      <c r="BX110" s="35"/>
      <c r="BY110" s="35"/>
      <c r="BZ110" s="35"/>
      <c r="CA110" s="35"/>
      <c r="CB110" s="236" t="str">
        <f>IF(CI106="","",VLOOKUP(CI106,'Spell Database'!$A$2:$W$1214,11,FALSE))</f>
        <v/>
      </c>
      <c r="CC110" s="29"/>
      <c r="CD110" s="32"/>
      <c r="CF110" s="159" t="str">
        <f>IF(CI106="","",VLOOKUP(CI106,'Spell Database'!$A$2:$W$1214,4,FALSE))</f>
        <v/>
      </c>
      <c r="CG110" s="32"/>
      <c r="CI110" s="42"/>
      <c r="CJ110" s="43"/>
      <c r="CK110" s="43"/>
      <c r="CL110" s="43"/>
      <c r="CM110" s="43"/>
      <c r="CN110" s="43"/>
      <c r="CO110" s="43"/>
      <c r="CP110" s="43"/>
      <c r="CQ110" s="43"/>
      <c r="CR110" s="43"/>
      <c r="CS110" s="43"/>
      <c r="CT110" s="43"/>
      <c r="CU110" s="43"/>
      <c r="CV110" s="43"/>
      <c r="CW110" s="43"/>
      <c r="CX110" s="43"/>
      <c r="CY110" s="43"/>
      <c r="CZ110" s="43"/>
      <c r="DA110" s="43"/>
      <c r="DB110" s="43"/>
      <c r="DC110" s="43"/>
      <c r="DD110" s="43"/>
      <c r="DE110" s="43"/>
      <c r="DF110" s="43"/>
      <c r="DG110" s="43"/>
      <c r="DH110" s="43"/>
      <c r="DI110" s="44"/>
      <c r="DJ110" s="35"/>
      <c r="DK110" s="35"/>
      <c r="DL110" s="35"/>
      <c r="DM110" s="35"/>
      <c r="DN110" s="35"/>
      <c r="DO110" s="35"/>
      <c r="DP110" s="35"/>
    </row>
    <row r="111" ht="9.75" customHeight="1">
      <c r="A111" s="33"/>
      <c r="B111" s="48" t="s">
        <v>159</v>
      </c>
      <c r="D111" s="48" t="s">
        <v>160</v>
      </c>
      <c r="F111" s="48" t="s">
        <v>162</v>
      </c>
      <c r="I111" s="173" t="s">
        <v>164</v>
      </c>
      <c r="J111" s="173"/>
      <c r="K111" s="173"/>
      <c r="L111" s="173"/>
      <c r="M111" s="173"/>
      <c r="N111" s="173"/>
      <c r="O111" s="173"/>
      <c r="P111" s="173"/>
      <c r="Q111" s="173"/>
      <c r="R111" s="173"/>
      <c r="S111" s="173"/>
      <c r="T111" s="173"/>
      <c r="U111" s="48" t="s">
        <v>168</v>
      </c>
      <c r="X111" s="48" t="s">
        <v>169</v>
      </c>
      <c r="AE111" s="48" t="s">
        <v>170</v>
      </c>
      <c r="AJ111" s="35"/>
      <c r="AK111" s="53" t="s">
        <v>1347</v>
      </c>
      <c r="AM111" s="35"/>
      <c r="AN111" s="35"/>
      <c r="AO111" s="48" t="s">
        <v>159</v>
      </c>
      <c r="AQ111" s="48" t="s">
        <v>160</v>
      </c>
      <c r="AS111" s="48" t="s">
        <v>162</v>
      </c>
      <c r="AV111" s="173" t="s">
        <v>164</v>
      </c>
      <c r="AW111" s="173"/>
      <c r="AX111" s="173"/>
      <c r="AY111" s="173"/>
      <c r="AZ111" s="173"/>
      <c r="BA111" s="173"/>
      <c r="BB111" s="173"/>
      <c r="BC111" s="173"/>
      <c r="BD111" s="173"/>
      <c r="BE111" s="173"/>
      <c r="BF111" s="173"/>
      <c r="BG111" s="173"/>
      <c r="BH111" s="48" t="s">
        <v>168</v>
      </c>
      <c r="BK111" s="48" t="s">
        <v>169</v>
      </c>
      <c r="BR111" s="48" t="s">
        <v>170</v>
      </c>
      <c r="BW111" s="35"/>
      <c r="BX111" s="53" t="s">
        <v>1347</v>
      </c>
      <c r="BZ111" s="35"/>
      <c r="CA111" s="35"/>
      <c r="CB111" s="48" t="s">
        <v>159</v>
      </c>
      <c r="CD111" s="48" t="s">
        <v>160</v>
      </c>
      <c r="CF111" s="48" t="s">
        <v>162</v>
      </c>
      <c r="CI111" s="173" t="s">
        <v>164</v>
      </c>
      <c r="CJ111" s="173"/>
      <c r="CK111" s="173"/>
      <c r="CL111" s="173"/>
      <c r="CM111" s="173"/>
      <c r="CN111" s="173"/>
      <c r="CO111" s="173"/>
      <c r="CP111" s="173"/>
      <c r="CQ111" s="173"/>
      <c r="CR111" s="173"/>
      <c r="CS111" s="173"/>
      <c r="CT111" s="173"/>
      <c r="CU111" s="48" t="s">
        <v>168</v>
      </c>
      <c r="CX111" s="48" t="s">
        <v>169</v>
      </c>
      <c r="DE111" s="48" t="s">
        <v>170</v>
      </c>
      <c r="DJ111" s="35"/>
      <c r="DK111" s="35"/>
      <c r="DL111" s="35"/>
      <c r="DM111" s="35"/>
      <c r="DN111" s="35"/>
      <c r="DO111" s="35"/>
      <c r="DP111" s="35"/>
    </row>
    <row r="112" ht="15.75" customHeight="1">
      <c r="A112" s="33"/>
      <c r="B112" s="179" t="str">
        <f>IF(I112="","",VLOOKUP(I112,'Spell Database'!$A$2:$W$1214,2,FALSE))</f>
        <v/>
      </c>
      <c r="D112" s="179" t="str">
        <f>IF(I112="","",VLOOKUP(I112,'Spell Database'!$A$2:$W$1214,5,FALSE))</f>
        <v/>
      </c>
      <c r="F112" s="181" t="str">
        <f>IF(I112="","",VLOOKUP(I112,'Spell Database'!$A$2:$W$1214,6,FALSE))</f>
        <v/>
      </c>
      <c r="G112" s="32"/>
      <c r="I112" s="184"/>
      <c r="J112" s="19"/>
      <c r="K112" s="19"/>
      <c r="L112" s="19"/>
      <c r="M112" s="19"/>
      <c r="N112" s="19"/>
      <c r="O112" s="19"/>
      <c r="P112" s="19"/>
      <c r="Q112" s="19"/>
      <c r="R112" s="19"/>
      <c r="S112" s="19"/>
      <c r="T112" s="19"/>
      <c r="U112" s="159" t="str">
        <f>IF(I112="","",VLOOKUP(I112,'Spell Database'!$A$2:$W$1214,8,FALSE))</f>
        <v/>
      </c>
      <c r="V112" s="29"/>
      <c r="W112" s="32"/>
      <c r="X112" s="191" t="str">
        <f>IF(I112="","",VLOOKUP(I112,'Spell Database'!$A$2:$W$1214,9,FALSE))</f>
        <v/>
      </c>
      <c r="Y112" s="29"/>
      <c r="Z112" s="29"/>
      <c r="AA112" s="29"/>
      <c r="AB112" s="29"/>
      <c r="AC112" s="29"/>
      <c r="AD112" s="29"/>
      <c r="AE112" s="159" t="str">
        <f>IF(I112="","",VLOOKUP(I112,'Spell Database'!$A$2:$W$1214,10,FALSE))</f>
        <v/>
      </c>
      <c r="AF112" s="29"/>
      <c r="AG112" s="29"/>
      <c r="AH112" s="29"/>
      <c r="AI112" s="32"/>
      <c r="AJ112" s="35"/>
      <c r="AK112" s="396"/>
      <c r="AL112" s="32"/>
      <c r="AM112" s="35"/>
      <c r="AN112" s="35"/>
      <c r="AO112" s="179" t="str">
        <f>IF(AV112="","",VLOOKUP(AV112,'Spell Database'!$A$2:$W$1214,2,FALSE))</f>
        <v/>
      </c>
      <c r="AQ112" s="179" t="str">
        <f>IF(AV112="","",VLOOKUP(AV112,'Spell Database'!$A$2:$W$1214,5,FALSE))</f>
        <v/>
      </c>
      <c r="AS112" s="181" t="str">
        <f>IF(AV112="","",VLOOKUP(AV112,'Spell Database'!$A$2:$W$1214,6,FALSE))</f>
        <v/>
      </c>
      <c r="AT112" s="32"/>
      <c r="AV112" s="184"/>
      <c r="AW112" s="19"/>
      <c r="AX112" s="19"/>
      <c r="AY112" s="19"/>
      <c r="AZ112" s="19"/>
      <c r="BA112" s="19"/>
      <c r="BB112" s="19"/>
      <c r="BC112" s="19"/>
      <c r="BD112" s="19"/>
      <c r="BE112" s="19"/>
      <c r="BF112" s="19"/>
      <c r="BG112" s="19"/>
      <c r="BH112" s="159" t="str">
        <f>IF(AV112="","",VLOOKUP(AV112,'Spell Database'!$A$2:$W$1214,8,FALSE))</f>
        <v/>
      </c>
      <c r="BI112" s="29"/>
      <c r="BJ112" s="32"/>
      <c r="BK112" s="191" t="str">
        <f>IF(AV112="","",VLOOKUP(AV112,'Spell Database'!$A$2:$W$1214,9,FALSE))</f>
        <v/>
      </c>
      <c r="BL112" s="29"/>
      <c r="BM112" s="29"/>
      <c r="BN112" s="29"/>
      <c r="BO112" s="29"/>
      <c r="BP112" s="29"/>
      <c r="BQ112" s="29"/>
      <c r="BR112" s="159" t="str">
        <f>IF(AV112="","",VLOOKUP(AV112,'Spell Database'!$A$2:$W$1214,10,FALSE))</f>
        <v/>
      </c>
      <c r="BS112" s="29"/>
      <c r="BT112" s="29"/>
      <c r="BU112" s="29"/>
      <c r="BV112" s="32"/>
      <c r="BW112" s="35"/>
      <c r="BX112" s="396"/>
      <c r="BY112" s="32"/>
      <c r="BZ112" s="35"/>
      <c r="CA112" s="35"/>
      <c r="CB112" s="179" t="str">
        <f>IF(CI112="","",VLOOKUP(CI112,'Spell Database'!$A$2:$W$1214,2,FALSE))</f>
        <v/>
      </c>
      <c r="CD112" s="179" t="str">
        <f>IF(CI112="","",VLOOKUP(CI112,'Spell Database'!$A$2:$W$1214,5,FALSE))</f>
        <v/>
      </c>
      <c r="CF112" s="181" t="str">
        <f>IF(CI112="","",VLOOKUP(CI112,'Spell Database'!$A$2:$W$1214,6,FALSE))</f>
        <v/>
      </c>
      <c r="CG112" s="32"/>
      <c r="CI112" s="184"/>
      <c r="CJ112" s="19"/>
      <c r="CK112" s="19"/>
      <c r="CL112" s="19"/>
      <c r="CM112" s="19"/>
      <c r="CN112" s="19"/>
      <c r="CO112" s="19"/>
      <c r="CP112" s="19"/>
      <c r="CQ112" s="19"/>
      <c r="CR112" s="19"/>
      <c r="CS112" s="19"/>
      <c r="CT112" s="19"/>
      <c r="CU112" s="159" t="str">
        <f>IF(CI112="","",VLOOKUP(CI112,'Spell Database'!$A$2:$W$1214,8,FALSE))</f>
        <v/>
      </c>
      <c r="CV112" s="29"/>
      <c r="CW112" s="32"/>
      <c r="CX112" s="191" t="str">
        <f>IF(CI112="","",VLOOKUP(CI112,'Spell Database'!$A$2:$W$1214,9,FALSE))</f>
        <v/>
      </c>
      <c r="CY112" s="29"/>
      <c r="CZ112" s="29"/>
      <c r="DA112" s="29"/>
      <c r="DB112" s="29"/>
      <c r="DC112" s="29"/>
      <c r="DD112" s="29"/>
      <c r="DE112" s="159" t="str">
        <f>IF(CI112="","",VLOOKUP(CI112,'Spell Database'!$A$2:$W$1214,10,FALSE))</f>
        <v/>
      </c>
      <c r="DF112" s="29"/>
      <c r="DG112" s="29"/>
      <c r="DH112" s="29"/>
      <c r="DI112" s="32"/>
      <c r="DJ112" s="35"/>
      <c r="DK112" s="35"/>
      <c r="DL112" s="35"/>
      <c r="DM112" s="35"/>
      <c r="DN112" s="35"/>
      <c r="DO112" s="35"/>
      <c r="DP112" s="35"/>
    </row>
    <row r="113" ht="9.75" customHeight="1">
      <c r="A113" s="33"/>
      <c r="B113" s="48" t="s">
        <v>189</v>
      </c>
      <c r="D113" s="48" t="s">
        <v>190</v>
      </c>
      <c r="E113" s="53"/>
      <c r="F113" s="340" t="s">
        <v>191</v>
      </c>
      <c r="H113" s="53"/>
      <c r="I113" s="208" t="str">
        <f>IF(I112="","",VLOOKUP(I112,'Spell Database'!$A$2:$V$1214, (IFs(B112=1,"13", B112=2,"14", B112=3,"15", B112=4,"16", B112=5,"17", B112=6,"18", B112=7,"19", B112=8,"20", B112=9,"21", B112=10,"22")),FALSE))</f>
        <v/>
      </c>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21"/>
      <c r="AJ113" s="53"/>
      <c r="AK113" s="391" t="s">
        <v>196</v>
      </c>
      <c r="AL113" s="29"/>
      <c r="AM113" s="35"/>
      <c r="AN113" s="35"/>
      <c r="AO113" s="48" t="s">
        <v>189</v>
      </c>
      <c r="AQ113" s="48" t="s">
        <v>190</v>
      </c>
      <c r="AR113" s="53"/>
      <c r="AS113" s="340" t="s">
        <v>191</v>
      </c>
      <c r="AU113" s="53"/>
      <c r="AV113" s="208" t="str">
        <f>IF(AV112="","",VLOOKUP(AV112,'Spell Database'!$A$2:$V$1214, (IFs(AO112=1,"13", AO112=2,"14", AO112=3,"15", AO112=4,"16", AO112=5,"17", AO112=6,"18", AO112=7,"19", AO112=8,"20", AO112=9,"21", AO112=10,"22")),FALSE))</f>
        <v/>
      </c>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21"/>
      <c r="BW113" s="53"/>
      <c r="BX113" s="391" t="s">
        <v>196</v>
      </c>
      <c r="BY113" s="29"/>
      <c r="BZ113" s="35"/>
      <c r="CA113" s="35"/>
      <c r="CB113" s="48" t="s">
        <v>189</v>
      </c>
      <c r="CD113" s="48" t="s">
        <v>190</v>
      </c>
      <c r="CE113" s="53"/>
      <c r="CF113" s="340" t="s">
        <v>191</v>
      </c>
      <c r="CH113" s="53"/>
      <c r="CI113" s="208" t="str">
        <f>IF(CI112="","",VLOOKUP(CI112,'Spell Database'!$A$2:$V$1214, (IFs(CB112=1,"13", CB112=2,"14", CB112=3,"15", CB112=4,"16", CB112=5,"17", CB112=6,"18", CB112=7,"19", CB112=8,"20", CB112=9,"21", CB112=10,"22")),FALSE))</f>
        <v/>
      </c>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21"/>
      <c r="DJ113" s="35"/>
      <c r="DK113" s="35"/>
      <c r="DL113" s="35"/>
      <c r="DM113" s="35"/>
      <c r="DN113" s="35"/>
      <c r="DO113" s="35"/>
      <c r="DP113" s="35"/>
    </row>
    <row r="114" ht="15.75" customHeight="1">
      <c r="A114" s="33"/>
      <c r="B114" s="214" t="str">
        <f>IF(I112="","",VLOOKUP(I112,'Spell Database'!$A$2:$W$1214,12,FALSE))</f>
        <v/>
      </c>
      <c r="D114" s="179" t="str">
        <f>IF(I112="","",VLOOKUP(I112,'Spell Database'!$A$2:$W$1214,3,FALSE))</f>
        <v/>
      </c>
      <c r="F114" s="181" t="str">
        <f>IF(I112="","",VLOOKUP(I112,'Spell Database'!$A$2:$W$1214,7,FALSE))</f>
        <v/>
      </c>
      <c r="G114" s="32"/>
      <c r="I114" s="40"/>
      <c r="AI114" s="41"/>
      <c r="AJ114" s="34"/>
      <c r="AK114" s="399"/>
      <c r="AL114" s="44"/>
      <c r="AM114" s="35"/>
      <c r="AN114" s="35"/>
      <c r="AO114" s="214" t="str">
        <f>IF(AV112="","",VLOOKUP(AV112,'Spell Database'!$A$2:$W$1214,12,FALSE))</f>
        <v/>
      </c>
      <c r="AQ114" s="179" t="str">
        <f>IF(AV112="","",VLOOKUP(AV112,'Spell Database'!$A$2:$W$1214,3,FALSE))</f>
        <v/>
      </c>
      <c r="AS114" s="181" t="str">
        <f>IF(AV112="","",VLOOKUP(AV112,'Spell Database'!$A$2:$W$1214,7,FALSE))</f>
        <v/>
      </c>
      <c r="AT114" s="32"/>
      <c r="AV114" s="40"/>
      <c r="BV114" s="41"/>
      <c r="BW114" s="34"/>
      <c r="BX114" s="399"/>
      <c r="BY114" s="44"/>
      <c r="BZ114" s="35"/>
      <c r="CA114" s="35"/>
      <c r="CB114" s="214" t="str">
        <f>IF(CI112="","",VLOOKUP(CI112,'Spell Database'!$A$2:$W$1214,12,FALSE))</f>
        <v/>
      </c>
      <c r="CD114" s="179" t="str">
        <f>IF(CI112="","",VLOOKUP(CI112,'Spell Database'!$A$2:$W$1214,3,FALSE))</f>
        <v/>
      </c>
      <c r="CF114" s="181" t="str">
        <f>IF(CI112="","",VLOOKUP(CI112,'Spell Database'!$A$2:$W$1214,7,FALSE))</f>
        <v/>
      </c>
      <c r="CG114" s="32"/>
      <c r="CI114" s="40"/>
      <c r="DI114" s="41"/>
      <c r="DJ114" s="35"/>
      <c r="DK114" s="35"/>
      <c r="DL114" s="35"/>
      <c r="DM114" s="35"/>
      <c r="DN114" s="35"/>
      <c r="DO114" s="35"/>
      <c r="DP114" s="35"/>
    </row>
    <row r="115" ht="9.75" customHeight="1">
      <c r="A115" s="33"/>
      <c r="B115" s="48" t="s">
        <v>206</v>
      </c>
      <c r="F115" s="48" t="s">
        <v>207</v>
      </c>
      <c r="I115" s="40"/>
      <c r="AI115" s="41"/>
      <c r="AJ115" s="35"/>
      <c r="AK115" s="35"/>
      <c r="AL115" s="35"/>
      <c r="AM115" s="48"/>
      <c r="AN115" s="48"/>
      <c r="AO115" s="48" t="s">
        <v>206</v>
      </c>
      <c r="AS115" s="48" t="s">
        <v>207</v>
      </c>
      <c r="AV115" s="40"/>
      <c r="BV115" s="41"/>
      <c r="BW115" s="35"/>
      <c r="BX115" s="35"/>
      <c r="BY115" s="35"/>
      <c r="BZ115" s="35"/>
      <c r="CA115" s="35"/>
      <c r="CB115" s="48" t="s">
        <v>206</v>
      </c>
      <c r="CF115" s="48" t="s">
        <v>207</v>
      </c>
      <c r="CI115" s="40"/>
      <c r="DI115" s="41"/>
      <c r="DJ115" s="35"/>
      <c r="DK115" s="35"/>
      <c r="DL115" s="35"/>
      <c r="DM115" s="35"/>
      <c r="DN115" s="35"/>
      <c r="DO115" s="35"/>
      <c r="DP115" s="35"/>
    </row>
    <row r="116" ht="15.75" customHeight="1">
      <c r="A116" s="33"/>
      <c r="B116" s="236" t="str">
        <f>IF(I112="","",VLOOKUP(I112,'Spell Database'!$A$2:$W$1214,11,FALSE))</f>
        <v/>
      </c>
      <c r="C116" s="29"/>
      <c r="D116" s="32"/>
      <c r="F116" s="159" t="str">
        <f>IF(I112="","",VLOOKUP(I112,'Spell Database'!$A$2:$W$1214,4,FALSE))</f>
        <v/>
      </c>
      <c r="G116" s="32"/>
      <c r="I116" s="42"/>
      <c r="J116" s="43"/>
      <c r="K116" s="43"/>
      <c r="L116" s="43"/>
      <c r="M116" s="43"/>
      <c r="N116" s="43"/>
      <c r="O116" s="43"/>
      <c r="P116" s="43"/>
      <c r="Q116" s="43"/>
      <c r="R116" s="43"/>
      <c r="S116" s="43"/>
      <c r="T116" s="43"/>
      <c r="U116" s="43"/>
      <c r="V116" s="43"/>
      <c r="W116" s="43"/>
      <c r="X116" s="43"/>
      <c r="Y116" s="43"/>
      <c r="Z116" s="43"/>
      <c r="AA116" s="43"/>
      <c r="AB116" s="43"/>
      <c r="AC116" s="43"/>
      <c r="AD116" s="43"/>
      <c r="AE116" s="43"/>
      <c r="AF116" s="43"/>
      <c r="AG116" s="43"/>
      <c r="AH116" s="43"/>
      <c r="AI116" s="44"/>
      <c r="AJ116" s="34"/>
      <c r="AK116" s="35"/>
      <c r="AL116" s="35"/>
      <c r="AM116" s="476"/>
      <c r="AN116" s="476"/>
      <c r="AO116" s="236" t="str">
        <f>IF(AV112="","",VLOOKUP(AV112,'Spell Database'!$A$2:$W$1214,11,FALSE))</f>
        <v/>
      </c>
      <c r="AP116" s="29"/>
      <c r="AQ116" s="32"/>
      <c r="AS116" s="159" t="str">
        <f>IF(AV112="","",VLOOKUP(AV112,'Spell Database'!$A$2:$W$1214,4,FALSE))</f>
        <v/>
      </c>
      <c r="AT116" s="32"/>
      <c r="AV116" s="42"/>
      <c r="AW116" s="43"/>
      <c r="AX116" s="43"/>
      <c r="AY116" s="43"/>
      <c r="AZ116" s="43"/>
      <c r="BA116" s="43"/>
      <c r="BB116" s="43"/>
      <c r="BC116" s="43"/>
      <c r="BD116" s="43"/>
      <c r="BE116" s="43"/>
      <c r="BF116" s="43"/>
      <c r="BG116" s="43"/>
      <c r="BH116" s="43"/>
      <c r="BI116" s="43"/>
      <c r="BJ116" s="43"/>
      <c r="BK116" s="43"/>
      <c r="BL116" s="43"/>
      <c r="BM116" s="43"/>
      <c r="BN116" s="43"/>
      <c r="BO116" s="43"/>
      <c r="BP116" s="43"/>
      <c r="BQ116" s="43"/>
      <c r="BR116" s="43"/>
      <c r="BS116" s="43"/>
      <c r="BT116" s="43"/>
      <c r="BU116" s="43"/>
      <c r="BV116" s="44"/>
      <c r="BW116" s="34"/>
      <c r="BX116" s="35"/>
      <c r="BY116" s="35"/>
      <c r="BZ116" s="35"/>
      <c r="CA116" s="35"/>
      <c r="CB116" s="236" t="str">
        <f>IF(CI112="","",VLOOKUP(CI112,'Spell Database'!$A$2:$W$1214,11,FALSE))</f>
        <v/>
      </c>
      <c r="CC116" s="29"/>
      <c r="CD116" s="32"/>
      <c r="CF116" s="159" t="str">
        <f>IF(CI112="","",VLOOKUP(CI112,'Spell Database'!$A$2:$W$1214,4,FALSE))</f>
        <v/>
      </c>
      <c r="CG116" s="32"/>
      <c r="CI116" s="42"/>
      <c r="CJ116" s="43"/>
      <c r="CK116" s="43"/>
      <c r="CL116" s="43"/>
      <c r="CM116" s="43"/>
      <c r="CN116" s="43"/>
      <c r="CO116" s="43"/>
      <c r="CP116" s="43"/>
      <c r="CQ116" s="43"/>
      <c r="CR116" s="43"/>
      <c r="CS116" s="43"/>
      <c r="CT116" s="43"/>
      <c r="CU116" s="43"/>
      <c r="CV116" s="43"/>
      <c r="CW116" s="43"/>
      <c r="CX116" s="43"/>
      <c r="CY116" s="43"/>
      <c r="CZ116" s="43"/>
      <c r="DA116" s="43"/>
      <c r="DB116" s="43"/>
      <c r="DC116" s="43"/>
      <c r="DD116" s="43"/>
      <c r="DE116" s="43"/>
      <c r="DF116" s="43"/>
      <c r="DG116" s="43"/>
      <c r="DH116" s="43"/>
      <c r="DI116" s="44"/>
      <c r="DJ116" s="35"/>
      <c r="DK116" s="35"/>
      <c r="DL116" s="35"/>
      <c r="DM116" s="35"/>
      <c r="DN116" s="35"/>
      <c r="DO116" s="35"/>
      <c r="DP116" s="35"/>
    </row>
    <row r="117" ht="9.75" customHeight="1">
      <c r="A117" s="33"/>
      <c r="B117" s="476"/>
      <c r="C117" s="476"/>
      <c r="D117" s="476"/>
      <c r="E117" s="476"/>
      <c r="F117" s="476"/>
      <c r="G117" s="476"/>
      <c r="H117" s="476"/>
      <c r="I117" s="476"/>
      <c r="J117" s="476"/>
      <c r="K117" s="476"/>
      <c r="L117" s="476"/>
      <c r="M117" s="476"/>
      <c r="N117" s="476"/>
      <c r="O117" s="476"/>
      <c r="P117" s="476"/>
      <c r="Q117" s="476"/>
      <c r="R117" s="476"/>
      <c r="S117" s="476"/>
      <c r="T117" s="476"/>
      <c r="U117" s="476"/>
      <c r="V117" s="476"/>
      <c r="W117" s="476"/>
      <c r="X117" s="476"/>
      <c r="Y117" s="476"/>
      <c r="Z117" s="476"/>
      <c r="AA117" s="476"/>
      <c r="AB117" s="476"/>
      <c r="AC117" s="476"/>
      <c r="AD117" s="476"/>
      <c r="AE117" s="476"/>
      <c r="AF117" s="476"/>
      <c r="AG117" s="476"/>
      <c r="AH117" s="476"/>
      <c r="AI117" s="476"/>
      <c r="AJ117" s="476"/>
      <c r="AK117" s="476"/>
      <c r="AL117" s="476"/>
      <c r="AM117" s="476"/>
      <c r="AN117" s="476"/>
      <c r="AO117" s="476"/>
      <c r="AP117" s="476"/>
      <c r="AQ117" s="476"/>
      <c r="AR117" s="476"/>
      <c r="AS117" s="476"/>
      <c r="AT117" s="476"/>
      <c r="AU117" s="476"/>
      <c r="AV117" s="476"/>
      <c r="AW117" s="476"/>
      <c r="AX117" s="476"/>
      <c r="AY117" s="476"/>
      <c r="AZ117" s="476"/>
      <c r="BA117" s="476"/>
      <c r="BB117" s="476"/>
      <c r="BC117" s="476"/>
      <c r="BD117" s="476"/>
      <c r="BE117" s="476"/>
      <c r="BF117" s="476"/>
      <c r="BG117" s="476"/>
      <c r="BH117" s="476"/>
      <c r="BI117" s="476"/>
      <c r="BJ117" s="476"/>
      <c r="BK117" s="476"/>
      <c r="BL117" s="476"/>
      <c r="BM117" s="476"/>
      <c r="BN117" s="476"/>
      <c r="BO117" s="476"/>
      <c r="BP117" s="476"/>
      <c r="BQ117" s="476"/>
      <c r="BR117" s="476"/>
      <c r="BS117" s="476"/>
      <c r="BT117" s="476"/>
      <c r="BU117" s="476"/>
      <c r="BV117" s="476"/>
      <c r="BW117" s="476"/>
      <c r="BX117" s="476"/>
      <c r="BY117" s="476"/>
      <c r="BZ117" s="35"/>
      <c r="CA117" s="35"/>
      <c r="CB117" s="48" t="s">
        <v>159</v>
      </c>
      <c r="CD117" s="48" t="s">
        <v>160</v>
      </c>
      <c r="CF117" s="48" t="s">
        <v>162</v>
      </c>
      <c r="CI117" s="173" t="s">
        <v>164</v>
      </c>
      <c r="CJ117" s="173"/>
      <c r="CK117" s="173"/>
      <c r="CL117" s="173"/>
      <c r="CM117" s="173"/>
      <c r="CN117" s="173"/>
      <c r="CO117" s="173"/>
      <c r="CP117" s="173"/>
      <c r="CQ117" s="173"/>
      <c r="CR117" s="173"/>
      <c r="CS117" s="173"/>
      <c r="CT117" s="173"/>
      <c r="CU117" s="48" t="s">
        <v>168</v>
      </c>
      <c r="CX117" s="48" t="s">
        <v>169</v>
      </c>
      <c r="DE117" s="48" t="s">
        <v>170</v>
      </c>
      <c r="DJ117" s="35"/>
      <c r="DK117" s="35"/>
      <c r="DL117" s="35"/>
      <c r="DM117" s="35"/>
      <c r="DN117" s="35"/>
      <c r="DO117" s="35"/>
      <c r="DP117" s="35"/>
    </row>
    <row r="118" ht="15.75" customHeight="1">
      <c r="A118" s="33"/>
      <c r="B118" s="28" t="s">
        <v>5344</v>
      </c>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29"/>
      <c r="AT118" s="29"/>
      <c r="AU118" s="29"/>
      <c r="AV118" s="29"/>
      <c r="AW118" s="29"/>
      <c r="AX118" s="29"/>
      <c r="AY118" s="29"/>
      <c r="AZ118" s="29"/>
      <c r="BA118" s="29"/>
      <c r="BB118" s="29"/>
      <c r="BC118" s="29"/>
      <c r="BD118" s="29"/>
      <c r="BE118" s="29"/>
      <c r="BF118" s="29"/>
      <c r="BG118" s="29"/>
      <c r="BH118" s="29"/>
      <c r="BI118" s="29"/>
      <c r="BJ118" s="29"/>
      <c r="BK118" s="29"/>
      <c r="BL118" s="29"/>
      <c r="BM118" s="29"/>
      <c r="BN118" s="29"/>
      <c r="BO118" s="29"/>
      <c r="BP118" s="29"/>
      <c r="BQ118" s="29"/>
      <c r="BR118" s="29"/>
      <c r="BS118" s="29"/>
      <c r="BT118" s="29"/>
      <c r="BU118" s="29"/>
      <c r="BV118" s="29"/>
      <c r="BW118" s="29"/>
      <c r="BX118" s="29"/>
      <c r="BY118" s="32"/>
      <c r="BZ118" s="35"/>
      <c r="CA118" s="35"/>
      <c r="CB118" s="179" t="str">
        <f>IF(CI118="","",VLOOKUP(CI118,'Spell Database'!$A$2:$W$1214,2,FALSE))</f>
        <v/>
      </c>
      <c r="CD118" s="179" t="str">
        <f>IF(CI118="","",VLOOKUP(CI118,'Spell Database'!$A$2:$W$1214,5,FALSE))</f>
        <v/>
      </c>
      <c r="CF118" s="181" t="str">
        <f>IF(CI118="","",VLOOKUP(CI118,'Spell Database'!$A$2:$W$1214,6,FALSE))</f>
        <v/>
      </c>
      <c r="CG118" s="32"/>
      <c r="CI118" s="184"/>
      <c r="CJ118" s="19"/>
      <c r="CK118" s="19"/>
      <c r="CL118" s="19"/>
      <c r="CM118" s="19"/>
      <c r="CN118" s="19"/>
      <c r="CO118" s="19"/>
      <c r="CP118" s="19"/>
      <c r="CQ118" s="19"/>
      <c r="CR118" s="19"/>
      <c r="CS118" s="19"/>
      <c r="CT118" s="19"/>
      <c r="CU118" s="159" t="str">
        <f>IF(CI118="","",VLOOKUP(CI118,'Spell Database'!$A$2:$W$1214,8,FALSE))</f>
        <v/>
      </c>
      <c r="CV118" s="29"/>
      <c r="CW118" s="32"/>
      <c r="CX118" s="191" t="str">
        <f>IF(CI118="","",VLOOKUP(CI118,'Spell Database'!$A$2:$W$1214,9,FALSE))</f>
        <v/>
      </c>
      <c r="CY118" s="29"/>
      <c r="CZ118" s="29"/>
      <c r="DA118" s="29"/>
      <c r="DB118" s="29"/>
      <c r="DC118" s="29"/>
      <c r="DD118" s="29"/>
      <c r="DE118" s="159" t="str">
        <f>IF(CI118="","",VLOOKUP(CI118,'Spell Database'!$A$2:$W$1214,10,FALSE))</f>
        <v/>
      </c>
      <c r="DF118" s="29"/>
      <c r="DG118" s="29"/>
      <c r="DH118" s="29"/>
      <c r="DI118" s="32"/>
      <c r="DJ118" s="35"/>
      <c r="DK118" s="35"/>
      <c r="DL118" s="35"/>
      <c r="DM118" s="35"/>
      <c r="DN118" s="35"/>
      <c r="DO118" s="35"/>
      <c r="DP118" s="35"/>
    </row>
    <row r="119" ht="9.75" customHeight="1">
      <c r="A119" s="33"/>
      <c r="B119" s="48" t="s">
        <v>159</v>
      </c>
      <c r="D119" s="48" t="s">
        <v>160</v>
      </c>
      <c r="F119" s="48" t="s">
        <v>162</v>
      </c>
      <c r="I119" s="173" t="s">
        <v>164</v>
      </c>
      <c r="J119" s="173"/>
      <c r="K119" s="173"/>
      <c r="L119" s="173"/>
      <c r="M119" s="173"/>
      <c r="N119" s="173"/>
      <c r="O119" s="173"/>
      <c r="P119" s="173"/>
      <c r="Q119" s="173"/>
      <c r="R119" s="173"/>
      <c r="S119" s="173"/>
      <c r="T119" s="173"/>
      <c r="U119" s="48" t="s">
        <v>168</v>
      </c>
      <c r="X119" s="48" t="s">
        <v>169</v>
      </c>
      <c r="AE119" s="48" t="s">
        <v>170</v>
      </c>
      <c r="AJ119" s="35"/>
      <c r="AK119" s="53" t="s">
        <v>1347</v>
      </c>
      <c r="AM119" s="35"/>
      <c r="AN119" s="35"/>
      <c r="AO119" s="48" t="s">
        <v>159</v>
      </c>
      <c r="AQ119" s="48" t="s">
        <v>160</v>
      </c>
      <c r="AS119" s="48" t="s">
        <v>162</v>
      </c>
      <c r="AV119" s="173" t="s">
        <v>164</v>
      </c>
      <c r="AW119" s="173"/>
      <c r="AX119" s="173"/>
      <c r="AY119" s="173"/>
      <c r="AZ119" s="173"/>
      <c r="BA119" s="173"/>
      <c r="BB119" s="173"/>
      <c r="BC119" s="173"/>
      <c r="BD119" s="173"/>
      <c r="BE119" s="173"/>
      <c r="BF119" s="173"/>
      <c r="BG119" s="173"/>
      <c r="BH119" s="48" t="s">
        <v>168</v>
      </c>
      <c r="BK119" s="48" t="s">
        <v>169</v>
      </c>
      <c r="BR119" s="48" t="s">
        <v>170</v>
      </c>
      <c r="BW119" s="35"/>
      <c r="BX119" s="53" t="s">
        <v>1347</v>
      </c>
      <c r="BZ119" s="35"/>
      <c r="CA119" s="35"/>
      <c r="CB119" s="48" t="s">
        <v>189</v>
      </c>
      <c r="CD119" s="48" t="s">
        <v>190</v>
      </c>
      <c r="CE119" s="53"/>
      <c r="CF119" s="340" t="s">
        <v>191</v>
      </c>
      <c r="CH119" s="53"/>
      <c r="CI119" s="208" t="str">
        <f>IF(CI118="","",VLOOKUP(CI118,'Spell Database'!$A$2:$V$1214, (IFs(CB118=1,"13", CB118=2,"14", CB118=3,"15", CB118=4,"16", CB118=5,"17", CB118=6,"18", CB118=7,"19", CB118=8,"20", CB118=9,"21", CB118=10,"22")),FALSE))</f>
        <v/>
      </c>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19"/>
      <c r="DF119" s="19"/>
      <c r="DG119" s="19"/>
      <c r="DH119" s="19"/>
      <c r="DI119" s="21"/>
      <c r="DJ119" s="35"/>
      <c r="DK119" s="35"/>
      <c r="DL119" s="35"/>
      <c r="DM119" s="35"/>
      <c r="DN119" s="35"/>
      <c r="DO119" s="35"/>
      <c r="DP119" s="35"/>
    </row>
    <row r="120" ht="15.75" customHeight="1">
      <c r="A120" s="33"/>
      <c r="B120" s="179" t="str">
        <f>IF(I120="","",VLOOKUP(I120,'Spell Database'!$A$2:$W$1214,2,FALSE))</f>
        <v/>
      </c>
      <c r="D120" s="179" t="str">
        <f>IF(I120="","",VLOOKUP(I120,'Spell Database'!$A$2:$W$1214,5,FALSE))</f>
        <v/>
      </c>
      <c r="F120" s="181" t="str">
        <f>IF(I120="","",VLOOKUP(I120,'Spell Database'!$A$2:$W$1214,6,FALSE))</f>
        <v/>
      </c>
      <c r="G120" s="32"/>
      <c r="I120" s="184"/>
      <c r="J120" s="19"/>
      <c r="K120" s="19"/>
      <c r="L120" s="19"/>
      <c r="M120" s="19"/>
      <c r="N120" s="19"/>
      <c r="O120" s="19"/>
      <c r="P120" s="19"/>
      <c r="Q120" s="19"/>
      <c r="R120" s="19"/>
      <c r="S120" s="19"/>
      <c r="T120" s="19"/>
      <c r="U120" s="159" t="str">
        <f>IF(I120="","",VLOOKUP(I120,'Spell Database'!$A$2:$W$1214,8,FALSE))</f>
        <v/>
      </c>
      <c r="V120" s="29"/>
      <c r="W120" s="32"/>
      <c r="X120" s="191" t="str">
        <f>IF(I120="","",VLOOKUP(I120,'Spell Database'!$A$2:$W$1214,9,FALSE))</f>
        <v/>
      </c>
      <c r="Y120" s="29"/>
      <c r="Z120" s="29"/>
      <c r="AA120" s="29"/>
      <c r="AB120" s="29"/>
      <c r="AC120" s="29"/>
      <c r="AD120" s="29"/>
      <c r="AE120" s="159" t="str">
        <f>IF(I120="","",VLOOKUP(I120,'Spell Database'!$A$2:$W$1214,10,FALSE))</f>
        <v/>
      </c>
      <c r="AF120" s="29"/>
      <c r="AG120" s="29"/>
      <c r="AH120" s="29"/>
      <c r="AI120" s="32"/>
      <c r="AJ120" s="35"/>
      <c r="AK120" s="396"/>
      <c r="AL120" s="32"/>
      <c r="AM120" s="35"/>
      <c r="AN120" s="35"/>
      <c r="AO120" s="179" t="str">
        <f>IF(AV120="","",VLOOKUP(AV120,'Spell Database'!$A$2:$W$1214,2,FALSE))</f>
        <v/>
      </c>
      <c r="AQ120" s="179" t="str">
        <f>IF(AV120="","",VLOOKUP(AV120,'Spell Database'!$A$2:$W$1214,5,FALSE))</f>
        <v/>
      </c>
      <c r="AS120" s="181" t="str">
        <f>IF(AV120="","",VLOOKUP(AV120,'Spell Database'!$A$2:$W$1214,6,FALSE))</f>
        <v/>
      </c>
      <c r="AT120" s="32"/>
      <c r="AV120" s="184"/>
      <c r="AW120" s="19"/>
      <c r="AX120" s="19"/>
      <c r="AY120" s="19"/>
      <c r="AZ120" s="19"/>
      <c r="BA120" s="19"/>
      <c r="BB120" s="19"/>
      <c r="BC120" s="19"/>
      <c r="BD120" s="19"/>
      <c r="BE120" s="19"/>
      <c r="BF120" s="19"/>
      <c r="BG120" s="19"/>
      <c r="BH120" s="159" t="str">
        <f>IF(AV120="","",VLOOKUP(AV120,'Spell Database'!$A$2:$W$1214,8,FALSE))</f>
        <v/>
      </c>
      <c r="BI120" s="29"/>
      <c r="BJ120" s="32"/>
      <c r="BK120" s="191" t="str">
        <f>IF(AV120="","",VLOOKUP(AV120,'Spell Database'!$A$2:$W$1214,9,FALSE))</f>
        <v/>
      </c>
      <c r="BL120" s="29"/>
      <c r="BM120" s="29"/>
      <c r="BN120" s="29"/>
      <c r="BO120" s="29"/>
      <c r="BP120" s="29"/>
      <c r="BQ120" s="29"/>
      <c r="BR120" s="159" t="str">
        <f>IF(AV120="","",VLOOKUP(AV120,'Spell Database'!$A$2:$W$1214,10,FALSE))</f>
        <v/>
      </c>
      <c r="BS120" s="29"/>
      <c r="BT120" s="29"/>
      <c r="BU120" s="29"/>
      <c r="BV120" s="32"/>
      <c r="BW120" s="35"/>
      <c r="BX120" s="396"/>
      <c r="BY120" s="32"/>
      <c r="BZ120" s="35"/>
      <c r="CA120" s="35"/>
      <c r="CB120" s="214" t="str">
        <f>IF(CI118="","",VLOOKUP(CI118,'Spell Database'!$A$2:$W$1214,12,FALSE))</f>
        <v/>
      </c>
      <c r="CD120" s="179" t="str">
        <f>IF(CI118="","",VLOOKUP(CI118,'Spell Database'!$A$2:$W$1214,3,FALSE))</f>
        <v/>
      </c>
      <c r="CF120" s="181" t="str">
        <f>IF(CI118="","",VLOOKUP(CI118,'Spell Database'!$A$2:$W$1214,7,FALSE))</f>
        <v/>
      </c>
      <c r="CG120" s="32"/>
      <c r="CI120" s="40"/>
      <c r="DI120" s="41"/>
      <c r="DJ120" s="35"/>
      <c r="DK120" s="35"/>
      <c r="DL120" s="35"/>
      <c r="DM120" s="35"/>
      <c r="DN120" s="35"/>
      <c r="DO120" s="35"/>
      <c r="DP120" s="35"/>
    </row>
    <row r="121" ht="9.75" customHeight="1">
      <c r="A121" s="33"/>
      <c r="B121" s="48" t="s">
        <v>189</v>
      </c>
      <c r="D121" s="48" t="s">
        <v>190</v>
      </c>
      <c r="E121" s="53"/>
      <c r="F121" s="340" t="s">
        <v>191</v>
      </c>
      <c r="H121" s="53"/>
      <c r="I121" s="208" t="str">
        <f>IF(I120="","",VLOOKUP(I120,'Spell Database'!$A$2:$V$1214, (IFs(B120=1,"13", B120=2,"14", B120=3,"15", B120=4,"16", B120=5,"17", B120=6,"18", B120=7,"19", B120=8,"20", B120=9,"21", B120=10,"22")),FALSE))</f>
        <v/>
      </c>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21"/>
      <c r="AJ121" s="53"/>
      <c r="AK121" s="391" t="s">
        <v>196</v>
      </c>
      <c r="AL121" s="29"/>
      <c r="AM121" s="35"/>
      <c r="AN121" s="35"/>
      <c r="AO121" s="48" t="s">
        <v>189</v>
      </c>
      <c r="AQ121" s="48" t="s">
        <v>190</v>
      </c>
      <c r="AR121" s="53"/>
      <c r="AS121" s="204" t="s">
        <v>191</v>
      </c>
      <c r="AU121" s="53"/>
      <c r="AV121" s="208" t="str">
        <f>IF(AV120="","",VLOOKUP(AV120,'Spell Database'!$A$2:$V$1214, (IFs(AO120=1,"13", AO120=2,"14", AO120=3,"15", AO120=4,"16", AO120=5,"17", AO120=6,"18", AO120=7,"19", AO120=8,"20", AO120=9,"21", AO120=10,"22")),FALSE))</f>
        <v/>
      </c>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21"/>
      <c r="BW121" s="53"/>
      <c r="BX121" s="391" t="s">
        <v>196</v>
      </c>
      <c r="BY121" s="29"/>
      <c r="BZ121" s="35"/>
      <c r="CA121" s="35"/>
      <c r="CB121" s="48" t="s">
        <v>206</v>
      </c>
      <c r="CF121" s="48" t="s">
        <v>207</v>
      </c>
      <c r="CI121" s="40"/>
      <c r="DI121" s="41"/>
      <c r="DJ121" s="35"/>
      <c r="DK121" s="35"/>
      <c r="DL121" s="35"/>
      <c r="DM121" s="35"/>
      <c r="DN121" s="35"/>
      <c r="DO121" s="35"/>
      <c r="DP121" s="35"/>
    </row>
    <row r="122" ht="15.75" customHeight="1">
      <c r="A122" s="33"/>
      <c r="B122" s="214" t="str">
        <f>IF(I120="","",VLOOKUP(I120,'Spell Database'!$A$2:$W$1214,12,FALSE))</f>
        <v/>
      </c>
      <c r="D122" s="179" t="str">
        <f>IF(I120="","",VLOOKUP(I120,'Spell Database'!$A$2:$W$1214,3,FALSE))</f>
        <v/>
      </c>
      <c r="F122" s="181" t="str">
        <f>IF(I120="","",VLOOKUP(I120,'Spell Database'!$A$2:$W$1214,7,FALSE))</f>
        <v/>
      </c>
      <c r="G122" s="32"/>
      <c r="I122" s="40"/>
      <c r="AI122" s="41"/>
      <c r="AJ122" s="34"/>
      <c r="AK122" s="399"/>
      <c r="AL122" s="44"/>
      <c r="AM122" s="35"/>
      <c r="AN122" s="35"/>
      <c r="AO122" s="214" t="str">
        <f>IF(AV120="","",VLOOKUP(AV120,'Spell Database'!$A$2:$W$1214,12,FALSE))</f>
        <v/>
      </c>
      <c r="AQ122" s="179" t="str">
        <f>IF(AV120="","",VLOOKUP(AV120,'Spell Database'!$A$2:$W$1214,3,FALSE))</f>
        <v/>
      </c>
      <c r="AS122" s="181" t="str">
        <f>IF(AV120="","",VLOOKUP(AV120,'Spell Database'!$A$2:$W$1214,7,FALSE))</f>
        <v/>
      </c>
      <c r="AT122" s="32"/>
      <c r="AV122" s="40"/>
      <c r="BV122" s="41"/>
      <c r="BW122" s="34"/>
      <c r="BX122" s="399"/>
      <c r="BY122" s="44"/>
      <c r="BZ122" s="35"/>
      <c r="CA122" s="35"/>
      <c r="CB122" s="236" t="str">
        <f>IF(CI118="","",VLOOKUP(CI118,'Spell Database'!$A$2:$W$1214,11,FALSE))</f>
        <v/>
      </c>
      <c r="CC122" s="29"/>
      <c r="CD122" s="32"/>
      <c r="CF122" s="159" t="str">
        <f>IF(CI118="","",VLOOKUP(CI118,'Spell Database'!$A$2:$W$1214,4,FALSE))</f>
        <v/>
      </c>
      <c r="CG122" s="32"/>
      <c r="CI122" s="42"/>
      <c r="CJ122" s="43"/>
      <c r="CK122" s="43"/>
      <c r="CL122" s="43"/>
      <c r="CM122" s="43"/>
      <c r="CN122" s="43"/>
      <c r="CO122" s="43"/>
      <c r="CP122" s="43"/>
      <c r="CQ122" s="43"/>
      <c r="CR122" s="43"/>
      <c r="CS122" s="43"/>
      <c r="CT122" s="43"/>
      <c r="CU122" s="43"/>
      <c r="CV122" s="43"/>
      <c r="CW122" s="43"/>
      <c r="CX122" s="43"/>
      <c r="CY122" s="43"/>
      <c r="CZ122" s="43"/>
      <c r="DA122" s="43"/>
      <c r="DB122" s="43"/>
      <c r="DC122" s="43"/>
      <c r="DD122" s="43"/>
      <c r="DE122" s="43"/>
      <c r="DF122" s="43"/>
      <c r="DG122" s="43"/>
      <c r="DH122" s="43"/>
      <c r="DI122" s="44"/>
      <c r="DJ122" s="35"/>
      <c r="DK122" s="35"/>
      <c r="DL122" s="35"/>
      <c r="DM122" s="35"/>
      <c r="DN122" s="35"/>
      <c r="DO122" s="35"/>
      <c r="DP122" s="35"/>
    </row>
    <row r="123" ht="9.75" customHeight="1">
      <c r="A123" s="33"/>
      <c r="B123" s="48" t="s">
        <v>206</v>
      </c>
      <c r="F123" s="48" t="s">
        <v>207</v>
      </c>
      <c r="I123" s="40"/>
      <c r="AI123" s="41"/>
      <c r="AJ123" s="35"/>
      <c r="AK123" s="35"/>
      <c r="AL123" s="35"/>
      <c r="AM123" s="35"/>
      <c r="AN123" s="35"/>
      <c r="AO123" s="48" t="s">
        <v>206</v>
      </c>
      <c r="AS123" s="48" t="s">
        <v>207</v>
      </c>
      <c r="AV123" s="40"/>
      <c r="BV123" s="41"/>
      <c r="BW123" s="35"/>
      <c r="BX123" s="35"/>
      <c r="BY123" s="35"/>
      <c r="BZ123" s="35"/>
      <c r="CA123" s="35"/>
      <c r="CB123" s="48" t="s">
        <v>159</v>
      </c>
      <c r="CD123" s="48" t="s">
        <v>160</v>
      </c>
      <c r="CF123" s="48" t="s">
        <v>162</v>
      </c>
      <c r="CI123" s="173" t="s">
        <v>164</v>
      </c>
      <c r="CJ123" s="173"/>
      <c r="CK123" s="173"/>
      <c r="CL123" s="173"/>
      <c r="CM123" s="173"/>
      <c r="CN123" s="173"/>
      <c r="CO123" s="173"/>
      <c r="CP123" s="173"/>
      <c r="CQ123" s="173"/>
      <c r="CR123" s="173"/>
      <c r="CS123" s="173"/>
      <c r="CT123" s="173"/>
      <c r="CU123" s="48" t="s">
        <v>168</v>
      </c>
      <c r="CX123" s="48" t="s">
        <v>169</v>
      </c>
      <c r="DE123" s="48" t="s">
        <v>170</v>
      </c>
      <c r="DJ123" s="35"/>
      <c r="DK123" s="35"/>
      <c r="DL123" s="35"/>
      <c r="DM123" s="35"/>
      <c r="DN123" s="35"/>
      <c r="DO123" s="35"/>
      <c r="DP123" s="35"/>
    </row>
    <row r="124" ht="15.75" customHeight="1">
      <c r="A124" s="33"/>
      <c r="B124" s="236" t="str">
        <f>IF(I120="","",VLOOKUP(I120,'Spell Database'!$A$2:$W$1214,11,FALSE))</f>
        <v/>
      </c>
      <c r="C124" s="29"/>
      <c r="D124" s="32"/>
      <c r="F124" s="159" t="str">
        <f>IF(I120="","",VLOOKUP(I120,'Spell Database'!$A$2:$W$1214,4,FALSE))</f>
        <v/>
      </c>
      <c r="G124" s="32"/>
      <c r="I124" s="42"/>
      <c r="J124" s="43"/>
      <c r="K124" s="43"/>
      <c r="L124" s="43"/>
      <c r="M124" s="43"/>
      <c r="N124" s="43"/>
      <c r="O124" s="43"/>
      <c r="P124" s="43"/>
      <c r="Q124" s="43"/>
      <c r="R124" s="43"/>
      <c r="S124" s="43"/>
      <c r="T124" s="43"/>
      <c r="U124" s="43"/>
      <c r="V124" s="43"/>
      <c r="W124" s="43"/>
      <c r="X124" s="43"/>
      <c r="Y124" s="43"/>
      <c r="Z124" s="43"/>
      <c r="AA124" s="43"/>
      <c r="AB124" s="43"/>
      <c r="AC124" s="43"/>
      <c r="AD124" s="43"/>
      <c r="AE124" s="43"/>
      <c r="AF124" s="43"/>
      <c r="AG124" s="43"/>
      <c r="AH124" s="43"/>
      <c r="AI124" s="44"/>
      <c r="AJ124" s="34"/>
      <c r="AK124" s="35"/>
      <c r="AL124" s="35"/>
      <c r="AM124" s="35"/>
      <c r="AN124" s="35"/>
      <c r="AO124" s="236" t="str">
        <f>IF(AV120="","",VLOOKUP(AV120,'Spell Database'!$A$2:$W$1214,11,FALSE))</f>
        <v/>
      </c>
      <c r="AP124" s="29"/>
      <c r="AQ124" s="32"/>
      <c r="AS124" s="159" t="str">
        <f>IF(AV120="","",VLOOKUP(AV120,'Spell Database'!$A$2:$W$1214,4,FALSE))</f>
        <v/>
      </c>
      <c r="AT124" s="32"/>
      <c r="AV124" s="42"/>
      <c r="AW124" s="43"/>
      <c r="AX124" s="43"/>
      <c r="AY124" s="43"/>
      <c r="AZ124" s="43"/>
      <c r="BA124" s="43"/>
      <c r="BB124" s="43"/>
      <c r="BC124" s="43"/>
      <c r="BD124" s="43"/>
      <c r="BE124" s="43"/>
      <c r="BF124" s="43"/>
      <c r="BG124" s="43"/>
      <c r="BH124" s="43"/>
      <c r="BI124" s="43"/>
      <c r="BJ124" s="43"/>
      <c r="BK124" s="43"/>
      <c r="BL124" s="43"/>
      <c r="BM124" s="43"/>
      <c r="BN124" s="43"/>
      <c r="BO124" s="43"/>
      <c r="BP124" s="43"/>
      <c r="BQ124" s="43"/>
      <c r="BR124" s="43"/>
      <c r="BS124" s="43"/>
      <c r="BT124" s="43"/>
      <c r="BU124" s="43"/>
      <c r="BV124" s="44"/>
      <c r="BW124" s="34"/>
      <c r="BX124" s="35"/>
      <c r="BY124" s="35"/>
      <c r="BZ124" s="35"/>
      <c r="CA124" s="35"/>
      <c r="CB124" s="179" t="str">
        <f>IF(CI124="","",VLOOKUP(CI124,'Spell Database'!$A$2:$W$1214,2,FALSE))</f>
        <v/>
      </c>
      <c r="CD124" s="179" t="str">
        <f>IF(CI124="","",VLOOKUP(CI124,'Spell Database'!$A$2:$W$1214,5,FALSE))</f>
        <v/>
      </c>
      <c r="CF124" s="181" t="str">
        <f>IF(CI124="","",VLOOKUP(CI124,'Spell Database'!$A$2:$W$1214,6,FALSE))</f>
        <v/>
      </c>
      <c r="CG124" s="32"/>
      <c r="CI124" s="184"/>
      <c r="CJ124" s="19"/>
      <c r="CK124" s="19"/>
      <c r="CL124" s="19"/>
      <c r="CM124" s="19"/>
      <c r="CN124" s="19"/>
      <c r="CO124" s="19"/>
      <c r="CP124" s="19"/>
      <c r="CQ124" s="19"/>
      <c r="CR124" s="19"/>
      <c r="CS124" s="19"/>
      <c r="CT124" s="19"/>
      <c r="CU124" s="159" t="str">
        <f>IF(CI124="","",VLOOKUP(CI124,'Spell Database'!$A$2:$W$1214,8,FALSE))</f>
        <v/>
      </c>
      <c r="CV124" s="29"/>
      <c r="CW124" s="32"/>
      <c r="CX124" s="191" t="str">
        <f>IF(CI124="","",VLOOKUP(CI124,'Spell Database'!$A$2:$W$1214,9,FALSE))</f>
        <v/>
      </c>
      <c r="CY124" s="29"/>
      <c r="CZ124" s="29"/>
      <c r="DA124" s="29"/>
      <c r="DB124" s="29"/>
      <c r="DC124" s="29"/>
      <c r="DD124" s="29"/>
      <c r="DE124" s="159" t="str">
        <f>IF(CI124="","",VLOOKUP(CI124,'Spell Database'!$A$2:$W$1214,10,FALSE))</f>
        <v/>
      </c>
      <c r="DF124" s="29"/>
      <c r="DG124" s="29"/>
      <c r="DH124" s="29"/>
      <c r="DI124" s="32"/>
      <c r="DJ124" s="35"/>
      <c r="DK124" s="35"/>
      <c r="DL124" s="35"/>
      <c r="DM124" s="35"/>
      <c r="DN124" s="35"/>
      <c r="DO124" s="35"/>
      <c r="DP124" s="35"/>
    </row>
    <row r="125" ht="9.75" customHeight="1">
      <c r="A125" s="33"/>
      <c r="B125" s="48" t="s">
        <v>159</v>
      </c>
      <c r="D125" s="48" t="s">
        <v>160</v>
      </c>
      <c r="F125" s="48" t="s">
        <v>162</v>
      </c>
      <c r="I125" s="173" t="s">
        <v>164</v>
      </c>
      <c r="J125" s="173"/>
      <c r="K125" s="173"/>
      <c r="L125" s="173"/>
      <c r="M125" s="173"/>
      <c r="N125" s="173"/>
      <c r="O125" s="173"/>
      <c r="P125" s="173"/>
      <c r="Q125" s="173"/>
      <c r="R125" s="173"/>
      <c r="S125" s="173"/>
      <c r="T125" s="173"/>
      <c r="U125" s="48" t="s">
        <v>168</v>
      </c>
      <c r="X125" s="48" t="s">
        <v>169</v>
      </c>
      <c r="AE125" s="48" t="s">
        <v>170</v>
      </c>
      <c r="AJ125" s="35"/>
      <c r="AK125" s="53" t="s">
        <v>1347</v>
      </c>
      <c r="AM125" s="35"/>
      <c r="AN125" s="35"/>
      <c r="AO125" s="48" t="s">
        <v>159</v>
      </c>
      <c r="AQ125" s="48" t="s">
        <v>160</v>
      </c>
      <c r="AS125" s="48" t="s">
        <v>162</v>
      </c>
      <c r="AV125" s="173" t="s">
        <v>164</v>
      </c>
      <c r="AW125" s="173"/>
      <c r="AX125" s="173"/>
      <c r="AY125" s="173"/>
      <c r="AZ125" s="173"/>
      <c r="BA125" s="173"/>
      <c r="BB125" s="173"/>
      <c r="BC125" s="173"/>
      <c r="BD125" s="173"/>
      <c r="BE125" s="173"/>
      <c r="BF125" s="173"/>
      <c r="BG125" s="173"/>
      <c r="BH125" s="48" t="s">
        <v>168</v>
      </c>
      <c r="BK125" s="48" t="s">
        <v>169</v>
      </c>
      <c r="BR125" s="48" t="s">
        <v>170</v>
      </c>
      <c r="BW125" s="35"/>
      <c r="BX125" s="53" t="s">
        <v>1347</v>
      </c>
      <c r="BZ125" s="35"/>
      <c r="CA125" s="35"/>
      <c r="CB125" s="48" t="s">
        <v>189</v>
      </c>
      <c r="CD125" s="48" t="s">
        <v>190</v>
      </c>
      <c r="CE125" s="53"/>
      <c r="CF125" s="340" t="s">
        <v>191</v>
      </c>
      <c r="CH125" s="53"/>
      <c r="CI125" s="208" t="str">
        <f>IF(CI124="","",VLOOKUP(CI124,'Spell Database'!$A$2:$V$1214, (IFs(CB124=1,"13", CB124=2,"14", CB124=3,"15", CB124=4,"16", CB124=5,"17", CB124=6,"18", CB124=7,"19", CB124=8,"20", CB124=9,"21", CB124=10,"22")),FALSE))</f>
        <v/>
      </c>
      <c r="CJ125" s="19"/>
      <c r="CK125" s="19"/>
      <c r="CL125" s="19"/>
      <c r="CM125" s="19"/>
      <c r="CN125" s="19"/>
      <c r="CO125" s="19"/>
      <c r="CP125" s="19"/>
      <c r="CQ125" s="19"/>
      <c r="CR125" s="19"/>
      <c r="CS125" s="19"/>
      <c r="CT125" s="19"/>
      <c r="CU125" s="19"/>
      <c r="CV125" s="19"/>
      <c r="CW125" s="19"/>
      <c r="CX125" s="19"/>
      <c r="CY125" s="19"/>
      <c r="CZ125" s="19"/>
      <c r="DA125" s="19"/>
      <c r="DB125" s="19"/>
      <c r="DC125" s="19"/>
      <c r="DD125" s="19"/>
      <c r="DE125" s="19"/>
      <c r="DF125" s="19"/>
      <c r="DG125" s="19"/>
      <c r="DH125" s="19"/>
      <c r="DI125" s="21"/>
      <c r="DJ125" s="35"/>
      <c r="DK125" s="35"/>
      <c r="DL125" s="35"/>
      <c r="DM125" s="35"/>
      <c r="DN125" s="35"/>
      <c r="DO125" s="35"/>
      <c r="DP125" s="35"/>
    </row>
    <row r="126" ht="15.75" customHeight="1">
      <c r="A126" s="33"/>
      <c r="B126" s="179" t="str">
        <f>IF(I126="","",VLOOKUP(I126,'Spell Database'!$A$2:$W$1214,2,FALSE))</f>
        <v/>
      </c>
      <c r="D126" s="179" t="str">
        <f>IF(I126="","",VLOOKUP(I126,'Spell Database'!$A$2:$W$1214,5,FALSE))</f>
        <v/>
      </c>
      <c r="F126" s="181" t="str">
        <f>IF(I126="","",VLOOKUP(I126,'Spell Database'!$A$2:$W$1214,6,FALSE))</f>
        <v/>
      </c>
      <c r="G126" s="32"/>
      <c r="I126" s="184"/>
      <c r="J126" s="19"/>
      <c r="K126" s="19"/>
      <c r="L126" s="19"/>
      <c r="M126" s="19"/>
      <c r="N126" s="19"/>
      <c r="O126" s="19"/>
      <c r="P126" s="19"/>
      <c r="Q126" s="19"/>
      <c r="R126" s="19"/>
      <c r="S126" s="19"/>
      <c r="T126" s="19"/>
      <c r="U126" s="159" t="str">
        <f>IF(I126="","",VLOOKUP(I126,'Spell Database'!$A$2:$W$1214,8,FALSE))</f>
        <v/>
      </c>
      <c r="V126" s="29"/>
      <c r="W126" s="32"/>
      <c r="X126" s="191" t="str">
        <f>IF(I126="","",VLOOKUP(I126,'Spell Database'!$A$2:$W$1214,9,FALSE))</f>
        <v/>
      </c>
      <c r="Y126" s="29"/>
      <c r="Z126" s="29"/>
      <c r="AA126" s="29"/>
      <c r="AB126" s="29"/>
      <c r="AC126" s="29"/>
      <c r="AD126" s="29"/>
      <c r="AE126" s="159" t="str">
        <f>IF(I126="","",VLOOKUP(I126,'Spell Database'!$A$2:$W$1214,10,FALSE))</f>
        <v/>
      </c>
      <c r="AF126" s="29"/>
      <c r="AG126" s="29"/>
      <c r="AH126" s="29"/>
      <c r="AI126" s="32"/>
      <c r="AJ126" s="35"/>
      <c r="AK126" s="396"/>
      <c r="AL126" s="32"/>
      <c r="AM126" s="35"/>
      <c r="AN126" s="35"/>
      <c r="AO126" s="179" t="str">
        <f>IF(AV126="","",VLOOKUP(AV126,'Spell Database'!$A$2:$W$1214,2,FALSE))</f>
        <v/>
      </c>
      <c r="AQ126" s="179" t="str">
        <f>IF(AV126="","",VLOOKUP(AV126,'Spell Database'!$A$2:$W$1214,5,FALSE))</f>
        <v/>
      </c>
      <c r="AS126" s="181" t="str">
        <f>IF(AV126="","",VLOOKUP(AV126,'Spell Database'!$A$2:$W$1214,6,FALSE))</f>
        <v/>
      </c>
      <c r="AT126" s="32"/>
      <c r="AV126" s="184"/>
      <c r="AW126" s="19"/>
      <c r="AX126" s="19"/>
      <c r="AY126" s="19"/>
      <c r="AZ126" s="19"/>
      <c r="BA126" s="19"/>
      <c r="BB126" s="19"/>
      <c r="BC126" s="19"/>
      <c r="BD126" s="19"/>
      <c r="BE126" s="19"/>
      <c r="BF126" s="19"/>
      <c r="BG126" s="19"/>
      <c r="BH126" s="159" t="str">
        <f>IF(AV126="","",VLOOKUP(AV126,'Spell Database'!$A$2:$W$1214,8,FALSE))</f>
        <v/>
      </c>
      <c r="BI126" s="29"/>
      <c r="BJ126" s="32"/>
      <c r="BK126" s="191" t="str">
        <f>IF(AV126="","",VLOOKUP(AV126,'Spell Database'!$A$2:$W$1214,9,FALSE))</f>
        <v/>
      </c>
      <c r="BL126" s="29"/>
      <c r="BM126" s="29"/>
      <c r="BN126" s="29"/>
      <c r="BO126" s="29"/>
      <c r="BP126" s="29"/>
      <c r="BQ126" s="29"/>
      <c r="BR126" s="159" t="str">
        <f>IF(AV126="","",VLOOKUP(AV126,'Spell Database'!$A$2:$W$1214,10,FALSE))</f>
        <v/>
      </c>
      <c r="BS126" s="29"/>
      <c r="BT126" s="29"/>
      <c r="BU126" s="29"/>
      <c r="BV126" s="32"/>
      <c r="BW126" s="35"/>
      <c r="BX126" s="396"/>
      <c r="BY126" s="32"/>
      <c r="BZ126" s="35"/>
      <c r="CA126" s="35"/>
      <c r="CB126" s="214" t="str">
        <f>IF(CI124="","",VLOOKUP(CI124,'Spell Database'!$A$2:$W$1214,12,FALSE))</f>
        <v/>
      </c>
      <c r="CD126" s="179" t="str">
        <f>IF(CI124="","",VLOOKUP(CI124,'Spell Database'!$A$2:$W$1214,3,FALSE))</f>
        <v/>
      </c>
      <c r="CF126" s="181" t="str">
        <f>IF(CI124="","",VLOOKUP(CI124,'Spell Database'!$A$2:$W$1214,7,FALSE))</f>
        <v/>
      </c>
      <c r="CG126" s="32"/>
      <c r="CI126" s="40"/>
      <c r="DI126" s="41"/>
      <c r="DJ126" s="35"/>
      <c r="DK126" s="35"/>
      <c r="DL126" s="35"/>
      <c r="DM126" s="35"/>
      <c r="DN126" s="35"/>
      <c r="DO126" s="35"/>
      <c r="DP126" s="35"/>
    </row>
    <row r="127" ht="9.75" customHeight="1">
      <c r="A127" s="33"/>
      <c r="B127" s="48" t="s">
        <v>189</v>
      </c>
      <c r="D127" s="48" t="s">
        <v>190</v>
      </c>
      <c r="E127" s="53"/>
      <c r="F127" s="340" t="s">
        <v>191</v>
      </c>
      <c r="H127" s="53"/>
      <c r="I127" s="208" t="str">
        <f>IF(I126="","",VLOOKUP(I126,'Spell Database'!$A$2:$V$1214, (IFs(B126=1,"13", B126=2,"14", B126=3,"15", B126=4,"16", B126=5,"17", B126=6,"18", B126=7,"19", B126=8,"20", B126=9,"21", B126=10,"22")),FALSE))</f>
        <v/>
      </c>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21"/>
      <c r="AJ127" s="53"/>
      <c r="AK127" s="391" t="s">
        <v>196</v>
      </c>
      <c r="AL127" s="29"/>
      <c r="AM127" s="35"/>
      <c r="AN127" s="35"/>
      <c r="AO127" s="48" t="s">
        <v>189</v>
      </c>
      <c r="AQ127" s="48" t="s">
        <v>190</v>
      </c>
      <c r="AR127" s="53"/>
      <c r="AS127" s="340" t="s">
        <v>191</v>
      </c>
      <c r="AU127" s="53"/>
      <c r="AV127" s="208" t="str">
        <f>IF(AV126="","",VLOOKUP(AV126,'Spell Database'!$A$2:$V$1214, (IFs(AO126=1,"13", AO126=2,"14", AO126=3,"15", AO126=4,"16", AO126=5,"17", AO126=6,"18", AO126=7,"19", AO126=8,"20", AO126=9,"21", AO126=10,"22")),FALSE))</f>
        <v/>
      </c>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21"/>
      <c r="BW127" s="53"/>
      <c r="BX127" s="391" t="s">
        <v>196</v>
      </c>
      <c r="BY127" s="29"/>
      <c r="BZ127" s="35"/>
      <c r="CA127" s="35"/>
      <c r="CB127" s="48" t="s">
        <v>206</v>
      </c>
      <c r="CF127" s="48" t="s">
        <v>207</v>
      </c>
      <c r="CI127" s="40"/>
      <c r="DI127" s="41"/>
      <c r="DJ127" s="35"/>
      <c r="DK127" s="35"/>
      <c r="DL127" s="35"/>
      <c r="DM127" s="35"/>
      <c r="DN127" s="35"/>
      <c r="DO127" s="35"/>
      <c r="DP127" s="35"/>
    </row>
    <row r="128" ht="15.75" customHeight="1">
      <c r="A128" s="33"/>
      <c r="B128" s="214" t="str">
        <f>IF(I126="","",VLOOKUP(I126,'Spell Database'!$A$2:$W$1214,12,FALSE))</f>
        <v/>
      </c>
      <c r="D128" s="179" t="str">
        <f>IF(I126="","",VLOOKUP(I126,'Spell Database'!$A$2:$W$1214,3,FALSE))</f>
        <v/>
      </c>
      <c r="F128" s="181" t="str">
        <f>IF(I126="","",VLOOKUP(I126,'Spell Database'!$A$2:$W$1214,7,FALSE))</f>
        <v/>
      </c>
      <c r="G128" s="32"/>
      <c r="I128" s="40"/>
      <c r="AI128" s="41"/>
      <c r="AJ128" s="34"/>
      <c r="AK128" s="399"/>
      <c r="AL128" s="44"/>
      <c r="AM128" s="35"/>
      <c r="AN128" s="35"/>
      <c r="AO128" s="214" t="str">
        <f>IF(AV126="","",VLOOKUP(AV126,'Spell Database'!$A$2:$W$1214,12,FALSE))</f>
        <v/>
      </c>
      <c r="AQ128" s="179" t="str">
        <f>IF(AV126="","",VLOOKUP(AV126,'Spell Database'!$A$2:$W$1214,3,FALSE))</f>
        <v/>
      </c>
      <c r="AS128" s="181" t="str">
        <f>IF(AV126="","",VLOOKUP(AV126,'Spell Database'!$A$2:$W$1214,7,FALSE))</f>
        <v/>
      </c>
      <c r="AT128" s="32"/>
      <c r="AV128" s="40"/>
      <c r="BV128" s="41"/>
      <c r="BW128" s="34"/>
      <c r="BX128" s="399"/>
      <c r="BY128" s="44"/>
      <c r="BZ128" s="35"/>
      <c r="CA128" s="35"/>
      <c r="CB128" s="236" t="str">
        <f>IF(CI124="","",VLOOKUP(CI124,'Spell Database'!$A$2:$W$1214,11,FALSE))</f>
        <v/>
      </c>
      <c r="CC128" s="29"/>
      <c r="CD128" s="32"/>
      <c r="CF128" s="159" t="str">
        <f>IF(CI124="","",VLOOKUP(CI124,'Spell Database'!$A$2:$W$1214,4,FALSE))</f>
        <v/>
      </c>
      <c r="CG128" s="32"/>
      <c r="CI128" s="42"/>
      <c r="CJ128" s="43"/>
      <c r="CK128" s="43"/>
      <c r="CL128" s="43"/>
      <c r="CM128" s="43"/>
      <c r="CN128" s="43"/>
      <c r="CO128" s="43"/>
      <c r="CP128" s="43"/>
      <c r="CQ128" s="43"/>
      <c r="CR128" s="43"/>
      <c r="CS128" s="43"/>
      <c r="CT128" s="43"/>
      <c r="CU128" s="43"/>
      <c r="CV128" s="43"/>
      <c r="CW128" s="43"/>
      <c r="CX128" s="43"/>
      <c r="CY128" s="43"/>
      <c r="CZ128" s="43"/>
      <c r="DA128" s="43"/>
      <c r="DB128" s="43"/>
      <c r="DC128" s="43"/>
      <c r="DD128" s="43"/>
      <c r="DE128" s="43"/>
      <c r="DF128" s="43"/>
      <c r="DG128" s="43"/>
      <c r="DH128" s="43"/>
      <c r="DI128" s="44"/>
      <c r="DJ128" s="35"/>
      <c r="DK128" s="35"/>
      <c r="DL128" s="35"/>
      <c r="DM128" s="35"/>
      <c r="DN128" s="35"/>
      <c r="DO128" s="35"/>
      <c r="DP128" s="35"/>
    </row>
    <row r="129" ht="9.75" customHeight="1">
      <c r="A129" s="33"/>
      <c r="B129" s="48" t="s">
        <v>206</v>
      </c>
      <c r="F129" s="48" t="s">
        <v>207</v>
      </c>
      <c r="I129" s="40"/>
      <c r="AI129" s="41"/>
      <c r="AJ129" s="35"/>
      <c r="AK129" s="35"/>
      <c r="AL129" s="35"/>
      <c r="AM129" s="48"/>
      <c r="AN129" s="48"/>
      <c r="AO129" s="48" t="s">
        <v>206</v>
      </c>
      <c r="AS129" s="48" t="s">
        <v>207</v>
      </c>
      <c r="AV129" s="40"/>
      <c r="BV129" s="41"/>
      <c r="BW129" s="35"/>
      <c r="BX129" s="35"/>
      <c r="BY129" s="35"/>
      <c r="BZ129" s="35"/>
      <c r="CA129" s="35"/>
      <c r="CB129" s="48" t="s">
        <v>159</v>
      </c>
      <c r="CD129" s="48" t="s">
        <v>160</v>
      </c>
      <c r="CF129" s="48" t="s">
        <v>162</v>
      </c>
      <c r="CI129" s="173" t="s">
        <v>164</v>
      </c>
      <c r="CJ129" s="173"/>
      <c r="CK129" s="173"/>
      <c r="CL129" s="173"/>
      <c r="CM129" s="173"/>
      <c r="CN129" s="173"/>
      <c r="CO129" s="173"/>
      <c r="CP129" s="173"/>
      <c r="CQ129" s="173"/>
      <c r="CR129" s="173"/>
      <c r="CS129" s="173"/>
      <c r="CT129" s="173"/>
      <c r="CU129" s="48" t="s">
        <v>168</v>
      </c>
      <c r="CX129" s="48" t="s">
        <v>169</v>
      </c>
      <c r="DE129" s="48" t="s">
        <v>170</v>
      </c>
      <c r="DJ129" s="35"/>
      <c r="DK129" s="35"/>
      <c r="DL129" s="35"/>
      <c r="DM129" s="35"/>
      <c r="DN129" s="35"/>
      <c r="DO129" s="35"/>
      <c r="DP129" s="35"/>
    </row>
    <row r="130" ht="15.75" customHeight="1">
      <c r="A130" s="33"/>
      <c r="B130" s="236" t="str">
        <f>IF(I126="","",VLOOKUP(I126,'Spell Database'!$A$2:$W$1214,11,FALSE))</f>
        <v/>
      </c>
      <c r="C130" s="29"/>
      <c r="D130" s="32"/>
      <c r="F130" s="159" t="str">
        <f>IF(I126="","",VLOOKUP(I126,'Spell Database'!$A$2:$W$1214,4,FALSE))</f>
        <v/>
      </c>
      <c r="G130" s="32"/>
      <c r="I130" s="42"/>
      <c r="J130" s="43"/>
      <c r="K130" s="43"/>
      <c r="L130" s="43"/>
      <c r="M130" s="43"/>
      <c r="N130" s="43"/>
      <c r="O130" s="43"/>
      <c r="P130" s="43"/>
      <c r="Q130" s="43"/>
      <c r="R130" s="43"/>
      <c r="S130" s="43"/>
      <c r="T130" s="43"/>
      <c r="U130" s="43"/>
      <c r="V130" s="43"/>
      <c r="W130" s="43"/>
      <c r="X130" s="43"/>
      <c r="Y130" s="43"/>
      <c r="Z130" s="43"/>
      <c r="AA130" s="43"/>
      <c r="AB130" s="43"/>
      <c r="AC130" s="43"/>
      <c r="AD130" s="43"/>
      <c r="AE130" s="43"/>
      <c r="AF130" s="43"/>
      <c r="AG130" s="43"/>
      <c r="AH130" s="43"/>
      <c r="AI130" s="44"/>
      <c r="AJ130" s="34"/>
      <c r="AK130" s="35"/>
      <c r="AL130" s="35"/>
      <c r="AM130" s="476"/>
      <c r="AN130" s="476"/>
      <c r="AO130" s="236" t="str">
        <f>IF(AV126="","",VLOOKUP(AV126,'Spell Database'!$A$2:$W$1214,11,FALSE))</f>
        <v/>
      </c>
      <c r="AP130" s="29"/>
      <c r="AQ130" s="32"/>
      <c r="AS130" s="159" t="str">
        <f>IF(AV126="","",VLOOKUP(AV126,'Spell Database'!$A$2:$W$1214,4,FALSE))</f>
        <v/>
      </c>
      <c r="AT130" s="32"/>
      <c r="AV130" s="42"/>
      <c r="AW130" s="43"/>
      <c r="AX130" s="43"/>
      <c r="AY130" s="43"/>
      <c r="AZ130" s="43"/>
      <c r="BA130" s="43"/>
      <c r="BB130" s="43"/>
      <c r="BC130" s="43"/>
      <c r="BD130" s="43"/>
      <c r="BE130" s="43"/>
      <c r="BF130" s="43"/>
      <c r="BG130" s="43"/>
      <c r="BH130" s="43"/>
      <c r="BI130" s="43"/>
      <c r="BJ130" s="43"/>
      <c r="BK130" s="43"/>
      <c r="BL130" s="43"/>
      <c r="BM130" s="43"/>
      <c r="BN130" s="43"/>
      <c r="BO130" s="43"/>
      <c r="BP130" s="43"/>
      <c r="BQ130" s="43"/>
      <c r="BR130" s="43"/>
      <c r="BS130" s="43"/>
      <c r="BT130" s="43"/>
      <c r="BU130" s="43"/>
      <c r="BV130" s="44"/>
      <c r="BW130" s="34"/>
      <c r="BX130" s="35"/>
      <c r="BY130" s="35"/>
      <c r="BZ130" s="35"/>
      <c r="CA130" s="35"/>
      <c r="CB130" s="179" t="str">
        <f>IF(CI130="","",VLOOKUP(CI130,'Spell Database'!$A$2:$W$1214,2,FALSE))</f>
        <v/>
      </c>
      <c r="CD130" s="179" t="str">
        <f>IF(CI130="","",VLOOKUP(CI130,'Spell Database'!$A$2:$W$1214,5,FALSE))</f>
        <v/>
      </c>
      <c r="CF130" s="181" t="str">
        <f>IF(CI130="","",VLOOKUP(CI130,'Spell Database'!$A$2:$W$1214,6,FALSE))</f>
        <v/>
      </c>
      <c r="CG130" s="32"/>
      <c r="CI130" s="184"/>
      <c r="CJ130" s="19"/>
      <c r="CK130" s="19"/>
      <c r="CL130" s="19"/>
      <c r="CM130" s="19"/>
      <c r="CN130" s="19"/>
      <c r="CO130" s="19"/>
      <c r="CP130" s="19"/>
      <c r="CQ130" s="19"/>
      <c r="CR130" s="19"/>
      <c r="CS130" s="19"/>
      <c r="CT130" s="19"/>
      <c r="CU130" s="159" t="str">
        <f>IF(CI130="","",VLOOKUP(CI130,'Spell Database'!$A$2:$W$1214,8,FALSE))</f>
        <v/>
      </c>
      <c r="CV130" s="29"/>
      <c r="CW130" s="32"/>
      <c r="CX130" s="191" t="str">
        <f>IF(CI130="","",VLOOKUP(CI130,'Spell Database'!$A$2:$W$1214,9,FALSE))</f>
        <v/>
      </c>
      <c r="CY130" s="29"/>
      <c r="CZ130" s="29"/>
      <c r="DA130" s="29"/>
      <c r="DB130" s="29"/>
      <c r="DC130" s="29"/>
      <c r="DD130" s="29"/>
      <c r="DE130" s="159" t="str">
        <f>IF(CI130="","",VLOOKUP(CI130,'Spell Database'!$A$2:$W$1214,10,FALSE))</f>
        <v/>
      </c>
      <c r="DF130" s="29"/>
      <c r="DG130" s="29"/>
      <c r="DH130" s="29"/>
      <c r="DI130" s="32"/>
      <c r="DJ130" s="35"/>
      <c r="DK130" s="35"/>
      <c r="DL130" s="35"/>
      <c r="DM130" s="35"/>
      <c r="DN130" s="35"/>
      <c r="DO130" s="35"/>
      <c r="DP130" s="35"/>
    </row>
    <row r="131" ht="9.75" customHeight="1">
      <c r="A131" s="33"/>
      <c r="B131" s="476"/>
      <c r="C131" s="476"/>
      <c r="D131" s="476"/>
      <c r="E131" s="476"/>
      <c r="F131" s="476"/>
      <c r="G131" s="476"/>
      <c r="H131" s="476"/>
      <c r="I131" s="476"/>
      <c r="J131" s="476"/>
      <c r="K131" s="476"/>
      <c r="L131" s="476"/>
      <c r="M131" s="476"/>
      <c r="N131" s="476"/>
      <c r="O131" s="476"/>
      <c r="P131" s="476"/>
      <c r="Q131" s="476"/>
      <c r="R131" s="476"/>
      <c r="S131" s="476"/>
      <c r="T131" s="476"/>
      <c r="U131" s="476"/>
      <c r="V131" s="476"/>
      <c r="W131" s="476"/>
      <c r="X131" s="476"/>
      <c r="Y131" s="476"/>
      <c r="Z131" s="476"/>
      <c r="AA131" s="476"/>
      <c r="AB131" s="476"/>
      <c r="AC131" s="476"/>
      <c r="AD131" s="476"/>
      <c r="AE131" s="476"/>
      <c r="AF131" s="476"/>
      <c r="AG131" s="476"/>
      <c r="AH131" s="476"/>
      <c r="AI131" s="476"/>
      <c r="AJ131" s="476"/>
      <c r="AK131" s="476"/>
      <c r="AL131" s="476"/>
      <c r="AM131" s="476"/>
      <c r="AN131" s="476"/>
      <c r="AO131" s="476"/>
      <c r="AP131" s="476"/>
      <c r="AQ131" s="476"/>
      <c r="AR131" s="476"/>
      <c r="AS131" s="476"/>
      <c r="AT131" s="476"/>
      <c r="AU131" s="476"/>
      <c r="AV131" s="476"/>
      <c r="AW131" s="476"/>
      <c r="AX131" s="476"/>
      <c r="AY131" s="476"/>
      <c r="AZ131" s="476"/>
      <c r="BA131" s="476"/>
      <c r="BB131" s="476"/>
      <c r="BC131" s="476"/>
      <c r="BD131" s="476"/>
      <c r="BE131" s="476"/>
      <c r="BF131" s="476"/>
      <c r="BG131" s="476"/>
      <c r="BH131" s="476"/>
      <c r="BI131" s="476"/>
      <c r="BJ131" s="476"/>
      <c r="BK131" s="476"/>
      <c r="BL131" s="476"/>
      <c r="BM131" s="476"/>
      <c r="BN131" s="476"/>
      <c r="BO131" s="476"/>
      <c r="BP131" s="476"/>
      <c r="BQ131" s="476"/>
      <c r="BR131" s="476"/>
      <c r="BS131" s="476"/>
      <c r="BT131" s="476"/>
      <c r="BU131" s="476"/>
      <c r="BV131" s="476"/>
      <c r="BW131" s="476"/>
      <c r="BX131" s="476"/>
      <c r="BY131" s="476"/>
      <c r="BZ131" s="35"/>
      <c r="CA131" s="35"/>
      <c r="CB131" s="48" t="s">
        <v>189</v>
      </c>
      <c r="CD131" s="48" t="s">
        <v>190</v>
      </c>
      <c r="CE131" s="53"/>
      <c r="CF131" s="340" t="s">
        <v>191</v>
      </c>
      <c r="CH131" s="53"/>
      <c r="CI131" s="208" t="str">
        <f>IF(CI130="","",VLOOKUP(CI130,'Spell Database'!$A$2:$V$1214, (IFs(CB130=1,"13", CB130=2,"14", CB130=3,"15", CB130=4,"16", CB130=5,"17", CB130=6,"18", CB130=7,"19", CB130=8,"20", CB130=9,"21", CB130=10,"22")),FALSE))</f>
        <v/>
      </c>
      <c r="CJ131" s="19"/>
      <c r="CK131" s="19"/>
      <c r="CL131" s="19"/>
      <c r="CM131" s="19"/>
      <c r="CN131" s="19"/>
      <c r="CO131" s="19"/>
      <c r="CP131" s="19"/>
      <c r="CQ131" s="19"/>
      <c r="CR131" s="19"/>
      <c r="CS131" s="19"/>
      <c r="CT131" s="19"/>
      <c r="CU131" s="19"/>
      <c r="CV131" s="19"/>
      <c r="CW131" s="19"/>
      <c r="CX131" s="19"/>
      <c r="CY131" s="19"/>
      <c r="CZ131" s="19"/>
      <c r="DA131" s="19"/>
      <c r="DB131" s="19"/>
      <c r="DC131" s="19"/>
      <c r="DD131" s="19"/>
      <c r="DE131" s="19"/>
      <c r="DF131" s="19"/>
      <c r="DG131" s="19"/>
      <c r="DH131" s="19"/>
      <c r="DI131" s="21"/>
      <c r="DJ131" s="35"/>
      <c r="DK131" s="35"/>
      <c r="DL131" s="35"/>
      <c r="DM131" s="35"/>
      <c r="DN131" s="35"/>
      <c r="DO131" s="35"/>
      <c r="DP131" s="35"/>
    </row>
    <row r="132" ht="15.75" customHeight="1">
      <c r="A132" s="33"/>
      <c r="B132" s="28" t="s">
        <v>6071</v>
      </c>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c r="AT132" s="29"/>
      <c r="AU132" s="29"/>
      <c r="AV132" s="29"/>
      <c r="AW132" s="29"/>
      <c r="AX132" s="29"/>
      <c r="AY132" s="29"/>
      <c r="AZ132" s="29"/>
      <c r="BA132" s="29"/>
      <c r="BB132" s="29"/>
      <c r="BC132" s="29"/>
      <c r="BD132" s="29"/>
      <c r="BE132" s="29"/>
      <c r="BF132" s="29"/>
      <c r="BG132" s="29"/>
      <c r="BH132" s="29"/>
      <c r="BI132" s="29"/>
      <c r="BJ132" s="29"/>
      <c r="BK132" s="29"/>
      <c r="BL132" s="29"/>
      <c r="BM132" s="29"/>
      <c r="BN132" s="29"/>
      <c r="BO132" s="29"/>
      <c r="BP132" s="29"/>
      <c r="BQ132" s="29"/>
      <c r="BR132" s="29"/>
      <c r="BS132" s="29"/>
      <c r="BT132" s="29"/>
      <c r="BU132" s="29"/>
      <c r="BV132" s="29"/>
      <c r="BW132" s="29"/>
      <c r="BX132" s="29"/>
      <c r="BY132" s="32"/>
      <c r="BZ132" s="35"/>
      <c r="CA132" s="35"/>
      <c r="CB132" s="214" t="str">
        <f>IF(CI130="","",VLOOKUP(CI130,'Spell Database'!$A$2:$W$1214,12,FALSE))</f>
        <v/>
      </c>
      <c r="CD132" s="179" t="str">
        <f>IF(CI130="","",VLOOKUP(CI130,'Spell Database'!$A$2:$W$1214,3,FALSE))</f>
        <v/>
      </c>
      <c r="CF132" s="181" t="str">
        <f>IF(CI130="","",VLOOKUP(CI130,'Spell Database'!$A$2:$W$1214,7,FALSE))</f>
        <v/>
      </c>
      <c r="CG132" s="32"/>
      <c r="CI132" s="40"/>
      <c r="DI132" s="41"/>
      <c r="DJ132" s="35"/>
      <c r="DK132" s="35"/>
      <c r="DL132" s="35"/>
      <c r="DM132" s="35"/>
      <c r="DN132" s="35"/>
      <c r="DO132" s="35"/>
      <c r="DP132" s="35"/>
    </row>
    <row r="133" ht="9.75" customHeight="1">
      <c r="A133" s="33"/>
      <c r="B133" s="48" t="s">
        <v>159</v>
      </c>
      <c r="D133" s="48" t="s">
        <v>160</v>
      </c>
      <c r="F133" s="48" t="s">
        <v>162</v>
      </c>
      <c r="I133" s="173" t="s">
        <v>164</v>
      </c>
      <c r="J133" s="173"/>
      <c r="K133" s="173"/>
      <c r="L133" s="173"/>
      <c r="M133" s="173"/>
      <c r="N133" s="173"/>
      <c r="O133" s="173"/>
      <c r="P133" s="173"/>
      <c r="Q133" s="173"/>
      <c r="R133" s="173"/>
      <c r="S133" s="173"/>
      <c r="T133" s="173"/>
      <c r="U133" s="48" t="s">
        <v>168</v>
      </c>
      <c r="X133" s="48" t="s">
        <v>169</v>
      </c>
      <c r="AE133" s="48" t="s">
        <v>170</v>
      </c>
      <c r="AJ133" s="35"/>
      <c r="AK133" s="53" t="s">
        <v>1347</v>
      </c>
      <c r="AM133" s="35"/>
      <c r="AN133" s="35"/>
      <c r="AO133" s="48" t="s">
        <v>159</v>
      </c>
      <c r="AQ133" s="48" t="s">
        <v>160</v>
      </c>
      <c r="AS133" s="48" t="s">
        <v>162</v>
      </c>
      <c r="AV133" s="173" t="s">
        <v>164</v>
      </c>
      <c r="AW133" s="173"/>
      <c r="AX133" s="173"/>
      <c r="AY133" s="173"/>
      <c r="AZ133" s="173"/>
      <c r="BA133" s="173"/>
      <c r="BB133" s="173"/>
      <c r="BC133" s="173"/>
      <c r="BD133" s="173"/>
      <c r="BE133" s="173"/>
      <c r="BF133" s="173"/>
      <c r="BG133" s="173"/>
      <c r="BH133" s="48" t="s">
        <v>168</v>
      </c>
      <c r="BK133" s="48" t="s">
        <v>169</v>
      </c>
      <c r="BR133" s="48" t="s">
        <v>170</v>
      </c>
      <c r="BW133" s="35"/>
      <c r="BX133" s="53" t="s">
        <v>1347</v>
      </c>
      <c r="BZ133" s="35"/>
      <c r="CA133" s="35"/>
      <c r="CB133" s="48" t="s">
        <v>206</v>
      </c>
      <c r="CF133" s="48" t="s">
        <v>207</v>
      </c>
      <c r="CI133" s="40"/>
      <c r="DI133" s="41"/>
      <c r="DJ133" s="35"/>
      <c r="DK133" s="35"/>
      <c r="DL133" s="35"/>
      <c r="DM133" s="35"/>
      <c r="DN133" s="35"/>
      <c r="DO133" s="35"/>
      <c r="DP133" s="35"/>
    </row>
    <row r="134" ht="15.75" customHeight="1">
      <c r="A134" s="33"/>
      <c r="B134" s="179" t="str">
        <f>IF(I134="","",VLOOKUP(I134,'Spell Database'!$A$2:$W$1214,2,FALSE))</f>
        <v/>
      </c>
      <c r="D134" s="179" t="str">
        <f>IF(I134="","",VLOOKUP(I134,'Spell Database'!$A$2:$W$1214,5,FALSE))</f>
        <v/>
      </c>
      <c r="F134" s="181" t="str">
        <f>IF(I134="","",VLOOKUP(I134,'Spell Database'!$A$2:$W$1214,6,FALSE))</f>
        <v/>
      </c>
      <c r="G134" s="32"/>
      <c r="I134" s="184"/>
      <c r="J134" s="19"/>
      <c r="K134" s="19"/>
      <c r="L134" s="19"/>
      <c r="M134" s="19"/>
      <c r="N134" s="19"/>
      <c r="O134" s="19"/>
      <c r="P134" s="19"/>
      <c r="Q134" s="19"/>
      <c r="R134" s="19"/>
      <c r="S134" s="19"/>
      <c r="T134" s="19"/>
      <c r="U134" s="159" t="str">
        <f>IF(I134="","",VLOOKUP(I134,'Spell Database'!$A$2:$W$1214,8,FALSE))</f>
        <v/>
      </c>
      <c r="V134" s="29"/>
      <c r="W134" s="32"/>
      <c r="X134" s="191" t="str">
        <f>IF(I134="","",VLOOKUP(I134,'Spell Database'!$A$2:$W$1214,9,FALSE))</f>
        <v/>
      </c>
      <c r="Y134" s="29"/>
      <c r="Z134" s="29"/>
      <c r="AA134" s="29"/>
      <c r="AB134" s="29"/>
      <c r="AC134" s="29"/>
      <c r="AD134" s="29"/>
      <c r="AE134" s="159" t="str">
        <f>IF(I134="","",VLOOKUP(I134,'Spell Database'!$A$2:$W$1214,10,FALSE))</f>
        <v/>
      </c>
      <c r="AF134" s="29"/>
      <c r="AG134" s="29"/>
      <c r="AH134" s="29"/>
      <c r="AI134" s="32"/>
      <c r="AJ134" s="35"/>
      <c r="AK134" s="396"/>
      <c r="AL134" s="32"/>
      <c r="AM134" s="35"/>
      <c r="AN134" s="35"/>
      <c r="AO134" s="179" t="str">
        <f>IF(AV134="","",VLOOKUP(AV134,'Spell Database'!$A$2:$W$1214,2,FALSE))</f>
        <v/>
      </c>
      <c r="AQ134" s="179" t="str">
        <f>IF(AV134="","",VLOOKUP(AV134,'Spell Database'!$A$2:$W$1214,5,FALSE))</f>
        <v/>
      </c>
      <c r="AS134" s="181" t="str">
        <f>IF(AV134="","",VLOOKUP(AV134,'Spell Database'!$A$2:$W$1214,6,FALSE))</f>
        <v/>
      </c>
      <c r="AT134" s="32"/>
      <c r="AV134" s="184"/>
      <c r="AW134" s="19"/>
      <c r="AX134" s="19"/>
      <c r="AY134" s="19"/>
      <c r="AZ134" s="19"/>
      <c r="BA134" s="19"/>
      <c r="BB134" s="19"/>
      <c r="BC134" s="19"/>
      <c r="BD134" s="19"/>
      <c r="BE134" s="19"/>
      <c r="BF134" s="19"/>
      <c r="BG134" s="19"/>
      <c r="BH134" s="159" t="str">
        <f>IF(AV134="","",VLOOKUP(AV134,'Spell Database'!$A$2:$W$1214,8,FALSE))</f>
        <v/>
      </c>
      <c r="BI134" s="29"/>
      <c r="BJ134" s="32"/>
      <c r="BK134" s="191" t="str">
        <f>IF(AV134="","",VLOOKUP(AV134,'Spell Database'!$A$2:$W$1214,9,FALSE))</f>
        <v/>
      </c>
      <c r="BL134" s="29"/>
      <c r="BM134" s="29"/>
      <c r="BN134" s="29"/>
      <c r="BO134" s="29"/>
      <c r="BP134" s="29"/>
      <c r="BQ134" s="29"/>
      <c r="BR134" s="159" t="str">
        <f>IF(AV134="","",VLOOKUP(AV134,'Spell Database'!$A$2:$W$1214,10,FALSE))</f>
        <v/>
      </c>
      <c r="BS134" s="29"/>
      <c r="BT134" s="29"/>
      <c r="BU134" s="29"/>
      <c r="BV134" s="32"/>
      <c r="BW134" s="35"/>
      <c r="BX134" s="396"/>
      <c r="BY134" s="32"/>
      <c r="BZ134" s="35"/>
      <c r="CA134" s="35"/>
      <c r="CB134" s="236" t="str">
        <f>IF(CI130="","",VLOOKUP(CI130,'Spell Database'!$A$2:$W$1214,11,FALSE))</f>
        <v/>
      </c>
      <c r="CC134" s="29"/>
      <c r="CD134" s="32"/>
      <c r="CF134" s="159" t="str">
        <f>IF(CI130="","",VLOOKUP(CI130,'Spell Database'!$A$2:$W$1214,4,FALSE))</f>
        <v/>
      </c>
      <c r="CG134" s="32"/>
      <c r="CI134" s="42"/>
      <c r="CJ134" s="43"/>
      <c r="CK134" s="43"/>
      <c r="CL134" s="43"/>
      <c r="CM134" s="43"/>
      <c r="CN134" s="43"/>
      <c r="CO134" s="43"/>
      <c r="CP134" s="43"/>
      <c r="CQ134" s="43"/>
      <c r="CR134" s="43"/>
      <c r="CS134" s="43"/>
      <c r="CT134" s="43"/>
      <c r="CU134" s="43"/>
      <c r="CV134" s="43"/>
      <c r="CW134" s="43"/>
      <c r="CX134" s="43"/>
      <c r="CY134" s="43"/>
      <c r="CZ134" s="43"/>
      <c r="DA134" s="43"/>
      <c r="DB134" s="43"/>
      <c r="DC134" s="43"/>
      <c r="DD134" s="43"/>
      <c r="DE134" s="43"/>
      <c r="DF134" s="43"/>
      <c r="DG134" s="43"/>
      <c r="DH134" s="43"/>
      <c r="DI134" s="44"/>
      <c r="DJ134" s="35"/>
      <c r="DK134" s="35"/>
      <c r="DL134" s="35"/>
      <c r="DM134" s="35"/>
      <c r="DN134" s="35"/>
      <c r="DO134" s="35"/>
      <c r="DP134" s="35"/>
    </row>
    <row r="135" ht="9.75" customHeight="1">
      <c r="A135" s="33"/>
      <c r="B135" s="48" t="s">
        <v>189</v>
      </c>
      <c r="D135" s="48" t="s">
        <v>190</v>
      </c>
      <c r="E135" s="53"/>
      <c r="F135" s="340" t="s">
        <v>191</v>
      </c>
      <c r="H135" s="53"/>
      <c r="I135" s="208" t="str">
        <f>IF(I134="","",VLOOKUP(I134,'Spell Database'!$A$2:$V$1214, (IFs(B134=1,"13", B134=2,"14", B134=3,"15", B134=4,"16", B134=5,"17", B134=6,"18", B134=7,"19", B134=8,"20", B134=9,"21", B134=10,"22")),FALSE))</f>
        <v/>
      </c>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21"/>
      <c r="AJ135" s="53"/>
      <c r="AK135" s="391" t="s">
        <v>196</v>
      </c>
      <c r="AL135" s="29"/>
      <c r="AM135" s="35"/>
      <c r="AN135" s="35"/>
      <c r="AO135" s="48" t="s">
        <v>189</v>
      </c>
      <c r="AQ135" s="48" t="s">
        <v>190</v>
      </c>
      <c r="AR135" s="53"/>
      <c r="AS135" s="340" t="s">
        <v>191</v>
      </c>
      <c r="AU135" s="53"/>
      <c r="AV135" s="208" t="str">
        <f>IF(AV134="","",VLOOKUP(AV134,'Spell Database'!$A$2:$V$1214, (IFs(AO134=1,"13", AO134=2,"14", AO134=3,"15", AO134=4,"16", AO134=5,"17", AO134=6,"18", AO134=7,"19", AO134=8,"20", AO134=9,"21", AO134=10,"22")),FALSE))</f>
        <v/>
      </c>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21"/>
      <c r="BW135" s="53"/>
      <c r="BX135" s="391" t="s">
        <v>196</v>
      </c>
      <c r="BY135" s="29"/>
      <c r="BZ135" s="35"/>
      <c r="CA135" s="35"/>
      <c r="CB135" s="48" t="s">
        <v>159</v>
      </c>
      <c r="CD135" s="48" t="s">
        <v>160</v>
      </c>
      <c r="CF135" s="48" t="s">
        <v>162</v>
      </c>
      <c r="CI135" s="173" t="s">
        <v>164</v>
      </c>
      <c r="CJ135" s="173"/>
      <c r="CK135" s="173"/>
      <c r="CL135" s="173"/>
      <c r="CM135" s="173"/>
      <c r="CN135" s="173"/>
      <c r="CO135" s="173"/>
      <c r="CP135" s="173"/>
      <c r="CQ135" s="173"/>
      <c r="CR135" s="173"/>
      <c r="CS135" s="173"/>
      <c r="CT135" s="173"/>
      <c r="CU135" s="48" t="s">
        <v>168</v>
      </c>
      <c r="CX135" s="48" t="s">
        <v>169</v>
      </c>
      <c r="DE135" s="48" t="s">
        <v>170</v>
      </c>
      <c r="DJ135" s="35"/>
      <c r="DK135" s="35"/>
      <c r="DL135" s="35"/>
      <c r="DM135" s="35"/>
      <c r="DN135" s="35"/>
      <c r="DO135" s="35"/>
      <c r="DP135" s="35"/>
    </row>
    <row r="136" ht="15.75" customHeight="1">
      <c r="A136" s="33"/>
      <c r="B136" s="214" t="str">
        <f>IF(I134="","",VLOOKUP(I134,'Spell Database'!$A$2:$W$1214,12,FALSE))</f>
        <v/>
      </c>
      <c r="D136" s="179" t="str">
        <f>IF(I134="","",VLOOKUP(I134,'Spell Database'!$A$2:$W$1214,3,FALSE))</f>
        <v/>
      </c>
      <c r="F136" s="181" t="str">
        <f>IF(I134="","",VLOOKUP(I134,'Spell Database'!$A$2:$W$1214,7,FALSE))</f>
        <v/>
      </c>
      <c r="G136" s="32"/>
      <c r="I136" s="40"/>
      <c r="AI136" s="41"/>
      <c r="AJ136" s="34"/>
      <c r="AK136" s="399"/>
      <c r="AL136" s="44"/>
      <c r="AM136" s="35"/>
      <c r="AN136" s="35"/>
      <c r="AO136" s="214" t="str">
        <f>IF(AV134="","",VLOOKUP(AV134,'Spell Database'!$A$2:$W$1214,12,FALSE))</f>
        <v/>
      </c>
      <c r="AQ136" s="179" t="str">
        <f>IF(AV134="","",VLOOKUP(AV134,'Spell Database'!$A$2:$W$1214,3,FALSE))</f>
        <v/>
      </c>
      <c r="AS136" s="181" t="str">
        <f>IF(AV134="","",VLOOKUP(AV134,'Spell Database'!$A$2:$W$1214,7,FALSE))</f>
        <v/>
      </c>
      <c r="AT136" s="32"/>
      <c r="AV136" s="40"/>
      <c r="BV136" s="41"/>
      <c r="BW136" s="34"/>
      <c r="BX136" s="399"/>
      <c r="BY136" s="44"/>
      <c r="BZ136" s="35"/>
      <c r="CA136" s="35"/>
      <c r="CB136" s="179" t="str">
        <f>IF(CI136="","",VLOOKUP(CI136,'Spell Database'!$A$2:$W$1214,2,FALSE))</f>
        <v/>
      </c>
      <c r="CD136" s="179" t="str">
        <f>IF(CI136="","",VLOOKUP(CI136,'Spell Database'!$A$2:$W$1214,5,FALSE))</f>
        <v/>
      </c>
      <c r="CF136" s="181" t="str">
        <f>IF(CI136="","",VLOOKUP(CI136,'Spell Database'!$A$2:$W$1214,6,FALSE))</f>
        <v/>
      </c>
      <c r="CG136" s="32"/>
      <c r="CI136" s="184"/>
      <c r="CJ136" s="19"/>
      <c r="CK136" s="19"/>
      <c r="CL136" s="19"/>
      <c r="CM136" s="19"/>
      <c r="CN136" s="19"/>
      <c r="CO136" s="19"/>
      <c r="CP136" s="19"/>
      <c r="CQ136" s="19"/>
      <c r="CR136" s="19"/>
      <c r="CS136" s="19"/>
      <c r="CT136" s="19"/>
      <c r="CU136" s="159" t="str">
        <f>IF(CI136="","",VLOOKUP(CI136,'Spell Database'!$A$2:$W$1214,8,FALSE))</f>
        <v/>
      </c>
      <c r="CV136" s="29"/>
      <c r="CW136" s="32"/>
      <c r="CX136" s="191" t="str">
        <f>IF(CI136="","",VLOOKUP(CI136,'Spell Database'!$A$2:$W$1214,9,FALSE))</f>
        <v/>
      </c>
      <c r="CY136" s="29"/>
      <c r="CZ136" s="29"/>
      <c r="DA136" s="29"/>
      <c r="DB136" s="29"/>
      <c r="DC136" s="29"/>
      <c r="DD136" s="29"/>
      <c r="DE136" s="159" t="str">
        <f>IF(CI136="","",VLOOKUP(CI136,'Spell Database'!$A$2:$W$1214,10,FALSE))</f>
        <v/>
      </c>
      <c r="DF136" s="29"/>
      <c r="DG136" s="29"/>
      <c r="DH136" s="29"/>
      <c r="DI136" s="32"/>
      <c r="DJ136" s="35"/>
      <c r="DK136" s="35"/>
      <c r="DL136" s="35"/>
      <c r="DM136" s="35"/>
      <c r="DN136" s="35"/>
      <c r="DO136" s="35"/>
      <c r="DP136" s="35"/>
    </row>
    <row r="137" ht="9.75" customHeight="1">
      <c r="A137" s="33"/>
      <c r="B137" s="48" t="s">
        <v>206</v>
      </c>
      <c r="F137" s="48" t="s">
        <v>207</v>
      </c>
      <c r="I137" s="40"/>
      <c r="AI137" s="41"/>
      <c r="AJ137" s="35"/>
      <c r="AK137" s="35"/>
      <c r="AL137" s="35"/>
      <c r="AM137" s="35"/>
      <c r="AN137" s="35"/>
      <c r="AO137" s="48" t="s">
        <v>206</v>
      </c>
      <c r="AS137" s="48" t="s">
        <v>207</v>
      </c>
      <c r="AV137" s="40"/>
      <c r="BV137" s="41"/>
      <c r="BW137" s="35"/>
      <c r="BX137" s="35"/>
      <c r="BY137" s="35"/>
      <c r="BZ137" s="35"/>
      <c r="CA137" s="35"/>
      <c r="CB137" s="48" t="s">
        <v>189</v>
      </c>
      <c r="CD137" s="48" t="s">
        <v>190</v>
      </c>
      <c r="CE137" s="53"/>
      <c r="CF137" s="340" t="s">
        <v>191</v>
      </c>
      <c r="CH137" s="53"/>
      <c r="CI137" s="208" t="str">
        <f>IF(CI136="","",VLOOKUP(CI136,'Spell Database'!$A$2:$V$1214, (IFs(CB136=1,"13", CB136=2,"14", CB136=3,"15", CB136=4,"16", CB136=5,"17", CB136=6,"18", CB136=7,"19", CB136=8,"20", CB136=9,"21", CB136=10,"22")),FALSE))</f>
        <v/>
      </c>
      <c r="CJ137" s="19"/>
      <c r="CK137" s="19"/>
      <c r="CL137" s="19"/>
      <c r="CM137" s="19"/>
      <c r="CN137" s="19"/>
      <c r="CO137" s="19"/>
      <c r="CP137" s="19"/>
      <c r="CQ137" s="19"/>
      <c r="CR137" s="19"/>
      <c r="CS137" s="19"/>
      <c r="CT137" s="19"/>
      <c r="CU137" s="19"/>
      <c r="CV137" s="19"/>
      <c r="CW137" s="19"/>
      <c r="CX137" s="19"/>
      <c r="CY137" s="19"/>
      <c r="CZ137" s="19"/>
      <c r="DA137" s="19"/>
      <c r="DB137" s="19"/>
      <c r="DC137" s="19"/>
      <c r="DD137" s="19"/>
      <c r="DE137" s="19"/>
      <c r="DF137" s="19"/>
      <c r="DG137" s="19"/>
      <c r="DH137" s="19"/>
      <c r="DI137" s="21"/>
      <c r="DJ137" s="35"/>
      <c r="DK137" s="35"/>
      <c r="DL137" s="35"/>
      <c r="DM137" s="35"/>
      <c r="DN137" s="35"/>
      <c r="DO137" s="35"/>
      <c r="DP137" s="35"/>
    </row>
    <row r="138" ht="15.75" customHeight="1">
      <c r="A138" s="33"/>
      <c r="B138" s="236" t="str">
        <f>IF(I134="","",VLOOKUP(I134,'Spell Database'!$A$2:$W$1214,11,FALSE))</f>
        <v/>
      </c>
      <c r="C138" s="29"/>
      <c r="D138" s="32"/>
      <c r="F138" s="159" t="str">
        <f>IF(I134="","",VLOOKUP(I134,'Spell Database'!$A$2:$W$1214,4,FALSE))</f>
        <v/>
      </c>
      <c r="G138" s="32"/>
      <c r="I138" s="42"/>
      <c r="J138" s="43"/>
      <c r="K138" s="43"/>
      <c r="L138" s="43"/>
      <c r="M138" s="43"/>
      <c r="N138" s="43"/>
      <c r="O138" s="43"/>
      <c r="P138" s="43"/>
      <c r="Q138" s="43"/>
      <c r="R138" s="43"/>
      <c r="S138" s="43"/>
      <c r="T138" s="43"/>
      <c r="U138" s="43"/>
      <c r="V138" s="43"/>
      <c r="W138" s="43"/>
      <c r="X138" s="43"/>
      <c r="Y138" s="43"/>
      <c r="Z138" s="43"/>
      <c r="AA138" s="43"/>
      <c r="AB138" s="43"/>
      <c r="AC138" s="43"/>
      <c r="AD138" s="43"/>
      <c r="AE138" s="43"/>
      <c r="AF138" s="43"/>
      <c r="AG138" s="43"/>
      <c r="AH138" s="43"/>
      <c r="AI138" s="44"/>
      <c r="AJ138" s="34"/>
      <c r="AK138" s="35"/>
      <c r="AL138" s="35"/>
      <c r="AM138" s="35"/>
      <c r="AN138" s="35"/>
      <c r="AO138" s="236" t="str">
        <f>IF(AV134="","",VLOOKUP(AV134,'Spell Database'!$A$2:$W$1214,11,FALSE))</f>
        <v/>
      </c>
      <c r="AP138" s="29"/>
      <c r="AQ138" s="32"/>
      <c r="AS138" s="159" t="str">
        <f>IF(AV134="","",VLOOKUP(AV134,'Spell Database'!$A$2:$W$1214,4,FALSE))</f>
        <v/>
      </c>
      <c r="AT138" s="32"/>
      <c r="AV138" s="42"/>
      <c r="AW138" s="43"/>
      <c r="AX138" s="43"/>
      <c r="AY138" s="43"/>
      <c r="AZ138" s="43"/>
      <c r="BA138" s="43"/>
      <c r="BB138" s="43"/>
      <c r="BC138" s="43"/>
      <c r="BD138" s="43"/>
      <c r="BE138" s="43"/>
      <c r="BF138" s="43"/>
      <c r="BG138" s="43"/>
      <c r="BH138" s="43"/>
      <c r="BI138" s="43"/>
      <c r="BJ138" s="43"/>
      <c r="BK138" s="43"/>
      <c r="BL138" s="43"/>
      <c r="BM138" s="43"/>
      <c r="BN138" s="43"/>
      <c r="BO138" s="43"/>
      <c r="BP138" s="43"/>
      <c r="BQ138" s="43"/>
      <c r="BR138" s="43"/>
      <c r="BS138" s="43"/>
      <c r="BT138" s="43"/>
      <c r="BU138" s="43"/>
      <c r="BV138" s="44"/>
      <c r="BW138" s="34"/>
      <c r="BX138" s="35"/>
      <c r="BY138" s="35"/>
      <c r="BZ138" s="35"/>
      <c r="CA138" s="35"/>
      <c r="CB138" s="214" t="str">
        <f>IF(CI136="","",VLOOKUP(CI136,'Spell Database'!$A$2:$W$1214,12,FALSE))</f>
        <v/>
      </c>
      <c r="CD138" s="179" t="str">
        <f>IF(CI136="","",VLOOKUP(CI136,'Spell Database'!$A$2:$W$1214,3,FALSE))</f>
        <v/>
      </c>
      <c r="CF138" s="181" t="str">
        <f>IF(CI136="","",VLOOKUP(CI136,'Spell Database'!$A$2:$W$1214,7,FALSE))</f>
        <v/>
      </c>
      <c r="CG138" s="32"/>
      <c r="CI138" s="40"/>
      <c r="DI138" s="41"/>
      <c r="DJ138" s="35"/>
      <c r="DK138" s="35"/>
      <c r="DL138" s="35"/>
      <c r="DM138" s="35"/>
      <c r="DN138" s="35"/>
      <c r="DO138" s="35"/>
      <c r="DP138" s="35"/>
    </row>
    <row r="139" ht="9.75" customHeight="1">
      <c r="A139" s="33"/>
      <c r="B139" s="48" t="s">
        <v>159</v>
      </c>
      <c r="D139" s="48" t="s">
        <v>160</v>
      </c>
      <c r="F139" s="48" t="s">
        <v>162</v>
      </c>
      <c r="I139" s="173" t="s">
        <v>164</v>
      </c>
      <c r="J139" s="173"/>
      <c r="K139" s="173"/>
      <c r="L139" s="173"/>
      <c r="M139" s="173"/>
      <c r="N139" s="173"/>
      <c r="O139" s="173"/>
      <c r="P139" s="173"/>
      <c r="Q139" s="173"/>
      <c r="R139" s="173"/>
      <c r="S139" s="173"/>
      <c r="T139" s="173"/>
      <c r="U139" s="48" t="s">
        <v>168</v>
      </c>
      <c r="X139" s="48" t="s">
        <v>169</v>
      </c>
      <c r="AE139" s="48" t="s">
        <v>170</v>
      </c>
      <c r="AJ139" s="35"/>
      <c r="AK139" s="53" t="s">
        <v>1347</v>
      </c>
      <c r="AM139" s="35"/>
      <c r="AN139" s="35"/>
      <c r="AO139" s="48" t="s">
        <v>159</v>
      </c>
      <c r="AQ139" s="48" t="s">
        <v>160</v>
      </c>
      <c r="AS139" s="48" t="s">
        <v>162</v>
      </c>
      <c r="AV139" s="173" t="s">
        <v>164</v>
      </c>
      <c r="AW139" s="173"/>
      <c r="AX139" s="173"/>
      <c r="AY139" s="173"/>
      <c r="AZ139" s="173"/>
      <c r="BA139" s="173"/>
      <c r="BB139" s="173"/>
      <c r="BC139" s="173"/>
      <c r="BD139" s="173"/>
      <c r="BE139" s="173"/>
      <c r="BF139" s="173"/>
      <c r="BG139" s="173"/>
      <c r="BH139" s="48" t="s">
        <v>168</v>
      </c>
      <c r="BK139" s="48" t="s">
        <v>169</v>
      </c>
      <c r="BR139" s="48" t="s">
        <v>170</v>
      </c>
      <c r="BW139" s="35"/>
      <c r="BX139" s="53" t="s">
        <v>1347</v>
      </c>
      <c r="BZ139" s="35"/>
      <c r="CA139" s="35"/>
      <c r="CB139" s="48" t="s">
        <v>206</v>
      </c>
      <c r="CF139" s="48" t="s">
        <v>207</v>
      </c>
      <c r="CI139" s="40"/>
      <c r="DI139" s="41"/>
      <c r="DJ139" s="35"/>
      <c r="DK139" s="35"/>
      <c r="DL139" s="35"/>
      <c r="DM139" s="35"/>
      <c r="DN139" s="35"/>
      <c r="DO139" s="35"/>
      <c r="DP139" s="35"/>
    </row>
    <row r="140" ht="15.75" customHeight="1">
      <c r="A140" s="33"/>
      <c r="B140" s="179" t="str">
        <f>IF(I140="","",VLOOKUP(I140,'Spell Database'!$A$2:$W$1214,2,FALSE))</f>
        <v/>
      </c>
      <c r="D140" s="179" t="str">
        <f>IF(I140="","",VLOOKUP(I140,'Spell Database'!$A$2:$W$1214,5,FALSE))</f>
        <v/>
      </c>
      <c r="F140" s="181" t="str">
        <f>IF(I140="","",VLOOKUP(I140,'Spell Database'!$A$2:$W$1214,6,FALSE))</f>
        <v/>
      </c>
      <c r="G140" s="32"/>
      <c r="I140" s="184"/>
      <c r="J140" s="19"/>
      <c r="K140" s="19"/>
      <c r="L140" s="19"/>
      <c r="M140" s="19"/>
      <c r="N140" s="19"/>
      <c r="O140" s="19"/>
      <c r="P140" s="19"/>
      <c r="Q140" s="19"/>
      <c r="R140" s="19"/>
      <c r="S140" s="19"/>
      <c r="T140" s="19"/>
      <c r="U140" s="159" t="str">
        <f>IF(I140="","",VLOOKUP(I140,'Spell Database'!$A$2:$W$1214,8,FALSE))</f>
        <v/>
      </c>
      <c r="V140" s="29"/>
      <c r="W140" s="32"/>
      <c r="X140" s="191" t="str">
        <f>IF(I140="","",VLOOKUP(I140,'Spell Database'!$A$2:$W$1214,9,FALSE))</f>
        <v/>
      </c>
      <c r="Y140" s="29"/>
      <c r="Z140" s="29"/>
      <c r="AA140" s="29"/>
      <c r="AB140" s="29"/>
      <c r="AC140" s="29"/>
      <c r="AD140" s="29"/>
      <c r="AE140" s="159" t="str">
        <f>IF(I140="","",VLOOKUP(I140,'Spell Database'!$A$2:$W$1214,10,FALSE))</f>
        <v/>
      </c>
      <c r="AF140" s="29"/>
      <c r="AG140" s="29"/>
      <c r="AH140" s="29"/>
      <c r="AI140" s="32"/>
      <c r="AJ140" s="35"/>
      <c r="AK140" s="396"/>
      <c r="AL140" s="32"/>
      <c r="AM140" s="35"/>
      <c r="AN140" s="35"/>
      <c r="AO140" s="179" t="str">
        <f>IF(AV140="","",VLOOKUP(AV140,'Spell Database'!$A$2:$W$1214,2,FALSE))</f>
        <v/>
      </c>
      <c r="AQ140" s="179" t="str">
        <f>IF(AV140="","",VLOOKUP(AV140,'Spell Database'!$A$2:$W$1214,5,FALSE))</f>
        <v/>
      </c>
      <c r="AS140" s="181" t="str">
        <f>IF(AV140="","",VLOOKUP(AV140,'Spell Database'!$A$2:$W$1214,6,FALSE))</f>
        <v/>
      </c>
      <c r="AT140" s="32"/>
      <c r="AV140" s="184"/>
      <c r="AW140" s="19"/>
      <c r="AX140" s="19"/>
      <c r="AY140" s="19"/>
      <c r="AZ140" s="19"/>
      <c r="BA140" s="19"/>
      <c r="BB140" s="19"/>
      <c r="BC140" s="19"/>
      <c r="BD140" s="19"/>
      <c r="BE140" s="19"/>
      <c r="BF140" s="19"/>
      <c r="BG140" s="19"/>
      <c r="BH140" s="159" t="str">
        <f>IF(AV140="","",VLOOKUP(AV140,'Spell Database'!$A$2:$W$1214,8,FALSE))</f>
        <v/>
      </c>
      <c r="BI140" s="29"/>
      <c r="BJ140" s="32"/>
      <c r="BK140" s="191" t="str">
        <f>IF(AV140="","",VLOOKUP(AV140,'Spell Database'!$A$2:$W$1214,9,FALSE))</f>
        <v/>
      </c>
      <c r="BL140" s="29"/>
      <c r="BM140" s="29"/>
      <c r="BN140" s="29"/>
      <c r="BO140" s="29"/>
      <c r="BP140" s="29"/>
      <c r="BQ140" s="29"/>
      <c r="BR140" s="159" t="str">
        <f>IF(AV140="","",VLOOKUP(AV140,'Spell Database'!$A$2:$W$1214,10,FALSE))</f>
        <v/>
      </c>
      <c r="BS140" s="29"/>
      <c r="BT140" s="29"/>
      <c r="BU140" s="29"/>
      <c r="BV140" s="32"/>
      <c r="BW140" s="35"/>
      <c r="BX140" s="396"/>
      <c r="BY140" s="32"/>
      <c r="BZ140" s="35"/>
      <c r="CA140" s="35"/>
      <c r="CB140" s="236" t="str">
        <f>IF(CI136="","",VLOOKUP(CI136,'Spell Database'!$A$2:$W$1214,11,FALSE))</f>
        <v/>
      </c>
      <c r="CC140" s="29"/>
      <c r="CD140" s="32"/>
      <c r="CF140" s="159" t="str">
        <f>IF(CI136="","",VLOOKUP(CI136,'Spell Database'!$A$2:$W$1214,4,FALSE))</f>
        <v/>
      </c>
      <c r="CG140" s="32"/>
      <c r="CI140" s="42"/>
      <c r="CJ140" s="43"/>
      <c r="CK140" s="43"/>
      <c r="CL140" s="43"/>
      <c r="CM140" s="43"/>
      <c r="CN140" s="43"/>
      <c r="CO140" s="43"/>
      <c r="CP140" s="43"/>
      <c r="CQ140" s="43"/>
      <c r="CR140" s="43"/>
      <c r="CS140" s="43"/>
      <c r="CT140" s="43"/>
      <c r="CU140" s="43"/>
      <c r="CV140" s="43"/>
      <c r="CW140" s="43"/>
      <c r="CX140" s="43"/>
      <c r="CY140" s="43"/>
      <c r="CZ140" s="43"/>
      <c r="DA140" s="43"/>
      <c r="DB140" s="43"/>
      <c r="DC140" s="43"/>
      <c r="DD140" s="43"/>
      <c r="DE140" s="43"/>
      <c r="DF140" s="43"/>
      <c r="DG140" s="43"/>
      <c r="DH140" s="43"/>
      <c r="DI140" s="44"/>
      <c r="DJ140" s="35"/>
      <c r="DK140" s="35"/>
      <c r="DL140" s="35"/>
      <c r="DM140" s="35"/>
      <c r="DN140" s="35"/>
      <c r="DO140" s="35"/>
      <c r="DP140" s="35"/>
    </row>
    <row r="141" ht="9.75" customHeight="1">
      <c r="A141" s="33"/>
      <c r="B141" s="48" t="s">
        <v>189</v>
      </c>
      <c r="D141" s="48" t="s">
        <v>190</v>
      </c>
      <c r="E141" s="53"/>
      <c r="F141" s="340" t="s">
        <v>191</v>
      </c>
      <c r="H141" s="53"/>
      <c r="I141" s="208" t="str">
        <f>IF(I140="","",VLOOKUP(I140,'Spell Database'!$A$2:$V$1214, (IFs(B140=1,"13", B140=2,"14", B140=3,"15", B140=4,"16", B140=5,"17", B140=6,"18", B140=7,"19", B140=8,"20", B140=9,"21", B140=10,"22")),FALSE))</f>
        <v/>
      </c>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21"/>
      <c r="AJ141" s="53"/>
      <c r="AK141" s="391" t="s">
        <v>196</v>
      </c>
      <c r="AL141" s="29"/>
      <c r="AM141" s="35"/>
      <c r="AN141" s="35"/>
      <c r="AO141" s="48" t="s">
        <v>189</v>
      </c>
      <c r="AQ141" s="48" t="s">
        <v>190</v>
      </c>
      <c r="AR141" s="53"/>
      <c r="AS141" s="340" t="s">
        <v>191</v>
      </c>
      <c r="AU141" s="53"/>
      <c r="AV141" s="208" t="str">
        <f>IF(AV140="","",VLOOKUP(AV140,'Spell Database'!$A$2:$V$1214, (IFs(AO140=1,"13", AO140=2,"14", AO140=3,"15", AO140=4,"16", AO140=5,"17", AO140=6,"18", AO140=7,"19", AO140=8,"20", AO140=9,"21", AO140=10,"22")),FALSE))</f>
        <v/>
      </c>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21"/>
      <c r="BW141" s="53"/>
      <c r="BX141" s="391" t="s">
        <v>196</v>
      </c>
      <c r="BY141" s="29"/>
      <c r="BZ141" s="35"/>
      <c r="CA141" s="35"/>
      <c r="CB141" s="48" t="s">
        <v>159</v>
      </c>
      <c r="CD141" s="48" t="s">
        <v>160</v>
      </c>
      <c r="CF141" s="48" t="s">
        <v>162</v>
      </c>
      <c r="CI141" s="173" t="s">
        <v>164</v>
      </c>
      <c r="CJ141" s="173"/>
      <c r="CK141" s="173"/>
      <c r="CL141" s="173"/>
      <c r="CM141" s="173"/>
      <c r="CN141" s="173"/>
      <c r="CO141" s="173"/>
      <c r="CP141" s="173"/>
      <c r="CQ141" s="173"/>
      <c r="CR141" s="173"/>
      <c r="CS141" s="173"/>
      <c r="CT141" s="173"/>
      <c r="CU141" s="48" t="s">
        <v>168</v>
      </c>
      <c r="CX141" s="48" t="s">
        <v>169</v>
      </c>
      <c r="DE141" s="48" t="s">
        <v>170</v>
      </c>
      <c r="DJ141" s="35"/>
      <c r="DK141" s="35"/>
      <c r="DL141" s="35"/>
      <c r="DM141" s="35"/>
      <c r="DN141" s="35"/>
      <c r="DO141" s="35"/>
      <c r="DP141" s="35"/>
    </row>
    <row r="142" ht="16.5" customHeight="1">
      <c r="A142" s="33"/>
      <c r="B142" s="214" t="str">
        <f>IF(I140="","",VLOOKUP(I140,'Spell Database'!$A$2:$W$1214,12,FALSE))</f>
        <v/>
      </c>
      <c r="D142" s="179" t="str">
        <f>IF(I140="","",VLOOKUP(I140,'Spell Database'!$A$2:$W$1214,3,FALSE))</f>
        <v/>
      </c>
      <c r="F142" s="181" t="str">
        <f>IF(I140="","",VLOOKUP(I140,'Spell Database'!$A$2:$W$1214,7,FALSE))</f>
        <v/>
      </c>
      <c r="G142" s="32"/>
      <c r="I142" s="40"/>
      <c r="AI142" s="41"/>
      <c r="AJ142" s="34"/>
      <c r="AK142" s="399"/>
      <c r="AL142" s="44"/>
      <c r="AM142" s="35"/>
      <c r="AN142" s="35"/>
      <c r="AO142" s="214" t="str">
        <f>IF(AV140="","",VLOOKUP(AV140,'Spell Database'!$A$2:$W$1214,12,FALSE))</f>
        <v/>
      </c>
      <c r="AQ142" s="179" t="str">
        <f>IF(AV140="","",VLOOKUP(AV140,'Spell Database'!$A$2:$W$1214,3,FALSE))</f>
        <v/>
      </c>
      <c r="AS142" s="181" t="str">
        <f>IF(AV140="","",VLOOKUP(AV140,'Spell Database'!$A$2:$W$1214,7,FALSE))</f>
        <v/>
      </c>
      <c r="AT142" s="32"/>
      <c r="AV142" s="40"/>
      <c r="BV142" s="41"/>
      <c r="BW142" s="34"/>
      <c r="BX142" s="399"/>
      <c r="BY142" s="44"/>
      <c r="BZ142" s="35"/>
      <c r="CA142" s="35"/>
      <c r="CB142" s="179" t="str">
        <f>IF(CI142="","",VLOOKUP(CI142,'Spell Database'!$A$2:$W$1214,2,FALSE))</f>
        <v/>
      </c>
      <c r="CD142" s="179" t="str">
        <f>IF(CI142="","",VLOOKUP(CI142,'Spell Database'!$A$2:$W$1214,5,FALSE))</f>
        <v/>
      </c>
      <c r="CF142" s="181" t="str">
        <f>IF(CI142="","",VLOOKUP(CI142,'Spell Database'!$A$2:$W$1214,6,FALSE))</f>
        <v/>
      </c>
      <c r="CG142" s="32"/>
      <c r="CI142" s="184"/>
      <c r="CJ142" s="19"/>
      <c r="CK142" s="19"/>
      <c r="CL142" s="19"/>
      <c r="CM142" s="19"/>
      <c r="CN142" s="19"/>
      <c r="CO142" s="19"/>
      <c r="CP142" s="19"/>
      <c r="CQ142" s="19"/>
      <c r="CR142" s="19"/>
      <c r="CS142" s="19"/>
      <c r="CT142" s="19"/>
      <c r="CU142" s="159" t="str">
        <f>IF(CI142="","",VLOOKUP(CI142,'Spell Database'!$A$2:$W$1214,8,FALSE))</f>
        <v/>
      </c>
      <c r="CV142" s="29"/>
      <c r="CW142" s="32"/>
      <c r="CX142" s="191" t="str">
        <f>IF(CI142="","",VLOOKUP(CI142,'Spell Database'!$A$2:$W$1214,9,FALSE))</f>
        <v/>
      </c>
      <c r="CY142" s="29"/>
      <c r="CZ142" s="29"/>
      <c r="DA142" s="29"/>
      <c r="DB142" s="29"/>
      <c r="DC142" s="29"/>
      <c r="DD142" s="29"/>
      <c r="DE142" s="159" t="str">
        <f>IF(CI142="","",VLOOKUP(CI142,'Spell Database'!$A$2:$W$1214,10,FALSE))</f>
        <v/>
      </c>
      <c r="DF142" s="29"/>
      <c r="DG142" s="29"/>
      <c r="DH142" s="29"/>
      <c r="DI142" s="32"/>
      <c r="DJ142" s="35"/>
      <c r="DK142" s="35"/>
      <c r="DL142" s="35"/>
      <c r="DM142" s="35"/>
      <c r="DN142" s="35"/>
      <c r="DO142" s="35"/>
      <c r="DP142" s="35"/>
    </row>
    <row r="143" ht="9.75" customHeight="1">
      <c r="A143" s="33"/>
      <c r="B143" s="48" t="s">
        <v>206</v>
      </c>
      <c r="F143" s="48" t="s">
        <v>207</v>
      </c>
      <c r="I143" s="40"/>
      <c r="AI143" s="41"/>
      <c r="AJ143" s="35"/>
      <c r="AK143" s="35"/>
      <c r="AL143" s="35"/>
      <c r="AM143" s="48"/>
      <c r="AN143" s="48"/>
      <c r="AO143" s="48" t="s">
        <v>206</v>
      </c>
      <c r="AS143" s="48" t="s">
        <v>207</v>
      </c>
      <c r="AV143" s="40"/>
      <c r="BV143" s="41"/>
      <c r="BW143" s="35"/>
      <c r="BX143" s="35"/>
      <c r="BY143" s="35"/>
      <c r="BZ143" s="35"/>
      <c r="CA143" s="35"/>
      <c r="CB143" s="48" t="s">
        <v>189</v>
      </c>
      <c r="CD143" s="48" t="s">
        <v>190</v>
      </c>
      <c r="CE143" s="53"/>
      <c r="CF143" s="340" t="s">
        <v>191</v>
      </c>
      <c r="CH143" s="53"/>
      <c r="CI143" s="208" t="str">
        <f>IF(CI142="","",VLOOKUP(CI142,'Spell Database'!$A$2:$V$1214, (IFs(CB142=1,"13", CB142=2,"14", CB142=3,"15", CB142=4,"16", CB142=5,"17", CB142=6,"18", CB142=7,"19", CB142=8,"20", CB142=9,"21", CB142=10,"22")),FALSE))</f>
        <v/>
      </c>
      <c r="CJ143" s="19"/>
      <c r="CK143" s="19"/>
      <c r="CL143" s="19"/>
      <c r="CM143" s="19"/>
      <c r="CN143" s="19"/>
      <c r="CO143" s="19"/>
      <c r="CP143" s="19"/>
      <c r="CQ143" s="19"/>
      <c r="CR143" s="19"/>
      <c r="CS143" s="19"/>
      <c r="CT143" s="19"/>
      <c r="CU143" s="19"/>
      <c r="CV143" s="19"/>
      <c r="CW143" s="19"/>
      <c r="CX143" s="19"/>
      <c r="CY143" s="19"/>
      <c r="CZ143" s="19"/>
      <c r="DA143" s="19"/>
      <c r="DB143" s="19"/>
      <c r="DC143" s="19"/>
      <c r="DD143" s="19"/>
      <c r="DE143" s="19"/>
      <c r="DF143" s="19"/>
      <c r="DG143" s="19"/>
      <c r="DH143" s="19"/>
      <c r="DI143" s="21"/>
      <c r="DJ143" s="35"/>
      <c r="DK143" s="35"/>
      <c r="DL143" s="35"/>
      <c r="DM143" s="35"/>
      <c r="DN143" s="35"/>
      <c r="DO143" s="35"/>
      <c r="DP143" s="35"/>
    </row>
    <row r="144" ht="16.5" customHeight="1">
      <c r="A144" s="33"/>
      <c r="B144" s="236" t="str">
        <f>IF(I140="","",VLOOKUP(I140,'Spell Database'!$A$2:$W$1214,11,FALSE))</f>
        <v/>
      </c>
      <c r="C144" s="29"/>
      <c r="D144" s="32"/>
      <c r="F144" s="159" t="str">
        <f>IF(I140="","",VLOOKUP(I140,'Spell Database'!$A$2:$W$1214,4,FALSE))</f>
        <v/>
      </c>
      <c r="G144" s="32"/>
      <c r="I144" s="42"/>
      <c r="J144" s="43"/>
      <c r="K144" s="43"/>
      <c r="L144" s="43"/>
      <c r="M144" s="43"/>
      <c r="N144" s="43"/>
      <c r="O144" s="43"/>
      <c r="P144" s="43"/>
      <c r="Q144" s="43"/>
      <c r="R144" s="43"/>
      <c r="S144" s="43"/>
      <c r="T144" s="43"/>
      <c r="U144" s="43"/>
      <c r="V144" s="43"/>
      <c r="W144" s="43"/>
      <c r="X144" s="43"/>
      <c r="Y144" s="43"/>
      <c r="Z144" s="43"/>
      <c r="AA144" s="43"/>
      <c r="AB144" s="43"/>
      <c r="AC144" s="43"/>
      <c r="AD144" s="43"/>
      <c r="AE144" s="43"/>
      <c r="AF144" s="43"/>
      <c r="AG144" s="43"/>
      <c r="AH144" s="43"/>
      <c r="AI144" s="44"/>
      <c r="AJ144" s="34"/>
      <c r="AK144" s="35"/>
      <c r="AL144" s="35"/>
      <c r="AM144" s="476"/>
      <c r="AN144" s="476"/>
      <c r="AO144" s="236" t="str">
        <f>IF(AV140="","",VLOOKUP(AV140,'Spell Database'!$A$2:$W$1214,11,FALSE))</f>
        <v/>
      </c>
      <c r="AP144" s="29"/>
      <c r="AQ144" s="32"/>
      <c r="AS144" s="159" t="str">
        <f>IF(AV140="","",VLOOKUP(AV140,'Spell Database'!$A$2:$W$1214,4,FALSE))</f>
        <v/>
      </c>
      <c r="AT144" s="32"/>
      <c r="AV144" s="42"/>
      <c r="AW144" s="43"/>
      <c r="AX144" s="43"/>
      <c r="AY144" s="43"/>
      <c r="AZ144" s="43"/>
      <c r="BA144" s="43"/>
      <c r="BB144" s="43"/>
      <c r="BC144" s="43"/>
      <c r="BD144" s="43"/>
      <c r="BE144" s="43"/>
      <c r="BF144" s="43"/>
      <c r="BG144" s="43"/>
      <c r="BH144" s="43"/>
      <c r="BI144" s="43"/>
      <c r="BJ144" s="43"/>
      <c r="BK144" s="43"/>
      <c r="BL144" s="43"/>
      <c r="BM144" s="43"/>
      <c r="BN144" s="43"/>
      <c r="BO144" s="43"/>
      <c r="BP144" s="43"/>
      <c r="BQ144" s="43"/>
      <c r="BR144" s="43"/>
      <c r="BS144" s="43"/>
      <c r="BT144" s="43"/>
      <c r="BU144" s="43"/>
      <c r="BV144" s="44"/>
      <c r="BW144" s="34"/>
      <c r="BX144" s="35"/>
      <c r="BY144" s="35"/>
      <c r="BZ144" s="35"/>
      <c r="CA144" s="35"/>
      <c r="CB144" s="214" t="str">
        <f>IF(CI142="","",VLOOKUP(CI142,'Spell Database'!$A$2:$W$1214,12,FALSE))</f>
        <v/>
      </c>
      <c r="CD144" s="179" t="str">
        <f>IF(CI142="","",VLOOKUP(CI142,'Spell Database'!$A$2:$W$1214,3,FALSE))</f>
        <v/>
      </c>
      <c r="CF144" s="181" t="str">
        <f>IF(CI142="","",VLOOKUP(CI142,'Spell Database'!$A$2:$W$1214,7,FALSE))</f>
        <v/>
      </c>
      <c r="CG144" s="32"/>
      <c r="CI144" s="40"/>
      <c r="DI144" s="41"/>
      <c r="DJ144" s="35"/>
      <c r="DK144" s="35"/>
      <c r="DL144" s="35"/>
      <c r="DM144" s="35"/>
      <c r="DN144" s="35"/>
      <c r="DO144" s="35"/>
      <c r="DP144" s="35"/>
    </row>
    <row r="145" ht="9.75" customHeight="1">
      <c r="A145" s="33"/>
      <c r="B145" s="476"/>
      <c r="C145" s="476"/>
      <c r="D145" s="476"/>
      <c r="E145" s="476"/>
      <c r="F145" s="476"/>
      <c r="G145" s="476"/>
      <c r="H145" s="476"/>
      <c r="I145" s="476"/>
      <c r="J145" s="476"/>
      <c r="K145" s="476"/>
      <c r="L145" s="476"/>
      <c r="M145" s="476"/>
      <c r="N145" s="476"/>
      <c r="O145" s="476"/>
      <c r="P145" s="476"/>
      <c r="Q145" s="476"/>
      <c r="R145" s="476"/>
      <c r="S145" s="476"/>
      <c r="T145" s="476"/>
      <c r="U145" s="476"/>
      <c r="V145" s="476"/>
      <c r="W145" s="476"/>
      <c r="X145" s="476"/>
      <c r="Y145" s="476"/>
      <c r="Z145" s="476"/>
      <c r="AA145" s="476"/>
      <c r="AB145" s="476"/>
      <c r="AC145" s="476"/>
      <c r="AD145" s="476"/>
      <c r="AE145" s="476"/>
      <c r="AF145" s="476"/>
      <c r="AG145" s="476"/>
      <c r="AH145" s="476"/>
      <c r="AI145" s="476"/>
      <c r="AJ145" s="476"/>
      <c r="AK145" s="476"/>
      <c r="AL145" s="476"/>
      <c r="AM145" s="476"/>
      <c r="AN145" s="476"/>
      <c r="AO145" s="476"/>
      <c r="AP145" s="476"/>
      <c r="AQ145" s="476"/>
      <c r="AR145" s="476"/>
      <c r="AS145" s="476"/>
      <c r="AT145" s="476"/>
      <c r="AU145" s="476"/>
      <c r="AV145" s="476"/>
      <c r="AW145" s="476"/>
      <c r="AX145" s="476"/>
      <c r="AY145" s="476"/>
      <c r="AZ145" s="476"/>
      <c r="BA145" s="476"/>
      <c r="BB145" s="476"/>
      <c r="BC145" s="476"/>
      <c r="BD145" s="476"/>
      <c r="BE145" s="476"/>
      <c r="BF145" s="476"/>
      <c r="BG145" s="476"/>
      <c r="BH145" s="476"/>
      <c r="BI145" s="476"/>
      <c r="BJ145" s="476"/>
      <c r="BK145" s="476"/>
      <c r="BL145" s="476"/>
      <c r="BM145" s="476"/>
      <c r="BN145" s="476"/>
      <c r="BO145" s="476"/>
      <c r="BP145" s="476"/>
      <c r="BQ145" s="476"/>
      <c r="BR145" s="476"/>
      <c r="BS145" s="476"/>
      <c r="BT145" s="476"/>
      <c r="BU145" s="476"/>
      <c r="BV145" s="476"/>
      <c r="BW145" s="476"/>
      <c r="BX145" s="476"/>
      <c r="BY145" s="476"/>
      <c r="BZ145" s="35"/>
      <c r="CA145" s="35"/>
      <c r="CB145" s="48" t="s">
        <v>206</v>
      </c>
      <c r="CF145" s="48" t="s">
        <v>207</v>
      </c>
      <c r="CI145" s="40"/>
      <c r="DI145" s="41"/>
      <c r="DJ145" s="35"/>
      <c r="DK145" s="35"/>
      <c r="DL145" s="35"/>
      <c r="DM145" s="35"/>
      <c r="DN145" s="35"/>
      <c r="DO145" s="35"/>
      <c r="DP145" s="35"/>
    </row>
    <row r="146" ht="15.75" customHeight="1">
      <c r="A146" s="33"/>
      <c r="B146" s="28" t="s">
        <v>6273</v>
      </c>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c r="AV146" s="29"/>
      <c r="AW146" s="29"/>
      <c r="AX146" s="29"/>
      <c r="AY146" s="29"/>
      <c r="AZ146" s="29"/>
      <c r="BA146" s="29"/>
      <c r="BB146" s="29"/>
      <c r="BC146" s="29"/>
      <c r="BD146" s="29"/>
      <c r="BE146" s="29"/>
      <c r="BF146" s="29"/>
      <c r="BG146" s="29"/>
      <c r="BH146" s="29"/>
      <c r="BI146" s="29"/>
      <c r="BJ146" s="29"/>
      <c r="BK146" s="29"/>
      <c r="BL146" s="29"/>
      <c r="BM146" s="29"/>
      <c r="BN146" s="29"/>
      <c r="BO146" s="29"/>
      <c r="BP146" s="29"/>
      <c r="BQ146" s="29"/>
      <c r="BR146" s="29"/>
      <c r="BS146" s="29"/>
      <c r="BT146" s="29"/>
      <c r="BU146" s="29"/>
      <c r="BV146" s="29"/>
      <c r="BW146" s="29"/>
      <c r="BX146" s="29"/>
      <c r="BY146" s="32"/>
      <c r="BZ146" s="35"/>
      <c r="CA146" s="35"/>
      <c r="CB146" s="236" t="str">
        <f>IF(CI142="","",VLOOKUP(CI142,'Spell Database'!$A$2:$W$1214,11,FALSE))</f>
        <v/>
      </c>
      <c r="CC146" s="29"/>
      <c r="CD146" s="32"/>
      <c r="CF146" s="159" t="str">
        <f>IF(CI142="","",VLOOKUP(CI142,'Spell Database'!$A$2:$W$1214,4,FALSE))</f>
        <v/>
      </c>
      <c r="CG146" s="32"/>
      <c r="CI146" s="42"/>
      <c r="CJ146" s="43"/>
      <c r="CK146" s="43"/>
      <c r="CL146" s="43"/>
      <c r="CM146" s="43"/>
      <c r="CN146" s="43"/>
      <c r="CO146" s="43"/>
      <c r="CP146" s="43"/>
      <c r="CQ146" s="43"/>
      <c r="CR146" s="43"/>
      <c r="CS146" s="43"/>
      <c r="CT146" s="43"/>
      <c r="CU146" s="43"/>
      <c r="CV146" s="43"/>
      <c r="CW146" s="43"/>
      <c r="CX146" s="43"/>
      <c r="CY146" s="43"/>
      <c r="CZ146" s="43"/>
      <c r="DA146" s="43"/>
      <c r="DB146" s="43"/>
      <c r="DC146" s="43"/>
      <c r="DD146" s="43"/>
      <c r="DE146" s="43"/>
      <c r="DF146" s="43"/>
      <c r="DG146" s="43"/>
      <c r="DH146" s="43"/>
      <c r="DI146" s="44"/>
      <c r="DJ146" s="35"/>
      <c r="DK146" s="35"/>
      <c r="DL146" s="35"/>
      <c r="DM146" s="35"/>
      <c r="DN146" s="35"/>
      <c r="DO146" s="35"/>
      <c r="DP146" s="35"/>
    </row>
    <row r="147" ht="9.75" customHeight="1">
      <c r="A147" s="33"/>
      <c r="B147" s="48" t="s">
        <v>159</v>
      </c>
      <c r="D147" s="48" t="s">
        <v>160</v>
      </c>
      <c r="F147" s="48" t="s">
        <v>162</v>
      </c>
      <c r="I147" s="173" t="s">
        <v>164</v>
      </c>
      <c r="J147" s="173"/>
      <c r="K147" s="173"/>
      <c r="L147" s="173"/>
      <c r="M147" s="173"/>
      <c r="N147" s="173"/>
      <c r="O147" s="173"/>
      <c r="P147" s="173"/>
      <c r="Q147" s="173"/>
      <c r="R147" s="173"/>
      <c r="S147" s="173"/>
      <c r="T147" s="173"/>
      <c r="U147" s="48" t="s">
        <v>168</v>
      </c>
      <c r="X147" s="48" t="s">
        <v>169</v>
      </c>
      <c r="AE147" s="48" t="s">
        <v>170</v>
      </c>
      <c r="AJ147" s="35"/>
      <c r="AK147" s="53" t="s">
        <v>1347</v>
      </c>
      <c r="AM147" s="35"/>
      <c r="AN147" s="35"/>
      <c r="AO147" s="48" t="s">
        <v>159</v>
      </c>
      <c r="AQ147" s="48" t="s">
        <v>160</v>
      </c>
      <c r="AS147" s="48" t="s">
        <v>162</v>
      </c>
      <c r="AV147" s="173" t="s">
        <v>164</v>
      </c>
      <c r="AW147" s="173"/>
      <c r="AX147" s="173"/>
      <c r="AY147" s="173"/>
      <c r="AZ147" s="173"/>
      <c r="BA147" s="173"/>
      <c r="BB147" s="173"/>
      <c r="BC147" s="173"/>
      <c r="BD147" s="173"/>
      <c r="BE147" s="173"/>
      <c r="BF147" s="173"/>
      <c r="BG147" s="173"/>
      <c r="BH147" s="48" t="s">
        <v>168</v>
      </c>
      <c r="BK147" s="48" t="s">
        <v>169</v>
      </c>
      <c r="BR147" s="48" t="s">
        <v>170</v>
      </c>
      <c r="BW147" s="35"/>
      <c r="BX147" s="53" t="s">
        <v>1347</v>
      </c>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c r="DJ147" s="35"/>
      <c r="DK147" s="35"/>
      <c r="DL147" s="35"/>
      <c r="DM147" s="35"/>
      <c r="DN147" s="35"/>
      <c r="DO147" s="35"/>
      <c r="DP147" s="35"/>
    </row>
    <row r="148" ht="16.5" customHeight="1">
      <c r="A148" s="33"/>
      <c r="B148" s="179" t="str">
        <f>IF(I148="","",VLOOKUP(I148,'Spell Database'!$A$2:$W$1214,2,FALSE))</f>
        <v/>
      </c>
      <c r="D148" s="179" t="str">
        <f>IF(I148="","",VLOOKUP(I148,'Spell Database'!$A$2:$W$1214,5,FALSE))</f>
        <v/>
      </c>
      <c r="F148" s="181" t="str">
        <f>IF(I148="","",VLOOKUP(I148,'Spell Database'!$A$2:$W$1214,6,FALSE))</f>
        <v/>
      </c>
      <c r="G148" s="32"/>
      <c r="I148" s="184"/>
      <c r="J148" s="19"/>
      <c r="K148" s="19"/>
      <c r="L148" s="19"/>
      <c r="M148" s="19"/>
      <c r="N148" s="19"/>
      <c r="O148" s="19"/>
      <c r="P148" s="19"/>
      <c r="Q148" s="19"/>
      <c r="R148" s="19"/>
      <c r="S148" s="19"/>
      <c r="T148" s="19"/>
      <c r="U148" s="159" t="str">
        <f>IF(I148="","",VLOOKUP(I148,'Spell Database'!$A$2:$W$1214,8,FALSE))</f>
        <v/>
      </c>
      <c r="V148" s="29"/>
      <c r="W148" s="32"/>
      <c r="X148" s="191" t="str">
        <f>IF(I148="","",VLOOKUP(I148,'Spell Database'!$A$2:$W$1214,9,FALSE))</f>
        <v/>
      </c>
      <c r="Y148" s="29"/>
      <c r="Z148" s="29"/>
      <c r="AA148" s="29"/>
      <c r="AB148" s="29"/>
      <c r="AC148" s="29"/>
      <c r="AD148" s="29"/>
      <c r="AE148" s="159" t="str">
        <f>IF(I148="","",VLOOKUP(I148,'Spell Database'!$A$2:$W$1214,10,FALSE))</f>
        <v/>
      </c>
      <c r="AF148" s="29"/>
      <c r="AG148" s="29"/>
      <c r="AH148" s="29"/>
      <c r="AI148" s="32"/>
      <c r="AJ148" s="35"/>
      <c r="AK148" s="396"/>
      <c r="AL148" s="32"/>
      <c r="AM148" s="35"/>
      <c r="AN148" s="35"/>
      <c r="AO148" s="179" t="str">
        <f>IF(AV148="","",VLOOKUP(AV148,'Spell Database'!$A$2:$W$1214,2,FALSE))</f>
        <v/>
      </c>
      <c r="AQ148" s="179" t="str">
        <f>IF(AV148="","",VLOOKUP(AV148,'Spell Database'!$A$2:$W$1214,5,FALSE))</f>
        <v/>
      </c>
      <c r="AS148" s="181" t="str">
        <f>IF(AV148="","",VLOOKUP(AV148,'Spell Database'!$A$2:$W$1214,6,FALSE))</f>
        <v/>
      </c>
      <c r="AT148" s="32"/>
      <c r="AV148" s="184"/>
      <c r="AW148" s="19"/>
      <c r="AX148" s="19"/>
      <c r="AY148" s="19"/>
      <c r="AZ148" s="19"/>
      <c r="BA148" s="19"/>
      <c r="BB148" s="19"/>
      <c r="BC148" s="19"/>
      <c r="BD148" s="19"/>
      <c r="BE148" s="19"/>
      <c r="BF148" s="19"/>
      <c r="BG148" s="19"/>
      <c r="BH148" s="159" t="str">
        <f>IF(AV148="","",VLOOKUP(AV148,'Spell Database'!$A$2:$W$1214,8,FALSE))</f>
        <v/>
      </c>
      <c r="BI148" s="29"/>
      <c r="BJ148" s="32"/>
      <c r="BK148" s="191" t="str">
        <f>IF(AV148="","",VLOOKUP(AV148,'Spell Database'!$A$2:$W$1214,9,FALSE))</f>
        <v/>
      </c>
      <c r="BL148" s="29"/>
      <c r="BM148" s="29"/>
      <c r="BN148" s="29"/>
      <c r="BO148" s="29"/>
      <c r="BP148" s="29"/>
      <c r="BQ148" s="29"/>
      <c r="BR148" s="159" t="str">
        <f>IF(AV148="","",VLOOKUP(AV148,'Spell Database'!$A$2:$W$1214,10,FALSE))</f>
        <v/>
      </c>
      <c r="BS148" s="29"/>
      <c r="BT148" s="29"/>
      <c r="BU148" s="29"/>
      <c r="BV148" s="32"/>
      <c r="BW148" s="35"/>
      <c r="BX148" s="396"/>
      <c r="BY148" s="32"/>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row>
    <row r="149" ht="9.75" customHeight="1">
      <c r="A149" s="33"/>
      <c r="B149" s="48" t="s">
        <v>189</v>
      </c>
      <c r="D149" s="48" t="s">
        <v>190</v>
      </c>
      <c r="E149" s="53"/>
      <c r="F149" s="340" t="s">
        <v>191</v>
      </c>
      <c r="H149" s="53"/>
      <c r="I149" s="208" t="str">
        <f>IF(I148="","",VLOOKUP(I148,'Spell Database'!$A$2:$V$1214, (IFs(B148=1,"13", B148=2,"14", B148=3,"15", B148=4,"16", B148=5,"17", B148=6,"18", B148=7,"19", B148=8,"20", B148=9,"21", B148=10,"22")),FALSE))</f>
        <v/>
      </c>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21"/>
      <c r="AJ149" s="53"/>
      <c r="AK149" s="391" t="s">
        <v>196</v>
      </c>
      <c r="AL149" s="29"/>
      <c r="AM149" s="35"/>
      <c r="AN149" s="35"/>
      <c r="AO149" s="48" t="s">
        <v>189</v>
      </c>
      <c r="AQ149" s="48" t="s">
        <v>190</v>
      </c>
      <c r="AR149" s="53"/>
      <c r="AS149" s="340" t="s">
        <v>191</v>
      </c>
      <c r="AU149" s="53"/>
      <c r="AV149" s="208" t="str">
        <f>IF(AV148="","",VLOOKUP(AV148,'Spell Database'!$A$2:$V$1214, (IFs(AO148=1,"13", AO148=2,"14", AO148=3,"15", AO148=4,"16", AO148=5,"17", AO148=6,"18", AO148=7,"19", AO148=8,"20", AO148=9,"21", AO148=10,"22")),FALSE))</f>
        <v/>
      </c>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21"/>
      <c r="BW149" s="53"/>
      <c r="BX149" s="391" t="s">
        <v>196</v>
      </c>
      <c r="BY149" s="29"/>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row>
    <row r="150" ht="15.75" customHeight="1">
      <c r="A150" s="33"/>
      <c r="B150" s="214" t="str">
        <f>IF(I148="","",VLOOKUP(I148,'Spell Database'!$A$2:$W$1214,12,FALSE))</f>
        <v/>
      </c>
      <c r="D150" s="179" t="str">
        <f>IF(I148="","",VLOOKUP(I148,'Spell Database'!$A$2:$W$1214,3,FALSE))</f>
        <v/>
      </c>
      <c r="F150" s="181" t="str">
        <f>IF(I148="","",VLOOKUP(I148,'Spell Database'!$A$2:$W$1214,7,FALSE))</f>
        <v/>
      </c>
      <c r="G150" s="32"/>
      <c r="I150" s="40"/>
      <c r="AI150" s="41"/>
      <c r="AJ150" s="34"/>
      <c r="AK150" s="399"/>
      <c r="AL150" s="44"/>
      <c r="AM150" s="35"/>
      <c r="AN150" s="35"/>
      <c r="AO150" s="214" t="str">
        <f>IF(AV148="","",VLOOKUP(AV148,'Spell Database'!$A$2:$W$1214,12,FALSE))</f>
        <v/>
      </c>
      <c r="AQ150" s="179" t="str">
        <f>IF(AV148="","",VLOOKUP(AV148,'Spell Database'!$A$2:$W$1214,3,FALSE))</f>
        <v/>
      </c>
      <c r="AS150" s="181" t="str">
        <f>IF(AV148="","",VLOOKUP(AV148,'Spell Database'!$A$2:$W$1214,7,FALSE))</f>
        <v/>
      </c>
      <c r="AT150" s="32"/>
      <c r="AV150" s="40"/>
      <c r="BV150" s="41"/>
      <c r="BW150" s="34"/>
      <c r="BX150" s="399"/>
      <c r="BY150" s="44"/>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row>
    <row r="151" ht="9.75" customHeight="1">
      <c r="A151" s="33"/>
      <c r="B151" s="48" t="s">
        <v>206</v>
      </c>
      <c r="F151" s="48" t="s">
        <v>207</v>
      </c>
      <c r="I151" s="40"/>
      <c r="AI151" s="41"/>
      <c r="AJ151" s="35"/>
      <c r="AK151" s="35"/>
      <c r="AL151" s="35"/>
      <c r="AM151" s="35"/>
      <c r="AN151" s="35"/>
      <c r="AO151" s="48" t="s">
        <v>206</v>
      </c>
      <c r="AS151" s="48" t="s">
        <v>207</v>
      </c>
      <c r="AV151" s="40"/>
      <c r="BV151" s="41"/>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row>
    <row r="152" ht="15.75" customHeight="1">
      <c r="A152" s="33"/>
      <c r="B152" s="236" t="str">
        <f>IF(I148="","",VLOOKUP(I148,'Spell Database'!$A$2:$W$1214,11,FALSE))</f>
        <v/>
      </c>
      <c r="C152" s="29"/>
      <c r="D152" s="32"/>
      <c r="F152" s="159" t="str">
        <f>IF(I148="","",VLOOKUP(I148,'Spell Database'!$A$2:$W$1214,4,FALSE))</f>
        <v/>
      </c>
      <c r="G152" s="32"/>
      <c r="I152" s="42"/>
      <c r="J152" s="43"/>
      <c r="K152" s="43"/>
      <c r="L152" s="43"/>
      <c r="M152" s="43"/>
      <c r="N152" s="43"/>
      <c r="O152" s="43"/>
      <c r="P152" s="43"/>
      <c r="Q152" s="43"/>
      <c r="R152" s="43"/>
      <c r="S152" s="43"/>
      <c r="T152" s="43"/>
      <c r="U152" s="43"/>
      <c r="V152" s="43"/>
      <c r="W152" s="43"/>
      <c r="X152" s="43"/>
      <c r="Y152" s="43"/>
      <c r="Z152" s="43"/>
      <c r="AA152" s="43"/>
      <c r="AB152" s="43"/>
      <c r="AC152" s="43"/>
      <c r="AD152" s="43"/>
      <c r="AE152" s="43"/>
      <c r="AF152" s="43"/>
      <c r="AG152" s="43"/>
      <c r="AH152" s="43"/>
      <c r="AI152" s="44"/>
      <c r="AJ152" s="34"/>
      <c r="AK152" s="35"/>
      <c r="AL152" s="35"/>
      <c r="AM152" s="35"/>
      <c r="AN152" s="35"/>
      <c r="AO152" s="236" t="str">
        <f>IF(AV148="","",VLOOKUP(AV148,'Spell Database'!$A$2:$W$1214,11,FALSE))</f>
        <v/>
      </c>
      <c r="AP152" s="29"/>
      <c r="AQ152" s="32"/>
      <c r="AS152" s="159" t="str">
        <f>IF(AV148="","",VLOOKUP(AV148,'Spell Database'!$A$2:$W$1214,4,FALSE))</f>
        <v/>
      </c>
      <c r="AT152" s="32"/>
      <c r="AV152" s="42"/>
      <c r="AW152" s="43"/>
      <c r="AX152" s="43"/>
      <c r="AY152" s="43"/>
      <c r="AZ152" s="43"/>
      <c r="BA152" s="43"/>
      <c r="BB152" s="43"/>
      <c r="BC152" s="43"/>
      <c r="BD152" s="43"/>
      <c r="BE152" s="43"/>
      <c r="BF152" s="43"/>
      <c r="BG152" s="43"/>
      <c r="BH152" s="43"/>
      <c r="BI152" s="43"/>
      <c r="BJ152" s="43"/>
      <c r="BK152" s="43"/>
      <c r="BL152" s="43"/>
      <c r="BM152" s="43"/>
      <c r="BN152" s="43"/>
      <c r="BO152" s="43"/>
      <c r="BP152" s="43"/>
      <c r="BQ152" s="43"/>
      <c r="BR152" s="43"/>
      <c r="BS152" s="43"/>
      <c r="BT152" s="43"/>
      <c r="BU152" s="43"/>
      <c r="BV152" s="44"/>
      <c r="BW152" s="34"/>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row>
    <row r="153" ht="9.75" customHeight="1">
      <c r="A153" s="33"/>
      <c r="B153" s="48" t="s">
        <v>159</v>
      </c>
      <c r="D153" s="48" t="s">
        <v>160</v>
      </c>
      <c r="F153" s="48" t="s">
        <v>162</v>
      </c>
      <c r="I153" s="173" t="s">
        <v>164</v>
      </c>
      <c r="J153" s="173"/>
      <c r="K153" s="173"/>
      <c r="L153" s="173"/>
      <c r="M153" s="173"/>
      <c r="N153" s="173"/>
      <c r="O153" s="173"/>
      <c r="P153" s="173"/>
      <c r="Q153" s="173"/>
      <c r="R153" s="173"/>
      <c r="S153" s="173"/>
      <c r="T153" s="173"/>
      <c r="U153" s="48" t="s">
        <v>168</v>
      </c>
      <c r="X153" s="48" t="s">
        <v>169</v>
      </c>
      <c r="AE153" s="48" t="s">
        <v>170</v>
      </c>
      <c r="AJ153" s="35"/>
      <c r="AK153" s="53" t="s">
        <v>1347</v>
      </c>
      <c r="AM153" s="35"/>
      <c r="AN153" s="35"/>
      <c r="AO153" s="48" t="s">
        <v>159</v>
      </c>
      <c r="AQ153" s="48" t="s">
        <v>160</v>
      </c>
      <c r="AS153" s="48" t="s">
        <v>162</v>
      </c>
      <c r="AV153" s="173" t="s">
        <v>164</v>
      </c>
      <c r="AW153" s="173"/>
      <c r="AX153" s="173"/>
      <c r="AY153" s="173"/>
      <c r="AZ153" s="173"/>
      <c r="BA153" s="173"/>
      <c r="BB153" s="173"/>
      <c r="BC153" s="173"/>
      <c r="BD153" s="173"/>
      <c r="BE153" s="173"/>
      <c r="BF153" s="173"/>
      <c r="BG153" s="173"/>
      <c r="BH153" s="48" t="s">
        <v>168</v>
      </c>
      <c r="BK153" s="48" t="s">
        <v>169</v>
      </c>
      <c r="BR153" s="48" t="s">
        <v>170</v>
      </c>
      <c r="BW153" s="35"/>
      <c r="BX153" s="53" t="s">
        <v>1347</v>
      </c>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row>
    <row r="154" ht="15.75" customHeight="1">
      <c r="A154" s="33"/>
      <c r="B154" s="179" t="str">
        <f>IF(I154="","",VLOOKUP(I154,'Spell Database'!$A$2:$W$1214,2,FALSE))</f>
        <v/>
      </c>
      <c r="D154" s="179" t="str">
        <f>IF(I154="","",VLOOKUP(I154,'Spell Database'!$A$2:$W$1214,5,FALSE))</f>
        <v/>
      </c>
      <c r="F154" s="181" t="str">
        <f>IF(I154="","",VLOOKUP(I154,'Spell Database'!$A$2:$W$1214,6,FALSE))</f>
        <v/>
      </c>
      <c r="G154" s="32"/>
      <c r="I154" s="184"/>
      <c r="J154" s="19"/>
      <c r="K154" s="19"/>
      <c r="L154" s="19"/>
      <c r="M154" s="19"/>
      <c r="N154" s="19"/>
      <c r="O154" s="19"/>
      <c r="P154" s="19"/>
      <c r="Q154" s="19"/>
      <c r="R154" s="19"/>
      <c r="S154" s="19"/>
      <c r="T154" s="19"/>
      <c r="U154" s="159" t="str">
        <f>IF(I154="","",VLOOKUP(I154,'Spell Database'!$A$2:$W$1214,8,FALSE))</f>
        <v/>
      </c>
      <c r="V154" s="29"/>
      <c r="W154" s="32"/>
      <c r="X154" s="191" t="str">
        <f>IF(I154="","",VLOOKUP(I154,'Spell Database'!$A$2:$W$1214,9,FALSE))</f>
        <v/>
      </c>
      <c r="Y154" s="29"/>
      <c r="Z154" s="29"/>
      <c r="AA154" s="29"/>
      <c r="AB154" s="29"/>
      <c r="AC154" s="29"/>
      <c r="AD154" s="29"/>
      <c r="AE154" s="159" t="str">
        <f>IF(I154="","",VLOOKUP(I154,'Spell Database'!$A$2:$W$1214,10,FALSE))</f>
        <v/>
      </c>
      <c r="AF154" s="29"/>
      <c r="AG154" s="29"/>
      <c r="AH154" s="29"/>
      <c r="AI154" s="32"/>
      <c r="AJ154" s="35"/>
      <c r="AK154" s="396"/>
      <c r="AL154" s="32"/>
      <c r="AM154" s="35"/>
      <c r="AN154" s="35"/>
      <c r="AO154" s="179" t="str">
        <f>IF(AV154="","",VLOOKUP(AV154,'Spell Database'!$A$2:$W$1214,2,FALSE))</f>
        <v/>
      </c>
      <c r="AQ154" s="179" t="str">
        <f>IF(AV154="","",VLOOKUP(AV154,'Spell Database'!$A$2:$W$1214,5,FALSE))</f>
        <v/>
      </c>
      <c r="AS154" s="181" t="str">
        <f>IF(AV154="","",VLOOKUP(AV154,'Spell Database'!$A$2:$W$1214,6,FALSE))</f>
        <v/>
      </c>
      <c r="AT154" s="32"/>
      <c r="AV154" s="184"/>
      <c r="AW154" s="19"/>
      <c r="AX154" s="19"/>
      <c r="AY154" s="19"/>
      <c r="AZ154" s="19"/>
      <c r="BA154" s="19"/>
      <c r="BB154" s="19"/>
      <c r="BC154" s="19"/>
      <c r="BD154" s="19"/>
      <c r="BE154" s="19"/>
      <c r="BF154" s="19"/>
      <c r="BG154" s="19"/>
      <c r="BH154" s="159" t="str">
        <f>IF(AV154="","",VLOOKUP(AV154,'Spell Database'!$A$2:$W$1214,8,FALSE))</f>
        <v/>
      </c>
      <c r="BI154" s="29"/>
      <c r="BJ154" s="32"/>
      <c r="BK154" s="191" t="str">
        <f>IF(AV154="","",VLOOKUP(AV154,'Spell Database'!$A$2:$W$1214,9,FALSE))</f>
        <v/>
      </c>
      <c r="BL154" s="29"/>
      <c r="BM154" s="29"/>
      <c r="BN154" s="29"/>
      <c r="BO154" s="29"/>
      <c r="BP154" s="29"/>
      <c r="BQ154" s="29"/>
      <c r="BR154" s="159" t="str">
        <f>IF(AV154="","",VLOOKUP(AV154,'Spell Database'!$A$2:$W$1214,10,FALSE))</f>
        <v/>
      </c>
      <c r="BS154" s="29"/>
      <c r="BT154" s="29"/>
      <c r="BU154" s="29"/>
      <c r="BV154" s="32"/>
      <c r="BW154" s="35"/>
      <c r="BX154" s="396"/>
      <c r="BY154" s="32"/>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c r="DJ154" s="35"/>
      <c r="DK154" s="35"/>
      <c r="DL154" s="35"/>
      <c r="DM154" s="35"/>
      <c r="DN154" s="35"/>
      <c r="DO154" s="35"/>
      <c r="DP154" s="35"/>
    </row>
    <row r="155" ht="9.75" customHeight="1">
      <c r="A155" s="33"/>
      <c r="B155" s="48" t="s">
        <v>189</v>
      </c>
      <c r="D155" s="48" t="s">
        <v>190</v>
      </c>
      <c r="E155" s="53"/>
      <c r="F155" s="340" t="s">
        <v>191</v>
      </c>
      <c r="H155" s="53"/>
      <c r="I155" s="208" t="str">
        <f>IF(I154="","",VLOOKUP(I154,'Spell Database'!$A$2:$V$1214, (IFs(B154=1,"13", B154=2,"14", B154=3,"15", B154=4,"16", B154=5,"17", B154=6,"18", B154=7,"19", B154=8,"20", B154=9,"21", B154=10,"22")),FALSE))</f>
        <v/>
      </c>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21"/>
      <c r="AJ155" s="53"/>
      <c r="AK155" s="391" t="s">
        <v>196</v>
      </c>
      <c r="AL155" s="29"/>
      <c r="AM155" s="35"/>
      <c r="AN155" s="35"/>
      <c r="AO155" s="48" t="s">
        <v>189</v>
      </c>
      <c r="AQ155" s="48" t="s">
        <v>190</v>
      </c>
      <c r="AR155" s="53"/>
      <c r="AS155" s="340" t="s">
        <v>191</v>
      </c>
      <c r="AU155" s="53"/>
      <c r="AV155" s="208" t="str">
        <f>IF(AV154="","",VLOOKUP(AV154,'Spell Database'!$A$2:$V$1214, (IFs(AO154=1,"13", AO154=2,"14", AO154=3,"15", AO154=4,"16", AO154=5,"17", AO154=6,"18", AO154=7,"19", AO154=8,"20", AO154=9,"21", AO154=10,"22")),FALSE))</f>
        <v/>
      </c>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21"/>
      <c r="BW155" s="53"/>
      <c r="BX155" s="391" t="s">
        <v>196</v>
      </c>
      <c r="BY155" s="29"/>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c r="DJ155" s="35"/>
      <c r="DK155" s="35"/>
      <c r="DL155" s="35"/>
      <c r="DM155" s="35"/>
      <c r="DN155" s="35"/>
      <c r="DO155" s="35"/>
      <c r="DP155" s="35"/>
    </row>
    <row r="156" ht="15.75" customHeight="1">
      <c r="A156" s="33"/>
      <c r="B156" s="214" t="str">
        <f>IF(I154="","",VLOOKUP(I154,'Spell Database'!$A$2:$W$1214,12,FALSE))</f>
        <v/>
      </c>
      <c r="D156" s="179" t="str">
        <f>IF(I154="","",VLOOKUP(I154,'Spell Database'!$A$2:$W$1214,3,FALSE))</f>
        <v/>
      </c>
      <c r="F156" s="181" t="str">
        <f>IF(I154="","",VLOOKUP(I154,'Spell Database'!$A$2:$W$1214,7,FALSE))</f>
        <v/>
      </c>
      <c r="G156" s="32"/>
      <c r="I156" s="40"/>
      <c r="AI156" s="41"/>
      <c r="AJ156" s="34"/>
      <c r="AK156" s="399"/>
      <c r="AL156" s="44"/>
      <c r="AM156" s="35"/>
      <c r="AN156" s="35"/>
      <c r="AO156" s="214" t="str">
        <f>IF(AV154="","",VLOOKUP(AV154,'Spell Database'!$A$2:$W$1214,12,FALSE))</f>
        <v/>
      </c>
      <c r="AQ156" s="179" t="str">
        <f>IF(AV154="","",VLOOKUP(AV154,'Spell Database'!$A$2:$W$1214,3,FALSE))</f>
        <v/>
      </c>
      <c r="AS156" s="181" t="str">
        <f>IF(AV154="","",VLOOKUP(AV154,'Spell Database'!$A$2:$W$1214,7,FALSE))</f>
        <v/>
      </c>
      <c r="AT156" s="32"/>
      <c r="AV156" s="40"/>
      <c r="BV156" s="41"/>
      <c r="BW156" s="34"/>
      <c r="BX156" s="399"/>
      <c r="BY156" s="44"/>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c r="DJ156" s="35"/>
      <c r="DK156" s="35"/>
      <c r="DL156" s="35"/>
      <c r="DM156" s="35"/>
      <c r="DN156" s="35"/>
      <c r="DO156" s="35"/>
      <c r="DP156" s="35"/>
    </row>
    <row r="157" ht="9.75" customHeight="1">
      <c r="A157" s="33"/>
      <c r="B157" s="48" t="s">
        <v>206</v>
      </c>
      <c r="F157" s="48" t="s">
        <v>207</v>
      </c>
      <c r="I157" s="40"/>
      <c r="AI157" s="41"/>
      <c r="AJ157" s="35"/>
      <c r="AK157" s="35"/>
      <c r="AL157" s="35"/>
      <c r="AM157" s="48"/>
      <c r="AN157" s="48"/>
      <c r="AO157" s="48" t="s">
        <v>206</v>
      </c>
      <c r="AS157" s="48" t="s">
        <v>207</v>
      </c>
      <c r="AV157" s="40"/>
      <c r="BV157" s="41"/>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c r="DJ157" s="35"/>
      <c r="DK157" s="35"/>
      <c r="DL157" s="35"/>
      <c r="DM157" s="35"/>
      <c r="DN157" s="35"/>
      <c r="DO157" s="35"/>
      <c r="DP157" s="35"/>
    </row>
    <row r="158" ht="15.75" customHeight="1">
      <c r="A158" s="33"/>
      <c r="B158" s="236" t="str">
        <f>IF(I154="","",VLOOKUP(I154,'Spell Database'!$A$2:$W$1214,11,FALSE))</f>
        <v/>
      </c>
      <c r="C158" s="29"/>
      <c r="D158" s="32"/>
      <c r="F158" s="159" t="str">
        <f>IF(I154="","",VLOOKUP(I154,'Spell Database'!$A$2:$W$1214,4,FALSE))</f>
        <v/>
      </c>
      <c r="G158" s="32"/>
      <c r="I158" s="42"/>
      <c r="J158" s="43"/>
      <c r="K158" s="43"/>
      <c r="L158" s="43"/>
      <c r="M158" s="43"/>
      <c r="N158" s="43"/>
      <c r="O158" s="43"/>
      <c r="P158" s="43"/>
      <c r="Q158" s="43"/>
      <c r="R158" s="43"/>
      <c r="S158" s="43"/>
      <c r="T158" s="43"/>
      <c r="U158" s="43"/>
      <c r="V158" s="43"/>
      <c r="W158" s="43"/>
      <c r="X158" s="43"/>
      <c r="Y158" s="43"/>
      <c r="Z158" s="43"/>
      <c r="AA158" s="43"/>
      <c r="AB158" s="43"/>
      <c r="AC158" s="43"/>
      <c r="AD158" s="43"/>
      <c r="AE158" s="43"/>
      <c r="AF158" s="43"/>
      <c r="AG158" s="43"/>
      <c r="AH158" s="43"/>
      <c r="AI158" s="44"/>
      <c r="AJ158" s="34"/>
      <c r="AK158" s="35"/>
      <c r="AL158" s="35"/>
      <c r="AM158" s="476"/>
      <c r="AN158" s="476"/>
      <c r="AO158" s="236" t="str">
        <f>IF(AV154="","",VLOOKUP(AV154,'Spell Database'!$A$2:$W$1214,11,FALSE))</f>
        <v/>
      </c>
      <c r="AP158" s="29"/>
      <c r="AQ158" s="32"/>
      <c r="AS158" s="159" t="str">
        <f>IF(AV154="","",VLOOKUP(AV154,'Spell Database'!$A$2:$W$1214,4,FALSE))</f>
        <v/>
      </c>
      <c r="AT158" s="32"/>
      <c r="AV158" s="42"/>
      <c r="AW158" s="43"/>
      <c r="AX158" s="43"/>
      <c r="AY158" s="43"/>
      <c r="AZ158" s="43"/>
      <c r="BA158" s="43"/>
      <c r="BB158" s="43"/>
      <c r="BC158" s="43"/>
      <c r="BD158" s="43"/>
      <c r="BE158" s="43"/>
      <c r="BF158" s="43"/>
      <c r="BG158" s="43"/>
      <c r="BH158" s="43"/>
      <c r="BI158" s="43"/>
      <c r="BJ158" s="43"/>
      <c r="BK158" s="43"/>
      <c r="BL158" s="43"/>
      <c r="BM158" s="43"/>
      <c r="BN158" s="43"/>
      <c r="BO158" s="43"/>
      <c r="BP158" s="43"/>
      <c r="BQ158" s="43"/>
      <c r="BR158" s="43"/>
      <c r="BS158" s="43"/>
      <c r="BT158" s="43"/>
      <c r="BU158" s="43"/>
      <c r="BV158" s="44"/>
      <c r="BW158" s="34"/>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row>
    <row r="159" ht="9.75" customHeight="1">
      <c r="A159" s="33"/>
      <c r="B159" s="476"/>
      <c r="C159" s="476"/>
      <c r="D159" s="476"/>
      <c r="E159" s="476"/>
      <c r="F159" s="476"/>
      <c r="G159" s="476"/>
      <c r="H159" s="476"/>
      <c r="I159" s="476"/>
      <c r="J159" s="476"/>
      <c r="K159" s="476"/>
      <c r="L159" s="476"/>
      <c r="M159" s="476"/>
      <c r="N159" s="476"/>
      <c r="O159" s="476"/>
      <c r="P159" s="476"/>
      <c r="Q159" s="476"/>
      <c r="R159" s="476"/>
      <c r="S159" s="476"/>
      <c r="T159" s="476"/>
      <c r="U159" s="476"/>
      <c r="V159" s="476"/>
      <c r="W159" s="476"/>
      <c r="X159" s="476"/>
      <c r="Y159" s="476"/>
      <c r="Z159" s="476"/>
      <c r="AA159" s="476"/>
      <c r="AB159" s="476"/>
      <c r="AC159" s="476"/>
      <c r="AD159" s="476"/>
      <c r="AE159" s="476"/>
      <c r="AF159" s="476"/>
      <c r="AG159" s="476"/>
      <c r="AH159" s="476"/>
      <c r="AI159" s="476"/>
      <c r="AJ159" s="476"/>
      <c r="AK159" s="476"/>
      <c r="AL159" s="476"/>
      <c r="AM159" s="476"/>
      <c r="AN159" s="476"/>
      <c r="AO159" s="476"/>
      <c r="AP159" s="476"/>
      <c r="AQ159" s="476"/>
      <c r="AR159" s="476"/>
      <c r="AS159" s="476"/>
      <c r="AT159" s="476"/>
      <c r="AU159" s="476"/>
      <c r="AV159" s="476"/>
      <c r="AW159" s="476"/>
      <c r="AX159" s="476"/>
      <c r="AY159" s="476"/>
      <c r="AZ159" s="476"/>
      <c r="BA159" s="476"/>
      <c r="BB159" s="476"/>
      <c r="BC159" s="476"/>
      <c r="BD159" s="476"/>
      <c r="BE159" s="476"/>
      <c r="BF159" s="476"/>
      <c r="BG159" s="476"/>
      <c r="BH159" s="476"/>
      <c r="BI159" s="476"/>
      <c r="BJ159" s="476"/>
      <c r="BK159" s="476"/>
      <c r="BL159" s="476"/>
      <c r="BM159" s="476"/>
      <c r="BN159" s="476"/>
      <c r="BO159" s="476"/>
      <c r="BP159" s="476"/>
      <c r="BQ159" s="476"/>
      <c r="BR159" s="476"/>
      <c r="BS159" s="476"/>
      <c r="BT159" s="476"/>
      <c r="BU159" s="476"/>
      <c r="BV159" s="476"/>
      <c r="BW159" s="476"/>
      <c r="BX159" s="476"/>
      <c r="BY159" s="476"/>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row>
    <row r="160" ht="15.75" customHeight="1">
      <c r="A160" s="33"/>
      <c r="B160" s="28" t="s">
        <v>6274</v>
      </c>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c r="AY160" s="29"/>
      <c r="AZ160" s="29"/>
      <c r="BA160" s="29"/>
      <c r="BB160" s="29"/>
      <c r="BC160" s="29"/>
      <c r="BD160" s="29"/>
      <c r="BE160" s="29"/>
      <c r="BF160" s="29"/>
      <c r="BG160" s="29"/>
      <c r="BH160" s="29"/>
      <c r="BI160" s="29"/>
      <c r="BJ160" s="29"/>
      <c r="BK160" s="29"/>
      <c r="BL160" s="29"/>
      <c r="BM160" s="29"/>
      <c r="BN160" s="29"/>
      <c r="BO160" s="29"/>
      <c r="BP160" s="29"/>
      <c r="BQ160" s="29"/>
      <c r="BR160" s="29"/>
      <c r="BS160" s="29"/>
      <c r="BT160" s="29"/>
      <c r="BU160" s="29"/>
      <c r="BV160" s="29"/>
      <c r="BW160" s="29"/>
      <c r="BX160" s="29"/>
      <c r="BY160" s="32"/>
      <c r="BZ160" s="35"/>
      <c r="CA160" s="35"/>
      <c r="CB160" s="35"/>
      <c r="CC160" s="35"/>
      <c r="CD160" s="35"/>
      <c r="CE160" s="35"/>
      <c r="CF160" s="35"/>
      <c r="CG160" s="35"/>
      <c r="CH160" s="35"/>
      <c r="CI160" s="35"/>
      <c r="CJ160" s="35"/>
      <c r="CK160" s="35"/>
      <c r="CL160" s="35"/>
      <c r="CM160" s="35"/>
      <c r="CN160" s="35"/>
      <c r="CO160" s="35"/>
      <c r="CP160" s="35"/>
      <c r="CQ160" s="35"/>
      <c r="CR160" s="35"/>
      <c r="CS160" s="35"/>
      <c r="CT160" s="35"/>
      <c r="CU160" s="35"/>
      <c r="CV160" s="35"/>
      <c r="CW160" s="35"/>
      <c r="CX160" s="35"/>
      <c r="CY160" s="35"/>
      <c r="CZ160" s="35"/>
      <c r="DA160" s="35"/>
      <c r="DB160" s="35"/>
      <c r="DC160" s="35"/>
      <c r="DD160" s="35"/>
      <c r="DE160" s="35"/>
      <c r="DF160" s="35"/>
      <c r="DG160" s="35"/>
      <c r="DH160" s="35"/>
      <c r="DI160" s="35"/>
      <c r="DJ160" s="35"/>
      <c r="DK160" s="35"/>
      <c r="DL160" s="35"/>
      <c r="DM160" s="35"/>
      <c r="DN160" s="35"/>
      <c r="DO160" s="35"/>
      <c r="DP160" s="35"/>
    </row>
    <row r="161" ht="9.75" customHeight="1">
      <c r="A161" s="33"/>
      <c r="B161" s="48" t="s">
        <v>159</v>
      </c>
      <c r="D161" s="48" t="s">
        <v>160</v>
      </c>
      <c r="F161" s="48" t="s">
        <v>162</v>
      </c>
      <c r="I161" s="173" t="s">
        <v>164</v>
      </c>
      <c r="J161" s="173"/>
      <c r="K161" s="173"/>
      <c r="L161" s="173"/>
      <c r="M161" s="173"/>
      <c r="N161" s="173"/>
      <c r="O161" s="173"/>
      <c r="P161" s="173"/>
      <c r="Q161" s="173"/>
      <c r="R161" s="173"/>
      <c r="S161" s="173"/>
      <c r="T161" s="173"/>
      <c r="U161" s="48" t="s">
        <v>168</v>
      </c>
      <c r="X161" s="48" t="s">
        <v>169</v>
      </c>
      <c r="AE161" s="48" t="s">
        <v>170</v>
      </c>
      <c r="AJ161" s="35"/>
      <c r="AK161" s="53" t="s">
        <v>1347</v>
      </c>
      <c r="AM161" s="35"/>
      <c r="AN161" s="35"/>
      <c r="AO161" s="48" t="s">
        <v>159</v>
      </c>
      <c r="AQ161" s="48" t="s">
        <v>160</v>
      </c>
      <c r="AS161" s="48" t="s">
        <v>162</v>
      </c>
      <c r="AV161" s="173" t="s">
        <v>164</v>
      </c>
      <c r="AW161" s="173"/>
      <c r="AX161" s="173"/>
      <c r="AY161" s="173"/>
      <c r="AZ161" s="173"/>
      <c r="BA161" s="173"/>
      <c r="BB161" s="173"/>
      <c r="BC161" s="173"/>
      <c r="BD161" s="173"/>
      <c r="BE161" s="173"/>
      <c r="BF161" s="173"/>
      <c r="BG161" s="173"/>
      <c r="BH161" s="48" t="s">
        <v>168</v>
      </c>
      <c r="BK161" s="48" t="s">
        <v>169</v>
      </c>
      <c r="BR161" s="48" t="s">
        <v>170</v>
      </c>
      <c r="BW161" s="35"/>
      <c r="BX161" s="53" t="s">
        <v>1347</v>
      </c>
      <c r="BZ161" s="35"/>
      <c r="CA161" s="35"/>
      <c r="CB161" s="35"/>
      <c r="CC161" s="35"/>
      <c r="CD161" s="35"/>
      <c r="CE161" s="35"/>
      <c r="CF161" s="35"/>
      <c r="CG161" s="35"/>
      <c r="CH161" s="35"/>
      <c r="CI161" s="35"/>
      <c r="CJ161" s="35"/>
      <c r="CK161" s="35"/>
      <c r="CL161" s="35"/>
      <c r="CM161" s="35"/>
      <c r="CN161" s="35"/>
      <c r="CO161" s="35"/>
      <c r="CP161" s="35"/>
      <c r="CQ161" s="35"/>
      <c r="CR161" s="35"/>
      <c r="CS161" s="35"/>
      <c r="CT161" s="35"/>
      <c r="CU161" s="35"/>
      <c r="CV161" s="35"/>
      <c r="CW161" s="35"/>
      <c r="CX161" s="35"/>
      <c r="CY161" s="35"/>
      <c r="CZ161" s="35"/>
      <c r="DA161" s="35"/>
      <c r="DB161" s="35"/>
      <c r="DC161" s="35"/>
      <c r="DD161" s="35"/>
      <c r="DE161" s="35"/>
      <c r="DF161" s="35"/>
      <c r="DG161" s="35"/>
      <c r="DH161" s="35"/>
      <c r="DI161" s="35"/>
      <c r="DJ161" s="35"/>
      <c r="DK161" s="35"/>
      <c r="DL161" s="35"/>
      <c r="DM161" s="35"/>
      <c r="DN161" s="35"/>
      <c r="DO161" s="35"/>
      <c r="DP161" s="35"/>
    </row>
    <row r="162" ht="15.75" customHeight="1">
      <c r="A162" s="33"/>
      <c r="B162" s="179" t="str">
        <f>IF(I162="","",VLOOKUP(I162,'Spell Database'!$A$2:$W$1214,2,FALSE))</f>
        <v/>
      </c>
      <c r="D162" s="179" t="str">
        <f>IF(I162="","",VLOOKUP(I162,'Spell Database'!$A$2:$W$1214,5,FALSE))</f>
        <v/>
      </c>
      <c r="F162" s="181" t="str">
        <f>IF(I162="","",VLOOKUP(I162,'Spell Database'!$A$2:$W$1214,6,FALSE))</f>
        <v/>
      </c>
      <c r="G162" s="32"/>
      <c r="I162" s="184"/>
      <c r="J162" s="19"/>
      <c r="K162" s="19"/>
      <c r="L162" s="19"/>
      <c r="M162" s="19"/>
      <c r="N162" s="19"/>
      <c r="O162" s="19"/>
      <c r="P162" s="19"/>
      <c r="Q162" s="19"/>
      <c r="R162" s="19"/>
      <c r="S162" s="19"/>
      <c r="T162" s="19"/>
      <c r="U162" s="159" t="str">
        <f>IF(I162="","",VLOOKUP(I162,'Spell Database'!$A$2:$W$1214,8,FALSE))</f>
        <v/>
      </c>
      <c r="V162" s="29"/>
      <c r="W162" s="32"/>
      <c r="X162" s="191" t="str">
        <f>IF(I162="","",VLOOKUP(I162,'Spell Database'!$A$2:$W$1214,9,FALSE))</f>
        <v/>
      </c>
      <c r="Y162" s="29"/>
      <c r="Z162" s="29"/>
      <c r="AA162" s="29"/>
      <c r="AB162" s="29"/>
      <c r="AC162" s="29"/>
      <c r="AD162" s="29"/>
      <c r="AE162" s="159" t="str">
        <f>IF(I162="","",VLOOKUP(I162,'Spell Database'!$A$2:$W$1214,10,FALSE))</f>
        <v/>
      </c>
      <c r="AF162" s="29"/>
      <c r="AG162" s="29"/>
      <c r="AH162" s="29"/>
      <c r="AI162" s="32"/>
      <c r="AJ162" s="35"/>
      <c r="AK162" s="396"/>
      <c r="AL162" s="32"/>
      <c r="AM162" s="35"/>
      <c r="AN162" s="35"/>
      <c r="AO162" s="179" t="str">
        <f>IF(AV162="","",VLOOKUP(AV162,'Spell Database'!$A$2:$W$1214,2,FALSE))</f>
        <v/>
      </c>
      <c r="AQ162" s="179" t="str">
        <f>IF(AV162="","",VLOOKUP(AV162,'Spell Database'!$A$2:$W$1214,5,FALSE))</f>
        <v/>
      </c>
      <c r="AS162" s="181" t="str">
        <f>IF(AV162="","",VLOOKUP(AV162,'Spell Database'!$A$2:$W$1214,6,FALSE))</f>
        <v/>
      </c>
      <c r="AT162" s="32"/>
      <c r="AV162" s="184"/>
      <c r="AW162" s="19"/>
      <c r="AX162" s="19"/>
      <c r="AY162" s="19"/>
      <c r="AZ162" s="19"/>
      <c r="BA162" s="19"/>
      <c r="BB162" s="19"/>
      <c r="BC162" s="19"/>
      <c r="BD162" s="19"/>
      <c r="BE162" s="19"/>
      <c r="BF162" s="19"/>
      <c r="BG162" s="19"/>
      <c r="BH162" s="159" t="str">
        <f>IF(AV162="","",VLOOKUP(AV162,'Spell Database'!$A$2:$W$1214,8,FALSE))</f>
        <v/>
      </c>
      <c r="BI162" s="29"/>
      <c r="BJ162" s="32"/>
      <c r="BK162" s="191" t="str">
        <f>IF(AV162="","",VLOOKUP(AV162,'Spell Database'!$A$2:$W$1214,9,FALSE))</f>
        <v/>
      </c>
      <c r="BL162" s="29"/>
      <c r="BM162" s="29"/>
      <c r="BN162" s="29"/>
      <c r="BO162" s="29"/>
      <c r="BP162" s="29"/>
      <c r="BQ162" s="29"/>
      <c r="BR162" s="159" t="str">
        <f>IF(AV162="","",VLOOKUP(AV162,'Spell Database'!$A$2:$W$1214,10,FALSE))</f>
        <v/>
      </c>
      <c r="BS162" s="29"/>
      <c r="BT162" s="29"/>
      <c r="BU162" s="29"/>
      <c r="BV162" s="32"/>
      <c r="BW162" s="35"/>
      <c r="BX162" s="396"/>
      <c r="BY162" s="32"/>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c r="DJ162" s="35"/>
      <c r="DK162" s="35"/>
      <c r="DL162" s="35"/>
      <c r="DM162" s="35"/>
      <c r="DN162" s="35"/>
      <c r="DO162" s="35"/>
      <c r="DP162" s="35"/>
    </row>
    <row r="163" ht="9.75" customHeight="1">
      <c r="A163" s="33"/>
      <c r="B163" s="48" t="s">
        <v>189</v>
      </c>
      <c r="D163" s="48" t="s">
        <v>190</v>
      </c>
      <c r="E163" s="53"/>
      <c r="F163" s="340" t="s">
        <v>191</v>
      </c>
      <c r="H163" s="53"/>
      <c r="I163" s="208" t="str">
        <f>IF(I162="","",VLOOKUP(I162,'Spell Database'!$A$2:$V$1214, (IFs(B162=1,"13", B162=2,"14", B162=3,"15", B162=4,"16", B162=5,"17", B162=6,"18", B162=7,"19", B162=8,"20", B162=9,"21", B162=10,"22")),FALSE))</f>
        <v/>
      </c>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21"/>
      <c r="AJ163" s="53"/>
      <c r="AK163" s="391" t="s">
        <v>196</v>
      </c>
      <c r="AL163" s="29"/>
      <c r="AM163" s="35"/>
      <c r="AN163" s="35"/>
      <c r="AO163" s="48" t="s">
        <v>189</v>
      </c>
      <c r="AQ163" s="48" t="s">
        <v>190</v>
      </c>
      <c r="AR163" s="53"/>
      <c r="AS163" s="340" t="s">
        <v>191</v>
      </c>
      <c r="AU163" s="53"/>
      <c r="AV163" s="208" t="str">
        <f>IF(AV162="","",VLOOKUP(AV162,'Spell Database'!$A$2:$V$1214, (IFs(AO162=1,"13", AO162=2,"14", AO162=3,"15", AO162=4,"16", AO162=5,"17", AO162=6,"18", AO162=7,"19", AO162=8,"20", AO162=9,"21", AO162=10,"22")),FALSE))</f>
        <v/>
      </c>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21"/>
      <c r="BW163" s="53"/>
      <c r="BX163" s="391" t="s">
        <v>196</v>
      </c>
      <c r="BY163" s="29"/>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c r="DJ163" s="35"/>
      <c r="DK163" s="35"/>
      <c r="DL163" s="35"/>
      <c r="DM163" s="35"/>
      <c r="DN163" s="35"/>
      <c r="DO163" s="35"/>
      <c r="DP163" s="35"/>
    </row>
    <row r="164" ht="15.75" customHeight="1">
      <c r="A164" s="33"/>
      <c r="B164" s="214" t="str">
        <f>IF(I162="","",VLOOKUP(I162,'Spell Database'!$A$2:$W$1214,12,FALSE))</f>
        <v/>
      </c>
      <c r="D164" s="179" t="str">
        <f>IF(I162="","",VLOOKUP(I162,'Spell Database'!$A$2:$W$1214,3,FALSE))</f>
        <v/>
      </c>
      <c r="F164" s="181" t="str">
        <f>IF(I162="","",VLOOKUP(I162,'Spell Database'!$A$2:$W$1214,7,FALSE))</f>
        <v/>
      </c>
      <c r="G164" s="32"/>
      <c r="I164" s="40"/>
      <c r="AI164" s="41"/>
      <c r="AJ164" s="34"/>
      <c r="AK164" s="399"/>
      <c r="AL164" s="44"/>
      <c r="AM164" s="35"/>
      <c r="AN164" s="35"/>
      <c r="AO164" s="214" t="str">
        <f>IF(AV162="","",VLOOKUP(AV162,'Spell Database'!$A$2:$W$1214,12,FALSE))</f>
        <v/>
      </c>
      <c r="AQ164" s="179" t="str">
        <f>IF(AV162="","",VLOOKUP(AV162,'Spell Database'!$A$2:$W$1214,3,FALSE))</f>
        <v/>
      </c>
      <c r="AS164" s="181" t="str">
        <f>IF(AV162="","",VLOOKUP(AV162,'Spell Database'!$A$2:$W$1214,7,FALSE))</f>
        <v/>
      </c>
      <c r="AT164" s="32"/>
      <c r="AV164" s="40"/>
      <c r="BV164" s="41"/>
      <c r="BW164" s="34"/>
      <c r="BX164" s="399"/>
      <c r="BY164" s="44"/>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c r="DJ164" s="35"/>
      <c r="DK164" s="35"/>
      <c r="DL164" s="35"/>
      <c r="DM164" s="35"/>
      <c r="DN164" s="35"/>
      <c r="DO164" s="35"/>
      <c r="DP164" s="35"/>
    </row>
    <row r="165" ht="9.75" customHeight="1">
      <c r="A165" s="33"/>
      <c r="B165" s="48" t="s">
        <v>206</v>
      </c>
      <c r="F165" s="48" t="s">
        <v>207</v>
      </c>
      <c r="I165" s="40"/>
      <c r="AI165" s="41"/>
      <c r="AJ165" s="35"/>
      <c r="AK165" s="35"/>
      <c r="AL165" s="35"/>
      <c r="AM165" s="35"/>
      <c r="AN165" s="35"/>
      <c r="AO165" s="48" t="s">
        <v>206</v>
      </c>
      <c r="AS165" s="48" t="s">
        <v>207</v>
      </c>
      <c r="AV165" s="40"/>
      <c r="BV165" s="41"/>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c r="DJ165" s="35"/>
      <c r="DK165" s="35"/>
      <c r="DL165" s="35"/>
      <c r="DM165" s="35"/>
      <c r="DN165" s="35"/>
      <c r="DO165" s="35"/>
      <c r="DP165" s="35"/>
    </row>
    <row r="166" ht="15.75" customHeight="1">
      <c r="A166" s="33"/>
      <c r="B166" s="236" t="str">
        <f>IF(I162="","",VLOOKUP(I162,'Spell Database'!$A$2:$W$1214,11,FALSE))</f>
        <v/>
      </c>
      <c r="C166" s="29"/>
      <c r="D166" s="32"/>
      <c r="F166" s="159" t="str">
        <f>IF(I162="","",VLOOKUP(I162,'Spell Database'!$A$2:$W$1214,4,FALSE))</f>
        <v/>
      </c>
      <c r="G166" s="32"/>
      <c r="I166" s="42"/>
      <c r="J166" s="43"/>
      <c r="K166" s="43"/>
      <c r="L166" s="43"/>
      <c r="M166" s="43"/>
      <c r="N166" s="43"/>
      <c r="O166" s="43"/>
      <c r="P166" s="43"/>
      <c r="Q166" s="43"/>
      <c r="R166" s="43"/>
      <c r="S166" s="43"/>
      <c r="T166" s="43"/>
      <c r="U166" s="43"/>
      <c r="V166" s="43"/>
      <c r="W166" s="43"/>
      <c r="X166" s="43"/>
      <c r="Y166" s="43"/>
      <c r="Z166" s="43"/>
      <c r="AA166" s="43"/>
      <c r="AB166" s="43"/>
      <c r="AC166" s="43"/>
      <c r="AD166" s="43"/>
      <c r="AE166" s="43"/>
      <c r="AF166" s="43"/>
      <c r="AG166" s="43"/>
      <c r="AH166" s="43"/>
      <c r="AI166" s="44"/>
      <c r="AJ166" s="34"/>
      <c r="AK166" s="35"/>
      <c r="AL166" s="35"/>
      <c r="AM166" s="35"/>
      <c r="AN166" s="35"/>
      <c r="AO166" s="236" t="str">
        <f>IF(AV162="","",VLOOKUP(AV162,'Spell Database'!$A$2:$W$1214,11,FALSE))</f>
        <v/>
      </c>
      <c r="AP166" s="29"/>
      <c r="AQ166" s="32"/>
      <c r="AS166" s="159" t="str">
        <f>IF(AV162="","",VLOOKUP(AV162,'Spell Database'!$A$2:$W$1214,4,FALSE))</f>
        <v/>
      </c>
      <c r="AT166" s="32"/>
      <c r="AV166" s="42"/>
      <c r="AW166" s="43"/>
      <c r="AX166" s="43"/>
      <c r="AY166" s="43"/>
      <c r="AZ166" s="43"/>
      <c r="BA166" s="43"/>
      <c r="BB166" s="43"/>
      <c r="BC166" s="43"/>
      <c r="BD166" s="43"/>
      <c r="BE166" s="43"/>
      <c r="BF166" s="43"/>
      <c r="BG166" s="43"/>
      <c r="BH166" s="43"/>
      <c r="BI166" s="43"/>
      <c r="BJ166" s="43"/>
      <c r="BK166" s="43"/>
      <c r="BL166" s="43"/>
      <c r="BM166" s="43"/>
      <c r="BN166" s="43"/>
      <c r="BO166" s="43"/>
      <c r="BP166" s="43"/>
      <c r="BQ166" s="43"/>
      <c r="BR166" s="43"/>
      <c r="BS166" s="43"/>
      <c r="BT166" s="43"/>
      <c r="BU166" s="43"/>
      <c r="BV166" s="44"/>
      <c r="BW166" s="34"/>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row>
    <row r="167" ht="9.75" customHeight="1">
      <c r="A167" s="33"/>
      <c r="B167" s="48" t="s">
        <v>159</v>
      </c>
      <c r="D167" s="48" t="s">
        <v>160</v>
      </c>
      <c r="F167" s="48" t="s">
        <v>162</v>
      </c>
      <c r="I167" s="173" t="s">
        <v>164</v>
      </c>
      <c r="J167" s="173"/>
      <c r="K167" s="173"/>
      <c r="L167" s="173"/>
      <c r="M167" s="173"/>
      <c r="N167" s="173"/>
      <c r="O167" s="173"/>
      <c r="P167" s="173"/>
      <c r="Q167" s="173"/>
      <c r="R167" s="173"/>
      <c r="S167" s="173"/>
      <c r="T167" s="173"/>
      <c r="U167" s="48" t="s">
        <v>168</v>
      </c>
      <c r="X167" s="48" t="s">
        <v>169</v>
      </c>
      <c r="AE167" s="48" t="s">
        <v>170</v>
      </c>
      <c r="AJ167" s="35"/>
      <c r="AK167" s="53" t="s">
        <v>1347</v>
      </c>
      <c r="AM167" s="35"/>
      <c r="AN167" s="35"/>
      <c r="AO167" s="48" t="s">
        <v>159</v>
      </c>
      <c r="AQ167" s="48" t="s">
        <v>160</v>
      </c>
      <c r="AS167" s="48" t="s">
        <v>162</v>
      </c>
      <c r="AV167" s="173" t="s">
        <v>164</v>
      </c>
      <c r="AW167" s="173"/>
      <c r="AX167" s="173"/>
      <c r="AY167" s="173"/>
      <c r="AZ167" s="173"/>
      <c r="BA167" s="173"/>
      <c r="BB167" s="173"/>
      <c r="BC167" s="173"/>
      <c r="BD167" s="173"/>
      <c r="BE167" s="173"/>
      <c r="BF167" s="173"/>
      <c r="BG167" s="173"/>
      <c r="BH167" s="48" t="s">
        <v>168</v>
      </c>
      <c r="BK167" s="48" t="s">
        <v>169</v>
      </c>
      <c r="BR167" s="48" t="s">
        <v>170</v>
      </c>
      <c r="BW167" s="35"/>
      <c r="BX167" s="53" t="s">
        <v>1347</v>
      </c>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row>
    <row r="168" ht="15.75" customHeight="1">
      <c r="A168" s="33"/>
      <c r="B168" s="179" t="str">
        <f>IF(I168="","",VLOOKUP(I168,'Spell Database'!$A$2:$W$1214,2,FALSE))</f>
        <v/>
      </c>
      <c r="D168" s="179" t="str">
        <f>IF(I168="","",VLOOKUP(I168,'Spell Database'!$A$2:$W$1214,5,FALSE))</f>
        <v/>
      </c>
      <c r="F168" s="181" t="str">
        <f>IF(I168="","",VLOOKUP(I168,'Spell Database'!$A$2:$W$1214,6,FALSE))</f>
        <v/>
      </c>
      <c r="G168" s="32"/>
      <c r="I168" s="184"/>
      <c r="J168" s="19"/>
      <c r="K168" s="19"/>
      <c r="L168" s="19"/>
      <c r="M168" s="19"/>
      <c r="N168" s="19"/>
      <c r="O168" s="19"/>
      <c r="P168" s="19"/>
      <c r="Q168" s="19"/>
      <c r="R168" s="19"/>
      <c r="S168" s="19"/>
      <c r="T168" s="19"/>
      <c r="U168" s="159" t="str">
        <f>IF(I168="","",VLOOKUP(I168,'Spell Database'!$A$2:$W$1214,8,FALSE))</f>
        <v/>
      </c>
      <c r="V168" s="29"/>
      <c r="W168" s="32"/>
      <c r="X168" s="191" t="str">
        <f>IF(I168="","",VLOOKUP(I168,'Spell Database'!$A$2:$W$1214,9,FALSE))</f>
        <v/>
      </c>
      <c r="Y168" s="29"/>
      <c r="Z168" s="29"/>
      <c r="AA168" s="29"/>
      <c r="AB168" s="29"/>
      <c r="AC168" s="29"/>
      <c r="AD168" s="29"/>
      <c r="AE168" s="159" t="str">
        <f>IF(I168="","",VLOOKUP(I168,'Spell Database'!$A$2:$W$1214,10,FALSE))</f>
        <v/>
      </c>
      <c r="AF168" s="29"/>
      <c r="AG168" s="29"/>
      <c r="AH168" s="29"/>
      <c r="AI168" s="32"/>
      <c r="AJ168" s="35"/>
      <c r="AK168" s="396"/>
      <c r="AL168" s="32"/>
      <c r="AM168" s="35"/>
      <c r="AN168" s="35"/>
      <c r="AO168" s="179" t="str">
        <f>IF(AV168="","",VLOOKUP(AV168,'Spell Database'!$A$2:$W$1214,2,FALSE))</f>
        <v/>
      </c>
      <c r="AQ168" s="179" t="str">
        <f>IF(AV168="","",VLOOKUP(AV168,'Spell Database'!$A$2:$W$1214,5,FALSE))</f>
        <v/>
      </c>
      <c r="AS168" s="181" t="str">
        <f>IF(AV168="","",VLOOKUP(AV168,'Spell Database'!$A$2:$W$1214,6,FALSE))</f>
        <v/>
      </c>
      <c r="AT168" s="32"/>
      <c r="AV168" s="184"/>
      <c r="AW168" s="19"/>
      <c r="AX168" s="19"/>
      <c r="AY168" s="19"/>
      <c r="AZ168" s="19"/>
      <c r="BA168" s="19"/>
      <c r="BB168" s="19"/>
      <c r="BC168" s="19"/>
      <c r="BD168" s="19"/>
      <c r="BE168" s="19"/>
      <c r="BF168" s="19"/>
      <c r="BG168" s="19"/>
      <c r="BH168" s="159" t="str">
        <f>IF(AV168="","",VLOOKUP(AV168,'Spell Database'!$A$2:$W$1214,8,FALSE))</f>
        <v/>
      </c>
      <c r="BI168" s="29"/>
      <c r="BJ168" s="32"/>
      <c r="BK168" s="191" t="str">
        <f>IF(AV168="","",VLOOKUP(AV168,'Spell Database'!$A$2:$W$1214,9,FALSE))</f>
        <v/>
      </c>
      <c r="BL168" s="29"/>
      <c r="BM168" s="29"/>
      <c r="BN168" s="29"/>
      <c r="BO168" s="29"/>
      <c r="BP168" s="29"/>
      <c r="BQ168" s="29"/>
      <c r="BR168" s="159" t="str">
        <f>IF(AV168="","",VLOOKUP(AV168,'Spell Database'!$A$2:$W$1214,10,FALSE))</f>
        <v/>
      </c>
      <c r="BS168" s="29"/>
      <c r="BT168" s="29"/>
      <c r="BU168" s="29"/>
      <c r="BV168" s="32"/>
      <c r="BW168" s="35"/>
      <c r="BX168" s="396"/>
      <c r="BY168" s="32"/>
      <c r="BZ168" s="35"/>
      <c r="CA168" s="35"/>
      <c r="CB168" s="35"/>
      <c r="CC168" s="35"/>
      <c r="CD168" s="35"/>
      <c r="CE168" s="35"/>
      <c r="CF168" s="35"/>
      <c r="CG168" s="35"/>
      <c r="CH168" s="35"/>
      <c r="CI168" s="35"/>
      <c r="CJ168" s="35"/>
      <c r="CK168" s="35"/>
      <c r="CL168" s="35"/>
      <c r="CM168" s="35"/>
      <c r="CN168" s="35"/>
      <c r="CO168" s="35"/>
      <c r="CP168" s="35"/>
      <c r="CQ168" s="35"/>
      <c r="CR168" s="35"/>
      <c r="CS168" s="35"/>
      <c r="CT168" s="35"/>
      <c r="CU168" s="35"/>
      <c r="CV168" s="35"/>
      <c r="CW168" s="35"/>
      <c r="CX168" s="35"/>
      <c r="CY168" s="35"/>
      <c r="CZ168" s="35"/>
      <c r="DA168" s="35"/>
      <c r="DB168" s="35"/>
      <c r="DC168" s="35"/>
      <c r="DD168" s="35"/>
      <c r="DE168" s="35"/>
      <c r="DF168" s="35"/>
      <c r="DG168" s="35"/>
      <c r="DH168" s="35"/>
      <c r="DI168" s="35"/>
      <c r="DJ168" s="35"/>
      <c r="DK168" s="35"/>
      <c r="DL168" s="35"/>
      <c r="DM168" s="35"/>
      <c r="DN168" s="35"/>
      <c r="DO168" s="35"/>
      <c r="DP168" s="35"/>
    </row>
    <row r="169" ht="9.75" customHeight="1">
      <c r="A169" s="33"/>
      <c r="B169" s="48" t="s">
        <v>189</v>
      </c>
      <c r="D169" s="48" t="s">
        <v>190</v>
      </c>
      <c r="E169" s="53"/>
      <c r="F169" s="340" t="s">
        <v>191</v>
      </c>
      <c r="H169" s="53"/>
      <c r="I169" s="208" t="str">
        <f>IF(I168="","",VLOOKUP(I168,'Spell Database'!$A$2:$V$1214, (IFs(B168=1,"13", B168=2,"14", B168=3,"15", B168=4,"16", B168=5,"17", B168=6,"18", B168=7,"19", B168=8,"20", B168=9,"21", B168=10,"22")),FALSE))</f>
        <v/>
      </c>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21"/>
      <c r="AJ169" s="53"/>
      <c r="AK169" s="391" t="s">
        <v>196</v>
      </c>
      <c r="AL169" s="29"/>
      <c r="AM169" s="35"/>
      <c r="AN169" s="35"/>
      <c r="AO169" s="48" t="s">
        <v>189</v>
      </c>
      <c r="AQ169" s="48" t="s">
        <v>190</v>
      </c>
      <c r="AR169" s="53"/>
      <c r="AS169" s="340" t="s">
        <v>191</v>
      </c>
      <c r="AU169" s="53"/>
      <c r="AV169" s="208" t="str">
        <f>IF(AV168="","",VLOOKUP(AV168,'Spell Database'!$A$2:$V$1214, (IFs(AO168=1,"13", AO168=2,"14", AO168=3,"15", AO168=4,"16", AO168=5,"17", AO168=6,"18", AO168=7,"19", AO168=8,"20", AO168=9,"21", AO168=10,"22")),FALSE))</f>
        <v/>
      </c>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21"/>
      <c r="BW169" s="53"/>
      <c r="BX169" s="391" t="s">
        <v>196</v>
      </c>
      <c r="BY169" s="29"/>
      <c r="BZ169" s="35"/>
      <c r="CA169" s="35"/>
      <c r="CB169" s="35"/>
      <c r="CC169" s="35"/>
      <c r="CD169" s="35"/>
      <c r="CE169" s="35"/>
      <c r="CF169" s="35"/>
      <c r="CG169" s="35"/>
      <c r="CH169" s="35"/>
      <c r="CI169" s="35"/>
      <c r="CJ169" s="35"/>
      <c r="CK169" s="35"/>
      <c r="CL169" s="35"/>
      <c r="CM169" s="35"/>
      <c r="CN169" s="35"/>
      <c r="CO169" s="35"/>
      <c r="CP169" s="35"/>
      <c r="CQ169" s="35"/>
      <c r="CR169" s="35"/>
      <c r="CS169" s="35"/>
      <c r="CT169" s="35"/>
      <c r="CU169" s="35"/>
      <c r="CV169" s="35"/>
      <c r="CW169" s="35"/>
      <c r="CX169" s="35"/>
      <c r="CY169" s="35"/>
      <c r="CZ169" s="35"/>
      <c r="DA169" s="35"/>
      <c r="DB169" s="35"/>
      <c r="DC169" s="35"/>
      <c r="DD169" s="35"/>
      <c r="DE169" s="35"/>
      <c r="DF169" s="35"/>
      <c r="DG169" s="35"/>
      <c r="DH169" s="35"/>
      <c r="DI169" s="35"/>
      <c r="DJ169" s="35"/>
      <c r="DK169" s="35"/>
      <c r="DL169" s="35"/>
      <c r="DM169" s="35"/>
      <c r="DN169" s="35"/>
      <c r="DO169" s="35"/>
      <c r="DP169" s="35"/>
    </row>
    <row r="170" ht="15.75" customHeight="1">
      <c r="A170" s="33"/>
      <c r="B170" s="214" t="str">
        <f>IF(I168="","",VLOOKUP(I168,'Spell Database'!$A$2:$W$1214,12,FALSE))</f>
        <v/>
      </c>
      <c r="D170" s="179" t="str">
        <f>IF(I168="","",VLOOKUP(I168,'Spell Database'!$A$2:$W$1214,3,FALSE))</f>
        <v/>
      </c>
      <c r="F170" s="181" t="str">
        <f>IF(I168="","",VLOOKUP(I168,'Spell Database'!$A$2:$W$1214,7,FALSE))</f>
        <v/>
      </c>
      <c r="G170" s="32"/>
      <c r="I170" s="40"/>
      <c r="AI170" s="41"/>
      <c r="AJ170" s="34"/>
      <c r="AK170" s="399"/>
      <c r="AL170" s="44"/>
      <c r="AM170" s="35"/>
      <c r="AN170" s="35"/>
      <c r="AO170" s="214" t="str">
        <f>IF(AV168="","",VLOOKUP(AV168,'Spell Database'!$A$2:$W$1214,12,FALSE))</f>
        <v/>
      </c>
      <c r="AQ170" s="179" t="str">
        <f>IF(AV168="","",VLOOKUP(AV168,'Spell Database'!$A$2:$W$1214,3,FALSE))</f>
        <v/>
      </c>
      <c r="AS170" s="181" t="str">
        <f>IF(AV168="","",VLOOKUP(AV168,'Spell Database'!$A$2:$W$1214,7,FALSE))</f>
        <v/>
      </c>
      <c r="AT170" s="32"/>
      <c r="AV170" s="40"/>
      <c r="BV170" s="41"/>
      <c r="BW170" s="34"/>
      <c r="BX170" s="399"/>
      <c r="BY170" s="44"/>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row>
    <row r="171" ht="9.75" customHeight="1">
      <c r="A171" s="33"/>
      <c r="B171" s="48" t="s">
        <v>206</v>
      </c>
      <c r="F171" s="48" t="s">
        <v>207</v>
      </c>
      <c r="I171" s="40"/>
      <c r="AI171" s="41"/>
      <c r="AJ171" s="35"/>
      <c r="AK171" s="35"/>
      <c r="AL171" s="35"/>
      <c r="AM171" s="48"/>
      <c r="AN171" s="48"/>
      <c r="AO171" s="48" t="s">
        <v>206</v>
      </c>
      <c r="AS171" s="48" t="s">
        <v>207</v>
      </c>
      <c r="AV171" s="40"/>
      <c r="BV171" s="41"/>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row>
    <row r="172" ht="15.75" customHeight="1">
      <c r="A172" s="33"/>
      <c r="B172" s="236" t="str">
        <f>IF(I168="","",VLOOKUP(I168,'Spell Database'!$A$2:$W$1214,11,FALSE))</f>
        <v/>
      </c>
      <c r="C172" s="29"/>
      <c r="D172" s="32"/>
      <c r="F172" s="159" t="str">
        <f>IF(I168="","",VLOOKUP(I168,'Spell Database'!$A$2:$W$1214,4,FALSE))</f>
        <v/>
      </c>
      <c r="G172" s="32"/>
      <c r="I172" s="42"/>
      <c r="J172" s="43"/>
      <c r="K172" s="43"/>
      <c r="L172" s="43"/>
      <c r="M172" s="43"/>
      <c r="N172" s="43"/>
      <c r="O172" s="43"/>
      <c r="P172" s="43"/>
      <c r="Q172" s="43"/>
      <c r="R172" s="43"/>
      <c r="S172" s="43"/>
      <c r="T172" s="43"/>
      <c r="U172" s="43"/>
      <c r="V172" s="43"/>
      <c r="W172" s="43"/>
      <c r="X172" s="43"/>
      <c r="Y172" s="43"/>
      <c r="Z172" s="43"/>
      <c r="AA172" s="43"/>
      <c r="AB172" s="43"/>
      <c r="AC172" s="43"/>
      <c r="AD172" s="43"/>
      <c r="AE172" s="43"/>
      <c r="AF172" s="43"/>
      <c r="AG172" s="43"/>
      <c r="AH172" s="43"/>
      <c r="AI172" s="44"/>
      <c r="AJ172" s="34"/>
      <c r="AK172" s="35"/>
      <c r="AL172" s="35"/>
      <c r="AM172" s="476"/>
      <c r="AN172" s="476"/>
      <c r="AO172" s="236" t="str">
        <f>IF(AV168="","",VLOOKUP(AV168,'Spell Database'!$A$2:$W$1214,11,FALSE))</f>
        <v/>
      </c>
      <c r="AP172" s="29"/>
      <c r="AQ172" s="32"/>
      <c r="AS172" s="159" t="str">
        <f>IF(AV168="","",VLOOKUP(AV168,'Spell Database'!$A$2:$W$1214,4,FALSE))</f>
        <v/>
      </c>
      <c r="AT172" s="32"/>
      <c r="AV172" s="42"/>
      <c r="AW172" s="43"/>
      <c r="AX172" s="43"/>
      <c r="AY172" s="43"/>
      <c r="AZ172" s="43"/>
      <c r="BA172" s="43"/>
      <c r="BB172" s="43"/>
      <c r="BC172" s="43"/>
      <c r="BD172" s="43"/>
      <c r="BE172" s="43"/>
      <c r="BF172" s="43"/>
      <c r="BG172" s="43"/>
      <c r="BH172" s="43"/>
      <c r="BI172" s="43"/>
      <c r="BJ172" s="43"/>
      <c r="BK172" s="43"/>
      <c r="BL172" s="43"/>
      <c r="BM172" s="43"/>
      <c r="BN172" s="43"/>
      <c r="BO172" s="43"/>
      <c r="BP172" s="43"/>
      <c r="BQ172" s="43"/>
      <c r="BR172" s="43"/>
      <c r="BS172" s="43"/>
      <c r="BT172" s="43"/>
      <c r="BU172" s="43"/>
      <c r="BV172" s="44"/>
      <c r="BW172" s="34"/>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c r="DJ172" s="35"/>
      <c r="DK172" s="35"/>
      <c r="DL172" s="35"/>
      <c r="DM172" s="35"/>
      <c r="DN172" s="35"/>
      <c r="DO172" s="35"/>
      <c r="DP172" s="35"/>
    </row>
    <row r="173" ht="9.75" customHeight="1">
      <c r="A173" s="33"/>
      <c r="B173" s="476"/>
      <c r="C173" s="476"/>
      <c r="D173" s="476"/>
      <c r="E173" s="476"/>
      <c r="F173" s="476"/>
      <c r="G173" s="476"/>
      <c r="H173" s="476"/>
      <c r="I173" s="476"/>
      <c r="J173" s="476"/>
      <c r="K173" s="476"/>
      <c r="L173" s="476"/>
      <c r="M173" s="476"/>
      <c r="N173" s="476"/>
      <c r="O173" s="476"/>
      <c r="P173" s="476"/>
      <c r="Q173" s="476"/>
      <c r="R173" s="476"/>
      <c r="S173" s="476"/>
      <c r="T173" s="476"/>
      <c r="U173" s="476"/>
      <c r="V173" s="476"/>
      <c r="W173" s="476"/>
      <c r="X173" s="476"/>
      <c r="Y173" s="476"/>
      <c r="Z173" s="476"/>
      <c r="AA173" s="476"/>
      <c r="AB173" s="476"/>
      <c r="AC173" s="476"/>
      <c r="AD173" s="476"/>
      <c r="AE173" s="476"/>
      <c r="AF173" s="476"/>
      <c r="AG173" s="476"/>
      <c r="AH173" s="476"/>
      <c r="AI173" s="476"/>
      <c r="AJ173" s="476"/>
      <c r="AK173" s="476"/>
      <c r="AL173" s="476"/>
      <c r="AM173" s="476"/>
      <c r="AN173" s="476"/>
      <c r="AO173" s="476"/>
      <c r="AP173" s="476"/>
      <c r="AQ173" s="476"/>
      <c r="AR173" s="476"/>
      <c r="AS173" s="476"/>
      <c r="AT173" s="476"/>
      <c r="AU173" s="476"/>
      <c r="AV173" s="476"/>
      <c r="AW173" s="476"/>
      <c r="AX173" s="476"/>
      <c r="AY173" s="476"/>
      <c r="AZ173" s="476"/>
      <c r="BA173" s="476"/>
      <c r="BB173" s="476"/>
      <c r="BC173" s="476"/>
      <c r="BD173" s="476"/>
      <c r="BE173" s="476"/>
      <c r="BF173" s="476"/>
      <c r="BG173" s="476"/>
      <c r="BH173" s="476"/>
      <c r="BI173" s="476"/>
      <c r="BJ173" s="476"/>
      <c r="BK173" s="476"/>
      <c r="BL173" s="476"/>
      <c r="BM173" s="476"/>
      <c r="BN173" s="476"/>
      <c r="BO173" s="476"/>
      <c r="BP173" s="476"/>
      <c r="BQ173" s="476"/>
      <c r="BR173" s="476"/>
      <c r="BS173" s="476"/>
      <c r="BT173" s="476"/>
      <c r="BU173" s="476"/>
      <c r="BV173" s="476"/>
      <c r="BW173" s="476"/>
      <c r="BX173" s="476"/>
      <c r="BY173" s="476"/>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c r="DJ173" s="35"/>
      <c r="DK173" s="35"/>
      <c r="DL173" s="35"/>
      <c r="DM173" s="35"/>
      <c r="DN173" s="35"/>
      <c r="DO173" s="35"/>
      <c r="DP173" s="35"/>
    </row>
    <row r="174" ht="15.75" customHeight="1">
      <c r="A174" s="33"/>
      <c r="B174" s="28" t="s">
        <v>6275</v>
      </c>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c r="AV174" s="29"/>
      <c r="AW174" s="29"/>
      <c r="AX174" s="29"/>
      <c r="AY174" s="29"/>
      <c r="AZ174" s="29"/>
      <c r="BA174" s="29"/>
      <c r="BB174" s="29"/>
      <c r="BC174" s="29"/>
      <c r="BD174" s="29"/>
      <c r="BE174" s="29"/>
      <c r="BF174" s="29"/>
      <c r="BG174" s="29"/>
      <c r="BH174" s="29"/>
      <c r="BI174" s="29"/>
      <c r="BJ174" s="29"/>
      <c r="BK174" s="29"/>
      <c r="BL174" s="29"/>
      <c r="BM174" s="29"/>
      <c r="BN174" s="29"/>
      <c r="BO174" s="29"/>
      <c r="BP174" s="29"/>
      <c r="BQ174" s="29"/>
      <c r="BR174" s="29"/>
      <c r="BS174" s="29"/>
      <c r="BT174" s="29"/>
      <c r="BU174" s="29"/>
      <c r="BV174" s="29"/>
      <c r="BW174" s="29"/>
      <c r="BX174" s="29"/>
      <c r="BY174" s="32"/>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row>
    <row r="175" ht="9.75" customHeight="1">
      <c r="A175" s="33"/>
      <c r="B175" s="48" t="s">
        <v>159</v>
      </c>
      <c r="D175" s="48" t="s">
        <v>160</v>
      </c>
      <c r="F175" s="48" t="s">
        <v>162</v>
      </c>
      <c r="I175" s="173" t="s">
        <v>164</v>
      </c>
      <c r="J175" s="173"/>
      <c r="K175" s="173"/>
      <c r="L175" s="173"/>
      <c r="M175" s="173"/>
      <c r="N175" s="173"/>
      <c r="O175" s="173"/>
      <c r="P175" s="173"/>
      <c r="Q175" s="173"/>
      <c r="R175" s="173"/>
      <c r="S175" s="173"/>
      <c r="T175" s="173"/>
      <c r="U175" s="48" t="s">
        <v>168</v>
      </c>
      <c r="X175" s="48" t="s">
        <v>169</v>
      </c>
      <c r="AE175" s="48" t="s">
        <v>170</v>
      </c>
      <c r="AJ175" s="35"/>
      <c r="AK175" s="53" t="s">
        <v>1347</v>
      </c>
      <c r="AM175" s="35"/>
      <c r="AN175" s="35"/>
      <c r="AO175" s="48" t="s">
        <v>159</v>
      </c>
      <c r="AQ175" s="48" t="s">
        <v>160</v>
      </c>
      <c r="AS175" s="48" t="s">
        <v>162</v>
      </c>
      <c r="AV175" s="173" t="s">
        <v>164</v>
      </c>
      <c r="AW175" s="173"/>
      <c r="AX175" s="173"/>
      <c r="AY175" s="173"/>
      <c r="AZ175" s="173"/>
      <c r="BA175" s="173"/>
      <c r="BB175" s="173"/>
      <c r="BC175" s="173"/>
      <c r="BD175" s="173"/>
      <c r="BE175" s="173"/>
      <c r="BF175" s="173"/>
      <c r="BG175" s="173"/>
      <c r="BH175" s="48" t="s">
        <v>168</v>
      </c>
      <c r="BK175" s="48" t="s">
        <v>169</v>
      </c>
      <c r="BR175" s="48" t="s">
        <v>170</v>
      </c>
      <c r="BW175" s="35"/>
      <c r="BX175" s="53" t="s">
        <v>1347</v>
      </c>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row>
    <row r="176" ht="15.75" customHeight="1">
      <c r="A176" s="33"/>
      <c r="B176" s="179" t="str">
        <f>IF(I176="","",VLOOKUP(I176,'Spell Database'!$A$2:$W$1214,2,FALSE))</f>
        <v/>
      </c>
      <c r="D176" s="179" t="str">
        <f>IF(I176="","",VLOOKUP(I176,'Spell Database'!$A$2:$W$1214,5,FALSE))</f>
        <v/>
      </c>
      <c r="F176" s="181" t="str">
        <f>IF(I176="","",VLOOKUP(I176,'Spell Database'!$A$2:$W$1214,6,FALSE))</f>
        <v/>
      </c>
      <c r="G176" s="32"/>
      <c r="I176" s="184"/>
      <c r="J176" s="19"/>
      <c r="K176" s="19"/>
      <c r="L176" s="19"/>
      <c r="M176" s="19"/>
      <c r="N176" s="19"/>
      <c r="O176" s="19"/>
      <c r="P176" s="19"/>
      <c r="Q176" s="19"/>
      <c r="R176" s="19"/>
      <c r="S176" s="19"/>
      <c r="T176" s="19"/>
      <c r="U176" s="159" t="str">
        <f>IF(I176="","",VLOOKUP(I176,'Spell Database'!$A$2:$W$1214,8,FALSE))</f>
        <v/>
      </c>
      <c r="V176" s="29"/>
      <c r="W176" s="32"/>
      <c r="X176" s="191" t="str">
        <f>IF(I176="","",VLOOKUP(I176,'Spell Database'!$A$2:$W$1214,9,FALSE))</f>
        <v/>
      </c>
      <c r="Y176" s="29"/>
      <c r="Z176" s="29"/>
      <c r="AA176" s="29"/>
      <c r="AB176" s="29"/>
      <c r="AC176" s="29"/>
      <c r="AD176" s="29"/>
      <c r="AE176" s="159" t="str">
        <f>IF(I176="","",VLOOKUP(I176,'Spell Database'!$A$2:$W$1214,10,FALSE))</f>
        <v/>
      </c>
      <c r="AF176" s="29"/>
      <c r="AG176" s="29"/>
      <c r="AH176" s="29"/>
      <c r="AI176" s="32"/>
      <c r="AJ176" s="35"/>
      <c r="AK176" s="396"/>
      <c r="AL176" s="32"/>
      <c r="AM176" s="35"/>
      <c r="AN176" s="35"/>
      <c r="AO176" s="179" t="str">
        <f>IF(AV176="","",VLOOKUP(AV176,'Spell Database'!$A$2:$W$1214,2,FALSE))</f>
        <v/>
      </c>
      <c r="AQ176" s="179" t="str">
        <f>IF(AV176="","",VLOOKUP(AV176,'Spell Database'!$A$2:$W$1214,5,FALSE))</f>
        <v/>
      </c>
      <c r="AS176" s="181" t="str">
        <f>IF(AV176="","",VLOOKUP(AV176,'Spell Database'!$A$2:$W$1214,6,FALSE))</f>
        <v/>
      </c>
      <c r="AT176" s="32"/>
      <c r="AV176" s="184"/>
      <c r="AW176" s="19"/>
      <c r="AX176" s="19"/>
      <c r="AY176" s="19"/>
      <c r="AZ176" s="19"/>
      <c r="BA176" s="19"/>
      <c r="BB176" s="19"/>
      <c r="BC176" s="19"/>
      <c r="BD176" s="19"/>
      <c r="BE176" s="19"/>
      <c r="BF176" s="19"/>
      <c r="BG176" s="19"/>
      <c r="BH176" s="159" t="str">
        <f>IF(AV176="","",VLOOKUP(AV176,'Spell Database'!$A$2:$W$1214,8,FALSE))</f>
        <v/>
      </c>
      <c r="BI176" s="29"/>
      <c r="BJ176" s="32"/>
      <c r="BK176" s="191" t="str">
        <f>IF(AV176="","",VLOOKUP(AV176,'Spell Database'!$A$2:$W$1214,9,FALSE))</f>
        <v/>
      </c>
      <c r="BL176" s="29"/>
      <c r="BM176" s="29"/>
      <c r="BN176" s="29"/>
      <c r="BO176" s="29"/>
      <c r="BP176" s="29"/>
      <c r="BQ176" s="29"/>
      <c r="BR176" s="159" t="str">
        <f>IF(AV176="","",VLOOKUP(AV176,'Spell Database'!$A$2:$W$1214,10,FALSE))</f>
        <v/>
      </c>
      <c r="BS176" s="29"/>
      <c r="BT176" s="29"/>
      <c r="BU176" s="29"/>
      <c r="BV176" s="32"/>
      <c r="BW176" s="35"/>
      <c r="BX176" s="396"/>
      <c r="BY176" s="32"/>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row>
    <row r="177" ht="9.75" customHeight="1">
      <c r="A177" s="33"/>
      <c r="B177" s="48" t="s">
        <v>189</v>
      </c>
      <c r="D177" s="48" t="s">
        <v>190</v>
      </c>
      <c r="E177" s="53"/>
      <c r="F177" s="340" t="s">
        <v>191</v>
      </c>
      <c r="H177" s="53"/>
      <c r="I177" s="208" t="str">
        <f>IF(I176="","",VLOOKUP(I176,'Spell Database'!$A$2:$V$1214, (IFs(B176=1,"13", B176=2,"14", B176=3,"15", B176=4,"16", B176=5,"17", B176=6,"18", B176=7,"19", B176=8,"20", B176=9,"21", B176=10,"22")),FALSE))</f>
        <v/>
      </c>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21"/>
      <c r="AJ177" s="53"/>
      <c r="AK177" s="391" t="s">
        <v>196</v>
      </c>
      <c r="AL177" s="29"/>
      <c r="AM177" s="35"/>
      <c r="AN177" s="35"/>
      <c r="AO177" s="48" t="s">
        <v>189</v>
      </c>
      <c r="AQ177" s="48" t="s">
        <v>190</v>
      </c>
      <c r="AR177" s="53"/>
      <c r="AS177" s="340" t="s">
        <v>191</v>
      </c>
      <c r="AU177" s="53"/>
      <c r="AV177" s="208" t="str">
        <f>IF(AV176="","",VLOOKUP(AV176,'Spell Database'!$A$2:$V$1214, (IFs(AO176=1,"13", AO176=2,"14", AO176=3,"15", AO176=4,"16", AO176=5,"17", AO176=6,"18", AO176=7,"19", AO176=8,"20", AO176=9,"21", AO176=10,"22")),FALSE))</f>
        <v/>
      </c>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21"/>
      <c r="BW177" s="53"/>
      <c r="BX177" s="391" t="s">
        <v>196</v>
      </c>
      <c r="BY177" s="29"/>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row>
    <row r="178" ht="15.75" customHeight="1">
      <c r="A178" s="33"/>
      <c r="B178" s="214" t="str">
        <f>IF(I176="","",VLOOKUP(I176,'Spell Database'!$A$2:$W$1214,12,FALSE))</f>
        <v/>
      </c>
      <c r="D178" s="179" t="str">
        <f>IF(I176="","",VLOOKUP(I176,'Spell Database'!$A$2:$W$1214,3,FALSE))</f>
        <v/>
      </c>
      <c r="F178" s="181" t="str">
        <f>IF(I176="","",VLOOKUP(I176,'Spell Database'!$A$2:$W$1214,7,FALSE))</f>
        <v/>
      </c>
      <c r="G178" s="32"/>
      <c r="I178" s="40"/>
      <c r="AI178" s="41"/>
      <c r="AJ178" s="34"/>
      <c r="AK178" s="399"/>
      <c r="AL178" s="44"/>
      <c r="AM178" s="35"/>
      <c r="AN178" s="35"/>
      <c r="AO178" s="214" t="str">
        <f>IF(AV176="","",VLOOKUP(AV176,'Spell Database'!$A$2:$W$1214,12,FALSE))</f>
        <v/>
      </c>
      <c r="AQ178" s="179" t="str">
        <f>IF(AV176="","",VLOOKUP(AV176,'Spell Database'!$A$2:$W$1214,3,FALSE))</f>
        <v/>
      </c>
      <c r="AS178" s="181" t="str">
        <f>IF(AV176="","",VLOOKUP(AV176,'Spell Database'!$A$2:$W$1214,7,FALSE))</f>
        <v/>
      </c>
      <c r="AT178" s="32"/>
      <c r="AV178" s="40"/>
      <c r="BV178" s="41"/>
      <c r="BW178" s="34"/>
      <c r="BX178" s="399"/>
      <c r="BY178" s="44"/>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c r="DJ178" s="35"/>
      <c r="DK178" s="35"/>
      <c r="DL178" s="35"/>
      <c r="DM178" s="35"/>
      <c r="DN178" s="35"/>
      <c r="DO178" s="35"/>
      <c r="DP178" s="35"/>
    </row>
    <row r="179" ht="9.75" customHeight="1">
      <c r="A179" s="33"/>
      <c r="B179" s="48" t="s">
        <v>206</v>
      </c>
      <c r="F179" s="48" t="s">
        <v>207</v>
      </c>
      <c r="I179" s="40"/>
      <c r="AI179" s="41"/>
      <c r="AJ179" s="35"/>
      <c r="AK179" s="35"/>
      <c r="AL179" s="35"/>
      <c r="AM179" s="35"/>
      <c r="AN179" s="35"/>
      <c r="AO179" s="48" t="s">
        <v>206</v>
      </c>
      <c r="AS179" s="48" t="s">
        <v>207</v>
      </c>
      <c r="AV179" s="40"/>
      <c r="BV179" s="41"/>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c r="DJ179" s="35"/>
      <c r="DK179" s="35"/>
      <c r="DL179" s="35"/>
      <c r="DM179" s="35"/>
      <c r="DN179" s="35"/>
      <c r="DO179" s="35"/>
      <c r="DP179" s="35"/>
    </row>
    <row r="180" ht="15.75" customHeight="1">
      <c r="A180" s="33"/>
      <c r="B180" s="236" t="str">
        <f>IF(I176="","",VLOOKUP(I176,'Spell Database'!$A$2:$W$1214,11,FALSE))</f>
        <v/>
      </c>
      <c r="C180" s="29"/>
      <c r="D180" s="32"/>
      <c r="F180" s="159" t="str">
        <f>IF(I176="","",VLOOKUP(I176,'Spell Database'!$A$2:$W$1214,4,FALSE))</f>
        <v/>
      </c>
      <c r="G180" s="32"/>
      <c r="I180" s="42"/>
      <c r="J180" s="43"/>
      <c r="K180" s="43"/>
      <c r="L180" s="43"/>
      <c r="M180" s="43"/>
      <c r="N180" s="43"/>
      <c r="O180" s="43"/>
      <c r="P180" s="43"/>
      <c r="Q180" s="43"/>
      <c r="R180" s="43"/>
      <c r="S180" s="43"/>
      <c r="T180" s="43"/>
      <c r="U180" s="43"/>
      <c r="V180" s="43"/>
      <c r="W180" s="43"/>
      <c r="X180" s="43"/>
      <c r="Y180" s="43"/>
      <c r="Z180" s="43"/>
      <c r="AA180" s="43"/>
      <c r="AB180" s="43"/>
      <c r="AC180" s="43"/>
      <c r="AD180" s="43"/>
      <c r="AE180" s="43"/>
      <c r="AF180" s="43"/>
      <c r="AG180" s="43"/>
      <c r="AH180" s="43"/>
      <c r="AI180" s="44"/>
      <c r="AJ180" s="34"/>
      <c r="AK180" s="35"/>
      <c r="AL180" s="35"/>
      <c r="AM180" s="35"/>
      <c r="AN180" s="35"/>
      <c r="AO180" s="236" t="str">
        <f>IF(AV176="","",VLOOKUP(AV176,'Spell Database'!$A$2:$W$1214,11,FALSE))</f>
        <v/>
      </c>
      <c r="AP180" s="29"/>
      <c r="AQ180" s="32"/>
      <c r="AS180" s="159" t="str">
        <f>IF(AV176="","",VLOOKUP(AV176,'Spell Database'!$A$2:$W$1214,4,FALSE))</f>
        <v/>
      </c>
      <c r="AT180" s="32"/>
      <c r="AV180" s="42"/>
      <c r="AW180" s="43"/>
      <c r="AX180" s="43"/>
      <c r="AY180" s="43"/>
      <c r="AZ180" s="43"/>
      <c r="BA180" s="43"/>
      <c r="BB180" s="43"/>
      <c r="BC180" s="43"/>
      <c r="BD180" s="43"/>
      <c r="BE180" s="43"/>
      <c r="BF180" s="43"/>
      <c r="BG180" s="43"/>
      <c r="BH180" s="43"/>
      <c r="BI180" s="43"/>
      <c r="BJ180" s="43"/>
      <c r="BK180" s="43"/>
      <c r="BL180" s="43"/>
      <c r="BM180" s="43"/>
      <c r="BN180" s="43"/>
      <c r="BO180" s="43"/>
      <c r="BP180" s="43"/>
      <c r="BQ180" s="43"/>
      <c r="BR180" s="43"/>
      <c r="BS180" s="43"/>
      <c r="BT180" s="43"/>
      <c r="BU180" s="43"/>
      <c r="BV180" s="44"/>
      <c r="BW180" s="34"/>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row>
    <row r="181" ht="9.75" customHeight="1">
      <c r="A181" s="33"/>
      <c r="B181" s="476"/>
      <c r="C181" s="476"/>
      <c r="D181" s="476"/>
      <c r="F181" s="172"/>
      <c r="G181" s="172"/>
      <c r="I181" s="491"/>
      <c r="J181" s="491"/>
      <c r="K181" s="491"/>
      <c r="L181" s="491"/>
      <c r="M181" s="491"/>
      <c r="N181" s="491"/>
      <c r="O181" s="491"/>
      <c r="P181" s="491"/>
      <c r="Q181" s="491"/>
      <c r="R181" s="491"/>
      <c r="S181" s="491"/>
      <c r="T181" s="491"/>
      <c r="U181" s="491"/>
      <c r="V181" s="491"/>
      <c r="W181" s="491"/>
      <c r="X181" s="491"/>
      <c r="Y181" s="491"/>
      <c r="Z181" s="491"/>
      <c r="AA181" s="491"/>
      <c r="AB181" s="491"/>
      <c r="AC181" s="491"/>
      <c r="AD181" s="491"/>
      <c r="AE181" s="491"/>
      <c r="AF181" s="491"/>
      <c r="AG181" s="491"/>
      <c r="AH181" s="491"/>
      <c r="AI181" s="491"/>
      <c r="AJ181" s="34"/>
      <c r="AK181" s="35"/>
      <c r="AL181" s="35"/>
      <c r="AM181" s="35"/>
      <c r="AN181" s="35"/>
      <c r="AO181" s="476"/>
      <c r="AP181" s="476"/>
      <c r="AQ181" s="476"/>
      <c r="AS181" s="172"/>
      <c r="AT181" s="172"/>
      <c r="AV181" s="491"/>
      <c r="AW181" s="491"/>
      <c r="AX181" s="491"/>
      <c r="AY181" s="491"/>
      <c r="AZ181" s="491"/>
      <c r="BA181" s="491"/>
      <c r="BB181" s="491"/>
      <c r="BC181" s="491"/>
      <c r="BD181" s="491"/>
      <c r="BE181" s="491"/>
      <c r="BF181" s="491"/>
      <c r="BG181" s="491"/>
      <c r="BH181" s="491"/>
      <c r="BI181" s="491"/>
      <c r="BJ181" s="491"/>
      <c r="BK181" s="491"/>
      <c r="BL181" s="491"/>
      <c r="BM181" s="491"/>
      <c r="BN181" s="491"/>
      <c r="BO181" s="491"/>
      <c r="BP181" s="491"/>
      <c r="BQ181" s="491"/>
      <c r="BR181" s="491"/>
      <c r="BS181" s="491"/>
      <c r="BT181" s="491"/>
      <c r="BU181" s="491"/>
      <c r="BV181" s="491"/>
      <c r="BW181" s="34"/>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row>
  </sheetData>
  <mergeCells count="1474">
    <mergeCell ref="BK106:BQ106"/>
    <mergeCell ref="BR106:BV106"/>
    <mergeCell ref="AS102:AT102"/>
    <mergeCell ref="BH105:BJ105"/>
    <mergeCell ref="BK105:BQ105"/>
    <mergeCell ref="BR105:BV105"/>
    <mergeCell ref="AV106:BG106"/>
    <mergeCell ref="BH106:BJ106"/>
    <mergeCell ref="AV107:BV110"/>
    <mergeCell ref="BX111:BY111"/>
    <mergeCell ref="BX112:BY112"/>
    <mergeCell ref="BX113:BY113"/>
    <mergeCell ref="BX114:BY114"/>
    <mergeCell ref="BH111:BJ111"/>
    <mergeCell ref="BK111:BQ111"/>
    <mergeCell ref="BR111:BV111"/>
    <mergeCell ref="AV112:BG112"/>
    <mergeCell ref="BH112:BJ112"/>
    <mergeCell ref="BK112:BQ112"/>
    <mergeCell ref="BR112:BV112"/>
    <mergeCell ref="AV113:BV116"/>
    <mergeCell ref="AS114:AT114"/>
    <mergeCell ref="AO115:AQ115"/>
    <mergeCell ref="AS115:AT115"/>
    <mergeCell ref="AO116:AQ116"/>
    <mergeCell ref="AS116:AT116"/>
    <mergeCell ref="AO109:AQ109"/>
    <mergeCell ref="AS109:AT109"/>
    <mergeCell ref="AO110:AQ110"/>
    <mergeCell ref="AS110:AT110"/>
    <mergeCell ref="AS111:AT111"/>
    <mergeCell ref="AS112:AT112"/>
    <mergeCell ref="AS113:AT113"/>
    <mergeCell ref="AS92:AT92"/>
    <mergeCell ref="AS93:AT93"/>
    <mergeCell ref="AV93:BV96"/>
    <mergeCell ref="BX93:BY93"/>
    <mergeCell ref="AS94:AT94"/>
    <mergeCell ref="AO95:AQ95"/>
    <mergeCell ref="AO96:AQ96"/>
    <mergeCell ref="BX97:BY97"/>
    <mergeCell ref="BX98:BY98"/>
    <mergeCell ref="BX99:BY99"/>
    <mergeCell ref="BX100:BY100"/>
    <mergeCell ref="BX105:BY105"/>
    <mergeCell ref="BX106:BY106"/>
    <mergeCell ref="BX107:BY107"/>
    <mergeCell ref="BX108:BY108"/>
    <mergeCell ref="BH97:BJ97"/>
    <mergeCell ref="BK97:BQ97"/>
    <mergeCell ref="BR97:BV97"/>
    <mergeCell ref="AV98:BG98"/>
    <mergeCell ref="BH98:BJ98"/>
    <mergeCell ref="BK98:BQ98"/>
    <mergeCell ref="BR98:BV98"/>
    <mergeCell ref="AV99:BV102"/>
    <mergeCell ref="AO101:AQ101"/>
    <mergeCell ref="AO102:AQ102"/>
    <mergeCell ref="B104:BY104"/>
    <mergeCell ref="AS95:AT95"/>
    <mergeCell ref="AS96:AT96"/>
    <mergeCell ref="AS97:AT97"/>
    <mergeCell ref="AS98:AT98"/>
    <mergeCell ref="AS99:AT99"/>
    <mergeCell ref="AS100:AT100"/>
    <mergeCell ref="AS101:AT101"/>
    <mergeCell ref="AS105:AT105"/>
    <mergeCell ref="AS108:AT108"/>
    <mergeCell ref="B115:D115"/>
    <mergeCell ref="B116:D116"/>
    <mergeCell ref="F116:G116"/>
    <mergeCell ref="AS106:AT106"/>
    <mergeCell ref="AS107:AT107"/>
    <mergeCell ref="F108:G108"/>
    <mergeCell ref="AK108:AL108"/>
    <mergeCell ref="F114:G114"/>
    <mergeCell ref="AK114:AL114"/>
    <mergeCell ref="F115:G115"/>
    <mergeCell ref="AS63:AT63"/>
    <mergeCell ref="AS66:AT66"/>
    <mergeCell ref="AO67:AQ67"/>
    <mergeCell ref="AS67:AT67"/>
    <mergeCell ref="AO68:AQ68"/>
    <mergeCell ref="AS68:AT68"/>
    <mergeCell ref="AS69:AT69"/>
    <mergeCell ref="CS68:CU68"/>
    <mergeCell ref="CV68:DB68"/>
    <mergeCell ref="CS73:CU73"/>
    <mergeCell ref="CV73:DB73"/>
    <mergeCell ref="DC73:DG73"/>
    <mergeCell ref="DH73:DI73"/>
    <mergeCell ref="DK73:DL73"/>
    <mergeCell ref="DN73:DO73"/>
    <mergeCell ref="DC68:DG68"/>
    <mergeCell ref="DH68:DI68"/>
    <mergeCell ref="U70:W70"/>
    <mergeCell ref="X70:AD70"/>
    <mergeCell ref="AE70:AI70"/>
    <mergeCell ref="AK70:AL70"/>
    <mergeCell ref="AS62:AT62"/>
    <mergeCell ref="BH63:BJ63"/>
    <mergeCell ref="BK63:BQ63"/>
    <mergeCell ref="BR63:BV63"/>
    <mergeCell ref="BX63:BY63"/>
    <mergeCell ref="AV65:BV68"/>
    <mergeCell ref="BX65:BY65"/>
    <mergeCell ref="CF74:CG74"/>
    <mergeCell ref="CI74:CR74"/>
    <mergeCell ref="CS74:CU74"/>
    <mergeCell ref="CV74:DB74"/>
    <mergeCell ref="DC74:DG74"/>
    <mergeCell ref="DH74:DI74"/>
    <mergeCell ref="DK74:DL74"/>
    <mergeCell ref="DN74:DO74"/>
    <mergeCell ref="AS73:AT73"/>
    <mergeCell ref="AS74:AT74"/>
    <mergeCell ref="AV71:BV74"/>
    <mergeCell ref="AS72:AT72"/>
    <mergeCell ref="BX72:BY72"/>
    <mergeCell ref="CB72:CD72"/>
    <mergeCell ref="AO73:AQ73"/>
    <mergeCell ref="CF73:CG73"/>
    <mergeCell ref="AO74:AQ74"/>
    <mergeCell ref="AS77:AT77"/>
    <mergeCell ref="BH77:BJ77"/>
    <mergeCell ref="BK77:BQ77"/>
    <mergeCell ref="BR77:BV77"/>
    <mergeCell ref="BX77:BY77"/>
    <mergeCell ref="CB77:CD77"/>
    <mergeCell ref="CF75:CG75"/>
    <mergeCell ref="B76:BY76"/>
    <mergeCell ref="F77:G77"/>
    <mergeCell ref="U77:W77"/>
    <mergeCell ref="X77:AD77"/>
    <mergeCell ref="AE77:AI77"/>
    <mergeCell ref="AK77:AL77"/>
    <mergeCell ref="AV78:BG78"/>
    <mergeCell ref="BH78:BJ78"/>
    <mergeCell ref="BK78:BQ78"/>
    <mergeCell ref="BR78:BV78"/>
    <mergeCell ref="BX78:BY78"/>
    <mergeCell ref="CB78:CD78"/>
    <mergeCell ref="CF67:CG67"/>
    <mergeCell ref="CS67:CU67"/>
    <mergeCell ref="CV67:DB67"/>
    <mergeCell ref="DC67:DG67"/>
    <mergeCell ref="DH67:DI67"/>
    <mergeCell ref="CI68:CR68"/>
    <mergeCell ref="CI69:DI72"/>
    <mergeCell ref="DK79:DL79"/>
    <mergeCell ref="DN79:DO79"/>
    <mergeCell ref="CI75:DI78"/>
    <mergeCell ref="DK75:DO75"/>
    <mergeCell ref="DK76:DO76"/>
    <mergeCell ref="CS79:CU79"/>
    <mergeCell ref="CV79:DB79"/>
    <mergeCell ref="DC79:DG79"/>
    <mergeCell ref="DH79:DI79"/>
    <mergeCell ref="DN80:DO80"/>
    <mergeCell ref="DK81:DO81"/>
    <mergeCell ref="DK82:DO82"/>
    <mergeCell ref="CF81:CG81"/>
    <mergeCell ref="CF82:CG82"/>
    <mergeCell ref="CF83:CG83"/>
    <mergeCell ref="CF84:CG84"/>
    <mergeCell ref="CF68:CG68"/>
    <mergeCell ref="CF72:CG72"/>
    <mergeCell ref="CF76:CG76"/>
    <mergeCell ref="CF77:CG77"/>
    <mergeCell ref="CF78:CG78"/>
    <mergeCell ref="CF79:CG79"/>
    <mergeCell ref="CF80:CG80"/>
    <mergeCell ref="CI80:CR80"/>
    <mergeCell ref="CS80:CU80"/>
    <mergeCell ref="CV80:DB80"/>
    <mergeCell ref="DC80:DG80"/>
    <mergeCell ref="DH80:DI80"/>
    <mergeCell ref="DK80:DL80"/>
    <mergeCell ref="CI81:DI84"/>
    <mergeCell ref="AS86:AT86"/>
    <mergeCell ref="AS87:AT87"/>
    <mergeCell ref="CF87:CG87"/>
    <mergeCell ref="CF88:CG88"/>
    <mergeCell ref="CB89:CD89"/>
    <mergeCell ref="CF89:CG89"/>
    <mergeCell ref="AS85:AT85"/>
    <mergeCell ref="AV85:BV88"/>
    <mergeCell ref="BX85:BY85"/>
    <mergeCell ref="CF85:CG85"/>
    <mergeCell ref="BX86:BY86"/>
    <mergeCell ref="CF86:CG86"/>
    <mergeCell ref="AS88:AT88"/>
    <mergeCell ref="CS86:CU86"/>
    <mergeCell ref="CV86:DB86"/>
    <mergeCell ref="DC86:DG86"/>
    <mergeCell ref="DH86:DI86"/>
    <mergeCell ref="DN85:DO85"/>
    <mergeCell ref="DN86:DO86"/>
    <mergeCell ref="DK87:DO87"/>
    <mergeCell ref="DK88:DO88"/>
    <mergeCell ref="CS85:CU85"/>
    <mergeCell ref="CV85:DB85"/>
    <mergeCell ref="DC85:DG85"/>
    <mergeCell ref="DH85:DI85"/>
    <mergeCell ref="DK85:DL85"/>
    <mergeCell ref="CI86:CR86"/>
    <mergeCell ref="DK86:DL86"/>
    <mergeCell ref="DK91:DL91"/>
    <mergeCell ref="DN91:DO91"/>
    <mergeCell ref="CI87:DI90"/>
    <mergeCell ref="CF90:CG90"/>
    <mergeCell ref="CF91:CG91"/>
    <mergeCell ref="CS91:CU91"/>
    <mergeCell ref="CV91:DB91"/>
    <mergeCell ref="DC91:DG91"/>
    <mergeCell ref="DH91:DI91"/>
    <mergeCell ref="CF92:CG92"/>
    <mergeCell ref="CF93:CG93"/>
    <mergeCell ref="CS98:CU98"/>
    <mergeCell ref="CV98:DB98"/>
    <mergeCell ref="CS97:CU97"/>
    <mergeCell ref="CV97:DB97"/>
    <mergeCell ref="DC97:DG97"/>
    <mergeCell ref="DH97:DI97"/>
    <mergeCell ref="DK97:DL97"/>
    <mergeCell ref="CI98:CR98"/>
    <mergeCell ref="DK98:DL98"/>
    <mergeCell ref="CF112:CG112"/>
    <mergeCell ref="CF113:CG113"/>
    <mergeCell ref="CI113:DI116"/>
    <mergeCell ref="CF114:CG114"/>
    <mergeCell ref="CB115:CD115"/>
    <mergeCell ref="CF115:CG115"/>
    <mergeCell ref="CB116:CD116"/>
    <mergeCell ref="CF116:CG116"/>
    <mergeCell ref="CF107:CG107"/>
    <mergeCell ref="CF108:CG108"/>
    <mergeCell ref="CB109:CD109"/>
    <mergeCell ref="CF109:CG109"/>
    <mergeCell ref="CB110:CD110"/>
    <mergeCell ref="CF110:CG110"/>
    <mergeCell ref="CF111:CG111"/>
    <mergeCell ref="AK126:AL126"/>
    <mergeCell ref="AK127:AL127"/>
    <mergeCell ref="I127:AI130"/>
    <mergeCell ref="AK128:AL128"/>
    <mergeCell ref="B129:D129"/>
    <mergeCell ref="F129:G129"/>
    <mergeCell ref="B130:D130"/>
    <mergeCell ref="F130:G130"/>
    <mergeCell ref="I126:T126"/>
    <mergeCell ref="U126:W126"/>
    <mergeCell ref="X126:AD126"/>
    <mergeCell ref="AE126:AI126"/>
    <mergeCell ref="AV126:BG126"/>
    <mergeCell ref="BH126:BJ126"/>
    <mergeCell ref="F128:G128"/>
    <mergeCell ref="AS127:AT127"/>
    <mergeCell ref="AV127:BV130"/>
    <mergeCell ref="CB127:CD127"/>
    <mergeCell ref="AS128:AT128"/>
    <mergeCell ref="BX128:BY128"/>
    <mergeCell ref="CB128:CD128"/>
    <mergeCell ref="AS129:AT129"/>
    <mergeCell ref="AS130:AT130"/>
    <mergeCell ref="BH133:BJ133"/>
    <mergeCell ref="BK133:BQ133"/>
    <mergeCell ref="BR133:BV133"/>
    <mergeCell ref="BX133:BY133"/>
    <mergeCell ref="CB133:CD133"/>
    <mergeCell ref="CB134:CD134"/>
    <mergeCell ref="AS133:AT133"/>
    <mergeCell ref="AS134:AT134"/>
    <mergeCell ref="AO129:AQ129"/>
    <mergeCell ref="AO130:AQ130"/>
    <mergeCell ref="B132:BY132"/>
    <mergeCell ref="F133:G133"/>
    <mergeCell ref="U133:W133"/>
    <mergeCell ref="X133:AD133"/>
    <mergeCell ref="AE133:AI133"/>
    <mergeCell ref="AV134:BG134"/>
    <mergeCell ref="BH134:BJ134"/>
    <mergeCell ref="BK134:BQ134"/>
    <mergeCell ref="BR134:BV134"/>
    <mergeCell ref="BX134:BY134"/>
    <mergeCell ref="AK133:AL133"/>
    <mergeCell ref="F134:G134"/>
    <mergeCell ref="I134:T134"/>
    <mergeCell ref="U134:W134"/>
    <mergeCell ref="X134:AD134"/>
    <mergeCell ref="AE134:AI134"/>
    <mergeCell ref="AK134:AL134"/>
    <mergeCell ref="AS135:AT135"/>
    <mergeCell ref="AS136:AT136"/>
    <mergeCell ref="AO137:AQ137"/>
    <mergeCell ref="AS137:AT137"/>
    <mergeCell ref="BH139:BJ139"/>
    <mergeCell ref="BK139:BQ139"/>
    <mergeCell ref="BR140:BV140"/>
    <mergeCell ref="BX140:BY140"/>
    <mergeCell ref="F136:G136"/>
    <mergeCell ref="B137:D137"/>
    <mergeCell ref="F137:G137"/>
    <mergeCell ref="B138:D138"/>
    <mergeCell ref="F138:G138"/>
    <mergeCell ref="F139:G139"/>
    <mergeCell ref="F140:G140"/>
    <mergeCell ref="F149:G149"/>
    <mergeCell ref="I149:AI152"/>
    <mergeCell ref="AK149:AL149"/>
    <mergeCell ref="AV149:BV152"/>
    <mergeCell ref="BX149:BY149"/>
    <mergeCell ref="AK150:AL150"/>
    <mergeCell ref="BX150:BY150"/>
    <mergeCell ref="AO152:AQ152"/>
    <mergeCell ref="AS152:AT152"/>
    <mergeCell ref="U153:W153"/>
    <mergeCell ref="X153:AD153"/>
    <mergeCell ref="AE153:AI153"/>
    <mergeCell ref="AK153:AL153"/>
    <mergeCell ref="AS153:AT153"/>
    <mergeCell ref="BH148:BJ148"/>
    <mergeCell ref="BK148:BQ148"/>
    <mergeCell ref="BR148:BV148"/>
    <mergeCell ref="BX148:BY148"/>
    <mergeCell ref="I148:T148"/>
    <mergeCell ref="U148:W148"/>
    <mergeCell ref="X148:AD148"/>
    <mergeCell ref="AE148:AI148"/>
    <mergeCell ref="AK148:AL148"/>
    <mergeCell ref="AS148:AT148"/>
    <mergeCell ref="AV148:BG148"/>
    <mergeCell ref="AS149:AT149"/>
    <mergeCell ref="AS150:AT150"/>
    <mergeCell ref="AS155:AT155"/>
    <mergeCell ref="F150:G150"/>
    <mergeCell ref="B151:D151"/>
    <mergeCell ref="F151:G151"/>
    <mergeCell ref="B152:D152"/>
    <mergeCell ref="F152:G152"/>
    <mergeCell ref="F153:G153"/>
    <mergeCell ref="F154:G154"/>
    <mergeCell ref="F155:G155"/>
    <mergeCell ref="AO151:AQ151"/>
    <mergeCell ref="AS151:AT151"/>
    <mergeCell ref="BH153:BJ153"/>
    <mergeCell ref="BK153:BQ153"/>
    <mergeCell ref="BR153:BV153"/>
    <mergeCell ref="BX153:BY153"/>
    <mergeCell ref="BH154:BJ154"/>
    <mergeCell ref="BK154:BQ154"/>
    <mergeCell ref="BR154:BV154"/>
    <mergeCell ref="BX154:BY154"/>
    <mergeCell ref="BX155:BY155"/>
    <mergeCell ref="BH161:BJ161"/>
    <mergeCell ref="BK161:BQ161"/>
    <mergeCell ref="B160:BY160"/>
    <mergeCell ref="F161:G161"/>
    <mergeCell ref="U161:W161"/>
    <mergeCell ref="X161:AD161"/>
    <mergeCell ref="AE161:AI161"/>
    <mergeCell ref="AK161:AL161"/>
    <mergeCell ref="AS161:AT161"/>
    <mergeCell ref="AK154:AL154"/>
    <mergeCell ref="AK155:AL155"/>
    <mergeCell ref="I155:AI158"/>
    <mergeCell ref="F156:G156"/>
    <mergeCell ref="B157:D157"/>
    <mergeCell ref="F157:G157"/>
    <mergeCell ref="B158:D158"/>
    <mergeCell ref="F158:G158"/>
    <mergeCell ref="AS154:AT154"/>
    <mergeCell ref="AS156:AT156"/>
    <mergeCell ref="AK156:AL156"/>
    <mergeCell ref="AO157:AQ157"/>
    <mergeCell ref="AS157:AT157"/>
    <mergeCell ref="AO158:AQ158"/>
    <mergeCell ref="AS158:AT158"/>
    <mergeCell ref="I154:T154"/>
    <mergeCell ref="U154:W154"/>
    <mergeCell ref="X154:AD154"/>
    <mergeCell ref="AE154:AI154"/>
    <mergeCell ref="AV154:BG154"/>
    <mergeCell ref="AV155:BV158"/>
    <mergeCell ref="BX156:BY156"/>
    <mergeCell ref="BX162:BY162"/>
    <mergeCell ref="BX163:BY163"/>
    <mergeCell ref="AK162:AL162"/>
    <mergeCell ref="BK162:BQ162"/>
    <mergeCell ref="BR162:BV162"/>
    <mergeCell ref="F163:G163"/>
    <mergeCell ref="I163:AI166"/>
    <mergeCell ref="B165:D165"/>
    <mergeCell ref="AO165:AQ165"/>
    <mergeCell ref="AV163:BV166"/>
    <mergeCell ref="BX164:BY164"/>
    <mergeCell ref="BH167:BJ167"/>
    <mergeCell ref="BK167:BQ167"/>
    <mergeCell ref="BR167:BV167"/>
    <mergeCell ref="AV168:BG168"/>
    <mergeCell ref="BR168:BV168"/>
    <mergeCell ref="AS162:AT162"/>
    <mergeCell ref="AS163:AT163"/>
    <mergeCell ref="AK163:AL163"/>
    <mergeCell ref="AK164:AL164"/>
    <mergeCell ref="F164:G164"/>
    <mergeCell ref="F165:G165"/>
    <mergeCell ref="F167:G167"/>
    <mergeCell ref="F168:G168"/>
    <mergeCell ref="AS164:AT164"/>
    <mergeCell ref="AS165:AT165"/>
    <mergeCell ref="AS167:AT167"/>
    <mergeCell ref="AS168:AT168"/>
    <mergeCell ref="AO166:AQ166"/>
    <mergeCell ref="AS166:AT166"/>
    <mergeCell ref="BH168:BJ168"/>
    <mergeCell ref="BK168:BQ168"/>
    <mergeCell ref="BX167:BY167"/>
    <mergeCell ref="BX168:BY168"/>
    <mergeCell ref="X176:AD176"/>
    <mergeCell ref="AE176:AI176"/>
    <mergeCell ref="AK176:AL176"/>
    <mergeCell ref="AS176:AT176"/>
    <mergeCell ref="AV176:BG176"/>
    <mergeCell ref="BH176:BJ176"/>
    <mergeCell ref="BK176:BQ176"/>
    <mergeCell ref="BR176:BV176"/>
    <mergeCell ref="B174:BY174"/>
    <mergeCell ref="BH175:BJ175"/>
    <mergeCell ref="BK175:BQ175"/>
    <mergeCell ref="BR175:BV175"/>
    <mergeCell ref="BX175:BY175"/>
    <mergeCell ref="I176:T176"/>
    <mergeCell ref="U176:W176"/>
    <mergeCell ref="BX176:BY176"/>
    <mergeCell ref="AK177:AL177"/>
    <mergeCell ref="AK178:AL178"/>
    <mergeCell ref="U168:W168"/>
    <mergeCell ref="X168:AD168"/>
    <mergeCell ref="U175:W175"/>
    <mergeCell ref="X175:AD175"/>
    <mergeCell ref="AE175:AI175"/>
    <mergeCell ref="AK175:AL175"/>
    <mergeCell ref="I177:AI180"/>
    <mergeCell ref="AK167:AL167"/>
    <mergeCell ref="AK168:AL168"/>
    <mergeCell ref="AK169:AL169"/>
    <mergeCell ref="AS169:AT169"/>
    <mergeCell ref="B166:D166"/>
    <mergeCell ref="F166:G166"/>
    <mergeCell ref="U167:W167"/>
    <mergeCell ref="X167:AD167"/>
    <mergeCell ref="AE167:AI167"/>
    <mergeCell ref="I168:T168"/>
    <mergeCell ref="AE168:AI168"/>
    <mergeCell ref="AS170:AT170"/>
    <mergeCell ref="AS171:AT171"/>
    <mergeCell ref="AS175:AT175"/>
    <mergeCell ref="AS177:AT177"/>
    <mergeCell ref="F169:G169"/>
    <mergeCell ref="I169:AI172"/>
    <mergeCell ref="AV169:BV172"/>
    <mergeCell ref="BX169:BY169"/>
    <mergeCell ref="AK170:AL170"/>
    <mergeCell ref="BX170:BY170"/>
    <mergeCell ref="AO171:AQ171"/>
    <mergeCell ref="F177:G177"/>
    <mergeCell ref="F178:G178"/>
    <mergeCell ref="B179:D179"/>
    <mergeCell ref="F179:G179"/>
    <mergeCell ref="B180:D180"/>
    <mergeCell ref="F180:G180"/>
    <mergeCell ref="F170:G170"/>
    <mergeCell ref="B171:D171"/>
    <mergeCell ref="F171:G171"/>
    <mergeCell ref="B172:D172"/>
    <mergeCell ref="F172:G172"/>
    <mergeCell ref="F175:G175"/>
    <mergeCell ref="F176:G176"/>
    <mergeCell ref="AO179:AQ179"/>
    <mergeCell ref="AO180:AQ180"/>
    <mergeCell ref="AO172:AQ172"/>
    <mergeCell ref="AS172:AT172"/>
    <mergeCell ref="AV177:BV180"/>
    <mergeCell ref="BX177:BY177"/>
    <mergeCell ref="AS178:AT178"/>
    <mergeCell ref="BX178:BY178"/>
    <mergeCell ref="AS179:AT179"/>
    <mergeCell ref="AS180:AT180"/>
    <mergeCell ref="AO87:AQ87"/>
    <mergeCell ref="AO88:AQ88"/>
    <mergeCell ref="B90:BY90"/>
    <mergeCell ref="CB90:CD90"/>
    <mergeCell ref="AS91:AT91"/>
    <mergeCell ref="BH91:BJ91"/>
    <mergeCell ref="BK91:BQ91"/>
    <mergeCell ref="BR91:BV91"/>
    <mergeCell ref="BX91:BY91"/>
    <mergeCell ref="AV92:BG92"/>
    <mergeCell ref="BH92:BJ92"/>
    <mergeCell ref="BK92:BQ92"/>
    <mergeCell ref="BR92:BV92"/>
    <mergeCell ref="BX92:BY92"/>
    <mergeCell ref="BH119:BJ119"/>
    <mergeCell ref="BK119:BQ119"/>
    <mergeCell ref="BR119:BV119"/>
    <mergeCell ref="BX119:BY119"/>
    <mergeCell ref="BX94:BY94"/>
    <mergeCell ref="CB95:CD95"/>
    <mergeCell ref="B118:BY118"/>
    <mergeCell ref="F119:G119"/>
    <mergeCell ref="U119:W119"/>
    <mergeCell ref="X119:AD119"/>
    <mergeCell ref="AE119:AI119"/>
    <mergeCell ref="F78:G78"/>
    <mergeCell ref="I78:T78"/>
    <mergeCell ref="U78:W78"/>
    <mergeCell ref="X78:AD78"/>
    <mergeCell ref="AE78:AI78"/>
    <mergeCell ref="AK78:AL78"/>
    <mergeCell ref="F79:G79"/>
    <mergeCell ref="AV79:BV82"/>
    <mergeCell ref="BH83:BJ83"/>
    <mergeCell ref="BK83:BQ83"/>
    <mergeCell ref="BR83:BV83"/>
    <mergeCell ref="BX83:BY83"/>
    <mergeCell ref="CB83:CD83"/>
    <mergeCell ref="AS78:AT78"/>
    <mergeCell ref="AS79:AT79"/>
    <mergeCell ref="BX79:BY79"/>
    <mergeCell ref="AS80:AT80"/>
    <mergeCell ref="BX80:BY80"/>
    <mergeCell ref="AS81:AT81"/>
    <mergeCell ref="AS82:AT82"/>
    <mergeCell ref="AO81:AQ81"/>
    <mergeCell ref="AO82:AQ82"/>
    <mergeCell ref="U83:W83"/>
    <mergeCell ref="X83:AD83"/>
    <mergeCell ref="AE83:AI83"/>
    <mergeCell ref="AK83:AL83"/>
    <mergeCell ref="AS83:AT83"/>
    <mergeCell ref="F83:G83"/>
    <mergeCell ref="F84:G84"/>
    <mergeCell ref="I84:T84"/>
    <mergeCell ref="U84:W84"/>
    <mergeCell ref="X84:AD84"/>
    <mergeCell ref="AE84:AI84"/>
    <mergeCell ref="AK84:AL84"/>
    <mergeCell ref="AS84:AT84"/>
    <mergeCell ref="AV84:BG84"/>
    <mergeCell ref="BH84:BJ84"/>
    <mergeCell ref="BK84:BQ84"/>
    <mergeCell ref="BR84:BV84"/>
    <mergeCell ref="BX84:BY84"/>
    <mergeCell ref="CB84:CD84"/>
    <mergeCell ref="AS119:AT119"/>
    <mergeCell ref="AS120:AT120"/>
    <mergeCell ref="AV120:BG120"/>
    <mergeCell ref="BH120:BJ120"/>
    <mergeCell ref="BK120:BQ120"/>
    <mergeCell ref="BR120:BV120"/>
    <mergeCell ref="BX120:BY120"/>
    <mergeCell ref="F121:G121"/>
    <mergeCell ref="I121:AI124"/>
    <mergeCell ref="AS121:AT121"/>
    <mergeCell ref="AV121:BV124"/>
    <mergeCell ref="CB121:CD121"/>
    <mergeCell ref="CB122:CD122"/>
    <mergeCell ref="AO123:AQ123"/>
    <mergeCell ref="AO124:AQ124"/>
    <mergeCell ref="AS124:AT124"/>
    <mergeCell ref="U125:W125"/>
    <mergeCell ref="X125:AD125"/>
    <mergeCell ref="AE125:AI125"/>
    <mergeCell ref="AK125:AL125"/>
    <mergeCell ref="AS125:AT125"/>
    <mergeCell ref="AK119:AL119"/>
    <mergeCell ref="F120:G120"/>
    <mergeCell ref="I120:T120"/>
    <mergeCell ref="U120:W120"/>
    <mergeCell ref="X120:AD120"/>
    <mergeCell ref="AE120:AI120"/>
    <mergeCell ref="AK120:AL120"/>
    <mergeCell ref="AK121:AL121"/>
    <mergeCell ref="AK122:AL122"/>
    <mergeCell ref="BX121:BY121"/>
    <mergeCell ref="BX122:BY122"/>
    <mergeCell ref="BX127:BY127"/>
    <mergeCell ref="F122:G122"/>
    <mergeCell ref="B123:D123"/>
    <mergeCell ref="F123:G123"/>
    <mergeCell ref="B124:D124"/>
    <mergeCell ref="F124:G124"/>
    <mergeCell ref="F125:G125"/>
    <mergeCell ref="F126:G126"/>
    <mergeCell ref="F127:G127"/>
    <mergeCell ref="AS122:AT122"/>
    <mergeCell ref="AS123:AT123"/>
    <mergeCell ref="AS126:AT126"/>
    <mergeCell ref="BH125:BJ125"/>
    <mergeCell ref="BK125:BQ125"/>
    <mergeCell ref="BR125:BV125"/>
    <mergeCell ref="BX125:BY125"/>
    <mergeCell ref="BK126:BQ126"/>
    <mergeCell ref="BR126:BV126"/>
    <mergeCell ref="BX126:BY126"/>
    <mergeCell ref="F135:G135"/>
    <mergeCell ref="I135:AI138"/>
    <mergeCell ref="AK135:AL135"/>
    <mergeCell ref="AV135:BV138"/>
    <mergeCell ref="BX135:BY135"/>
    <mergeCell ref="AK136:AL136"/>
    <mergeCell ref="BX136:BY136"/>
    <mergeCell ref="BR139:BV139"/>
    <mergeCell ref="BX139:BY139"/>
    <mergeCell ref="CB139:CD139"/>
    <mergeCell ref="AO138:AQ138"/>
    <mergeCell ref="AS138:AT138"/>
    <mergeCell ref="U139:W139"/>
    <mergeCell ref="X139:AD139"/>
    <mergeCell ref="AE139:AI139"/>
    <mergeCell ref="AK139:AL139"/>
    <mergeCell ref="AS139:AT139"/>
    <mergeCell ref="AV162:BG162"/>
    <mergeCell ref="BH162:BJ162"/>
    <mergeCell ref="BR161:BV161"/>
    <mergeCell ref="BX161:BY161"/>
    <mergeCell ref="F162:G162"/>
    <mergeCell ref="I162:T162"/>
    <mergeCell ref="U162:W162"/>
    <mergeCell ref="X162:AD162"/>
    <mergeCell ref="AE162:AI162"/>
    <mergeCell ref="AY3:BC3"/>
    <mergeCell ref="BJ3:BK3"/>
    <mergeCell ref="BJ5:BK5"/>
    <mergeCell ref="BY3:CA3"/>
    <mergeCell ref="CB3:CH3"/>
    <mergeCell ref="CI3:CM3"/>
    <mergeCell ref="CO3:DA3"/>
    <mergeCell ref="CO4:DA6"/>
    <mergeCell ref="DC4:DO6"/>
    <mergeCell ref="CO7:DA7"/>
    <mergeCell ref="DC7:DO7"/>
    <mergeCell ref="B2:T2"/>
    <mergeCell ref="V2:CM2"/>
    <mergeCell ref="CO2:DO2"/>
    <mergeCell ref="B3:C3"/>
    <mergeCell ref="F3:P3"/>
    <mergeCell ref="S3:T3"/>
    <mergeCell ref="Z3:AA3"/>
    <mergeCell ref="DC3:DO3"/>
    <mergeCell ref="AO4:AQ4"/>
    <mergeCell ref="AR4:AX4"/>
    <mergeCell ref="AY4:BC4"/>
    <mergeCell ref="BJ4:BK4"/>
    <mergeCell ref="BM4:BX4"/>
    <mergeCell ref="BY4:CA4"/>
    <mergeCell ref="CB4:CH4"/>
    <mergeCell ref="CI4:CM4"/>
    <mergeCell ref="AO3:AQ3"/>
    <mergeCell ref="AR3:AX3"/>
    <mergeCell ref="B4:C4"/>
    <mergeCell ref="F4:P4"/>
    <mergeCell ref="S4:T4"/>
    <mergeCell ref="Z4:AA4"/>
    <mergeCell ref="AC4:AN4"/>
    <mergeCell ref="BJ6:BK6"/>
    <mergeCell ref="BJ7:BK7"/>
    <mergeCell ref="BM10:BX10"/>
    <mergeCell ref="BY10:CA10"/>
    <mergeCell ref="DC8:DO10"/>
    <mergeCell ref="DC11:DO11"/>
    <mergeCell ref="BF7:BH7"/>
    <mergeCell ref="BF8:BH8"/>
    <mergeCell ref="CO8:DA10"/>
    <mergeCell ref="BY9:CA9"/>
    <mergeCell ref="CB9:CH9"/>
    <mergeCell ref="CI9:CM9"/>
    <mergeCell ref="CO11:DA11"/>
    <mergeCell ref="BJ14:BK14"/>
    <mergeCell ref="BJ15:BK15"/>
    <mergeCell ref="BJ23:BK23"/>
    <mergeCell ref="BJ24:BK24"/>
    <mergeCell ref="BJ9:BK9"/>
    <mergeCell ref="BJ10:BK10"/>
    <mergeCell ref="BJ11:BK11"/>
    <mergeCell ref="BJ12:BK12"/>
    <mergeCell ref="BF13:BH13"/>
    <mergeCell ref="BJ13:BK13"/>
    <mergeCell ref="BF14:BH14"/>
    <mergeCell ref="AC10:AN10"/>
    <mergeCell ref="AO10:AQ10"/>
    <mergeCell ref="AR10:AX10"/>
    <mergeCell ref="AY10:BC10"/>
    <mergeCell ref="AC11:BC14"/>
    <mergeCell ref="Z15:AA15"/>
    <mergeCell ref="AO15:AQ15"/>
    <mergeCell ref="AR23:AX23"/>
    <mergeCell ref="AY23:BC23"/>
    <mergeCell ref="AC24:AN24"/>
    <mergeCell ref="AO24:AQ24"/>
    <mergeCell ref="AR24:AX24"/>
    <mergeCell ref="AY24:BC24"/>
    <mergeCell ref="Z16:AA16"/>
    <mergeCell ref="AC16:AN16"/>
    <mergeCell ref="AO16:AQ16"/>
    <mergeCell ref="AR16:AX16"/>
    <mergeCell ref="AY16:BC16"/>
    <mergeCell ref="AC17:BC20"/>
    <mergeCell ref="AO23:AQ23"/>
    <mergeCell ref="Z5:AA5"/>
    <mergeCell ref="AC5:BC8"/>
    <mergeCell ref="BM5:CM8"/>
    <mergeCell ref="B6:E7"/>
    <mergeCell ref="F6:G7"/>
    <mergeCell ref="H6:I7"/>
    <mergeCell ref="Z8:AA8"/>
    <mergeCell ref="BJ8:BK8"/>
    <mergeCell ref="K8:T8"/>
    <mergeCell ref="V8:X8"/>
    <mergeCell ref="K9:T9"/>
    <mergeCell ref="Z9:AA9"/>
    <mergeCell ref="AO9:AQ9"/>
    <mergeCell ref="AR9:AX9"/>
    <mergeCell ref="AY9:BC9"/>
    <mergeCell ref="CB10:CH10"/>
    <mergeCell ref="CI10:CM10"/>
    <mergeCell ref="BM11:CM14"/>
    <mergeCell ref="CO12:DA14"/>
    <mergeCell ref="DC12:DO14"/>
    <mergeCell ref="K10:T14"/>
    <mergeCell ref="K16:T16"/>
    <mergeCell ref="K17:T17"/>
    <mergeCell ref="Z17:AA17"/>
    <mergeCell ref="B8:E9"/>
    <mergeCell ref="F8:G9"/>
    <mergeCell ref="H8:I9"/>
    <mergeCell ref="B10:E11"/>
    <mergeCell ref="F10:G11"/>
    <mergeCell ref="H10:I11"/>
    <mergeCell ref="H12:I13"/>
    <mergeCell ref="AR15:AX15"/>
    <mergeCell ref="AY15:BC15"/>
    <mergeCell ref="BY15:CA15"/>
    <mergeCell ref="CB15:CH15"/>
    <mergeCell ref="CI15:CM15"/>
    <mergeCell ref="CO15:DA15"/>
    <mergeCell ref="DC15:DO15"/>
    <mergeCell ref="B16:E17"/>
    <mergeCell ref="B18:E19"/>
    <mergeCell ref="F18:G19"/>
    <mergeCell ref="H18:I19"/>
    <mergeCell ref="BF19:BH19"/>
    <mergeCell ref="B12:E13"/>
    <mergeCell ref="F12:G13"/>
    <mergeCell ref="B14:E15"/>
    <mergeCell ref="F14:G15"/>
    <mergeCell ref="H14:I15"/>
    <mergeCell ref="F16:G17"/>
    <mergeCell ref="H16:I17"/>
    <mergeCell ref="BJ16:BK16"/>
    <mergeCell ref="BM16:BX16"/>
    <mergeCell ref="BY16:CA16"/>
    <mergeCell ref="CB16:CH16"/>
    <mergeCell ref="CI16:CM16"/>
    <mergeCell ref="CO16:DA18"/>
    <mergeCell ref="DC16:DO18"/>
    <mergeCell ref="BJ17:BK17"/>
    <mergeCell ref="BM17:CM20"/>
    <mergeCell ref="BJ18:BK18"/>
    <mergeCell ref="BJ19:BK19"/>
    <mergeCell ref="DC19:DO19"/>
    <mergeCell ref="BF20:BH20"/>
    <mergeCell ref="BJ20:BK20"/>
    <mergeCell ref="DC20:DO22"/>
    <mergeCell ref="DC23:DO23"/>
    <mergeCell ref="DC24:DO28"/>
    <mergeCell ref="CO19:DA19"/>
    <mergeCell ref="CO20:DA22"/>
    <mergeCell ref="V22:CM22"/>
    <mergeCell ref="BY23:CA23"/>
    <mergeCell ref="CB23:CH23"/>
    <mergeCell ref="CI23:CM23"/>
    <mergeCell ref="CO23:DA23"/>
    <mergeCell ref="BJ25:BK25"/>
    <mergeCell ref="BJ26:BK26"/>
    <mergeCell ref="BF27:BH27"/>
    <mergeCell ref="BJ27:BK27"/>
    <mergeCell ref="CB29:CH29"/>
    <mergeCell ref="CI29:CM29"/>
    <mergeCell ref="CO29:DO29"/>
    <mergeCell ref="BM24:BX24"/>
    <mergeCell ref="BY24:CA24"/>
    <mergeCell ref="CB24:CH24"/>
    <mergeCell ref="CI24:CM24"/>
    <mergeCell ref="CO24:DA28"/>
    <mergeCell ref="AC25:BC28"/>
    <mergeCell ref="BM25:CM28"/>
    <mergeCell ref="BF28:BH28"/>
    <mergeCell ref="BJ28:BK28"/>
    <mergeCell ref="AO29:AQ29"/>
    <mergeCell ref="AR29:AX29"/>
    <mergeCell ref="AY29:BC29"/>
    <mergeCell ref="BJ29:BK29"/>
    <mergeCell ref="BY29:CA29"/>
    <mergeCell ref="CB30:CH30"/>
    <mergeCell ref="CI30:CM30"/>
    <mergeCell ref="CO30:DO34"/>
    <mergeCell ref="CB36:DO36"/>
    <mergeCell ref="BJ30:BK30"/>
    <mergeCell ref="BJ31:BK31"/>
    <mergeCell ref="BK35:BL35"/>
    <mergeCell ref="BN35:BO35"/>
    <mergeCell ref="BQ35:BR35"/>
    <mergeCell ref="BM31:CM34"/>
    <mergeCell ref="BJ32:BK32"/>
    <mergeCell ref="BJ33:BK33"/>
    <mergeCell ref="BJ34:BK34"/>
    <mergeCell ref="BF33:BH33"/>
    <mergeCell ref="BF34:BH34"/>
    <mergeCell ref="AC30:AN30"/>
    <mergeCell ref="AO30:AQ30"/>
    <mergeCell ref="AR30:AX30"/>
    <mergeCell ref="AY30:BC30"/>
    <mergeCell ref="BM30:BX30"/>
    <mergeCell ref="BY30:CA30"/>
    <mergeCell ref="AC31:BC34"/>
    <mergeCell ref="CI62:CR62"/>
    <mergeCell ref="CS62:CU62"/>
    <mergeCell ref="CV62:DB62"/>
    <mergeCell ref="DC62:DG62"/>
    <mergeCell ref="DH62:DI62"/>
    <mergeCell ref="CI63:DI66"/>
    <mergeCell ref="DC56:DG56"/>
    <mergeCell ref="DH56:DI56"/>
    <mergeCell ref="CI57:DI60"/>
    <mergeCell ref="CS61:CU61"/>
    <mergeCell ref="CV61:DB61"/>
    <mergeCell ref="DC61:DG61"/>
    <mergeCell ref="DH61:DI61"/>
    <mergeCell ref="DK55:DL55"/>
    <mergeCell ref="B56:BY56"/>
    <mergeCell ref="CF56:CG56"/>
    <mergeCell ref="CI56:CR56"/>
    <mergeCell ref="CS56:CU56"/>
    <mergeCell ref="CV56:DB56"/>
    <mergeCell ref="DK56:DL56"/>
    <mergeCell ref="X58:AD58"/>
    <mergeCell ref="AE58:AI58"/>
    <mergeCell ref="BK58:BQ58"/>
    <mergeCell ref="BR58:BV58"/>
    <mergeCell ref="AV59:BV62"/>
    <mergeCell ref="BX59:BY59"/>
    <mergeCell ref="CB59:CD59"/>
    <mergeCell ref="BX60:BY60"/>
    <mergeCell ref="CB60:CD60"/>
    <mergeCell ref="AS57:AT57"/>
    <mergeCell ref="AS58:AT58"/>
    <mergeCell ref="AS59:AT59"/>
    <mergeCell ref="AS60:AT60"/>
    <mergeCell ref="AO61:AQ61"/>
    <mergeCell ref="AS61:AT61"/>
    <mergeCell ref="AO62:AQ62"/>
    <mergeCell ref="AS65:AT65"/>
    <mergeCell ref="AE64:AI64"/>
    <mergeCell ref="AK64:AL64"/>
    <mergeCell ref="AS64:AT64"/>
    <mergeCell ref="AV64:BG64"/>
    <mergeCell ref="BH64:BJ64"/>
    <mergeCell ref="BK64:BQ64"/>
    <mergeCell ref="BR64:BV64"/>
    <mergeCell ref="BX64:BY64"/>
    <mergeCell ref="I58:T58"/>
    <mergeCell ref="U58:W58"/>
    <mergeCell ref="F59:G59"/>
    <mergeCell ref="F64:G64"/>
    <mergeCell ref="I64:T64"/>
    <mergeCell ref="U64:W64"/>
    <mergeCell ref="X64:AD64"/>
    <mergeCell ref="F65:G65"/>
    <mergeCell ref="CB65:CD65"/>
    <mergeCell ref="BX66:BY66"/>
    <mergeCell ref="CB66:CD66"/>
    <mergeCell ref="CF59:CG59"/>
    <mergeCell ref="CF60:CG60"/>
    <mergeCell ref="CF61:CG61"/>
    <mergeCell ref="CF62:CG62"/>
    <mergeCell ref="CF63:CG63"/>
    <mergeCell ref="CF64:CG64"/>
    <mergeCell ref="CF65:CG65"/>
    <mergeCell ref="CF66:CG66"/>
    <mergeCell ref="BX37:BY37"/>
    <mergeCell ref="CF37:CG37"/>
    <mergeCell ref="CS37:CU37"/>
    <mergeCell ref="CV37:DB37"/>
    <mergeCell ref="DC37:DG37"/>
    <mergeCell ref="DH37:DI37"/>
    <mergeCell ref="DK37:DL37"/>
    <mergeCell ref="DN37:DO37"/>
    <mergeCell ref="AK37:AL37"/>
    <mergeCell ref="AK38:AL38"/>
    <mergeCell ref="BH38:BJ38"/>
    <mergeCell ref="BK38:BQ38"/>
    <mergeCell ref="B36:BY36"/>
    <mergeCell ref="AE37:AI37"/>
    <mergeCell ref="AS37:AT37"/>
    <mergeCell ref="BH37:BJ37"/>
    <mergeCell ref="BK37:BQ37"/>
    <mergeCell ref="BR37:BV37"/>
    <mergeCell ref="AE38:AI38"/>
    <mergeCell ref="DH38:DI38"/>
    <mergeCell ref="DK38:DL38"/>
    <mergeCell ref="DN38:DO38"/>
    <mergeCell ref="DK39:DO39"/>
    <mergeCell ref="DK40:DO40"/>
    <mergeCell ref="BX39:BY39"/>
    <mergeCell ref="BX40:BY40"/>
    <mergeCell ref="AS40:AT40"/>
    <mergeCell ref="AO41:AQ41"/>
    <mergeCell ref="BR38:BV38"/>
    <mergeCell ref="BX38:BY38"/>
    <mergeCell ref="CF38:CG38"/>
    <mergeCell ref="CI38:CR38"/>
    <mergeCell ref="CS38:CU38"/>
    <mergeCell ref="CV38:DB38"/>
    <mergeCell ref="DC38:DG38"/>
    <mergeCell ref="CF40:CG40"/>
    <mergeCell ref="CB41:CD41"/>
    <mergeCell ref="CF41:CG41"/>
    <mergeCell ref="AS38:AT38"/>
    <mergeCell ref="AV38:BG38"/>
    <mergeCell ref="AS39:AT39"/>
    <mergeCell ref="AV39:BV42"/>
    <mergeCell ref="CF39:CG39"/>
    <mergeCell ref="CI39:DI42"/>
    <mergeCell ref="AO42:AQ42"/>
    <mergeCell ref="CS43:CU43"/>
    <mergeCell ref="CV43:DB43"/>
    <mergeCell ref="DC43:DG43"/>
    <mergeCell ref="DH43:DI43"/>
    <mergeCell ref="DK43:DL43"/>
    <mergeCell ref="DN43:DO43"/>
    <mergeCell ref="CB42:CD42"/>
    <mergeCell ref="CF42:CG42"/>
    <mergeCell ref="BH43:BJ43"/>
    <mergeCell ref="BK43:BQ43"/>
    <mergeCell ref="BR43:BV43"/>
    <mergeCell ref="BX43:BY43"/>
    <mergeCell ref="CF43:CG43"/>
    <mergeCell ref="DC44:DG44"/>
    <mergeCell ref="DH44:DI44"/>
    <mergeCell ref="DK44:DL44"/>
    <mergeCell ref="DN44:DO44"/>
    <mergeCell ref="BK44:BQ44"/>
    <mergeCell ref="BR44:BV44"/>
    <mergeCell ref="BX44:BY44"/>
    <mergeCell ref="CF44:CG44"/>
    <mergeCell ref="CI44:CR44"/>
    <mergeCell ref="CS44:CU44"/>
    <mergeCell ref="CV44:DB44"/>
    <mergeCell ref="AS41:AT41"/>
    <mergeCell ref="AS42:AT42"/>
    <mergeCell ref="AS43:AT43"/>
    <mergeCell ref="AS44:AT44"/>
    <mergeCell ref="AV44:BG44"/>
    <mergeCell ref="BH44:BJ44"/>
    <mergeCell ref="AS45:AT45"/>
    <mergeCell ref="DK45:DO45"/>
    <mergeCell ref="DK46:DO46"/>
    <mergeCell ref="AS46:AT46"/>
    <mergeCell ref="AS47:AT47"/>
    <mergeCell ref="AS49:AT49"/>
    <mergeCell ref="AS50:AT50"/>
    <mergeCell ref="CF46:CG46"/>
    <mergeCell ref="CF47:CG47"/>
    <mergeCell ref="CF49:CG49"/>
    <mergeCell ref="CF50:CG50"/>
    <mergeCell ref="CB48:CD48"/>
    <mergeCell ref="CF48:CG48"/>
    <mergeCell ref="CS49:CU49"/>
    <mergeCell ref="CV49:DB49"/>
    <mergeCell ref="DC49:DG49"/>
    <mergeCell ref="DH49:DI49"/>
    <mergeCell ref="DK49:DL49"/>
    <mergeCell ref="DN49:DO49"/>
    <mergeCell ref="AV45:BV48"/>
    <mergeCell ref="BX45:BY45"/>
    <mergeCell ref="CF45:CG45"/>
    <mergeCell ref="CI45:DI48"/>
    <mergeCell ref="BX46:BY46"/>
    <mergeCell ref="AO47:AQ47"/>
    <mergeCell ref="CB47:CD47"/>
    <mergeCell ref="DK50:DL50"/>
    <mergeCell ref="DN50:DO50"/>
    <mergeCell ref="BX49:BY49"/>
    <mergeCell ref="BX50:BY50"/>
    <mergeCell ref="CI50:CR50"/>
    <mergeCell ref="CS50:CU50"/>
    <mergeCell ref="CV50:DB50"/>
    <mergeCell ref="DC50:DG50"/>
    <mergeCell ref="DH50:DI50"/>
    <mergeCell ref="BH50:BJ50"/>
    <mergeCell ref="BK50:BQ50"/>
    <mergeCell ref="AO48:AQ48"/>
    <mergeCell ref="AS48:AT48"/>
    <mergeCell ref="BH49:BJ49"/>
    <mergeCell ref="BK49:BQ49"/>
    <mergeCell ref="BR49:BV49"/>
    <mergeCell ref="AV50:BG50"/>
    <mergeCell ref="BR50:BV50"/>
    <mergeCell ref="CF51:CG51"/>
    <mergeCell ref="CF52:CG52"/>
    <mergeCell ref="AS52:AT52"/>
    <mergeCell ref="AO53:AQ53"/>
    <mergeCell ref="AS53:AT53"/>
    <mergeCell ref="AO54:AQ54"/>
    <mergeCell ref="AS54:AT54"/>
    <mergeCell ref="CB53:CD53"/>
    <mergeCell ref="CF53:CG53"/>
    <mergeCell ref="AS51:AT51"/>
    <mergeCell ref="AV51:BV54"/>
    <mergeCell ref="BX51:BY51"/>
    <mergeCell ref="CI51:DI54"/>
    <mergeCell ref="DK51:DO51"/>
    <mergeCell ref="BX52:BY52"/>
    <mergeCell ref="DK52:DO52"/>
    <mergeCell ref="CB54:CD54"/>
    <mergeCell ref="CF54:CG54"/>
    <mergeCell ref="CF55:CG55"/>
    <mergeCell ref="CS55:CU55"/>
    <mergeCell ref="CV55:DB55"/>
    <mergeCell ref="DC55:DG55"/>
    <mergeCell ref="DH55:DI55"/>
    <mergeCell ref="AV58:BG58"/>
    <mergeCell ref="BH58:BJ58"/>
    <mergeCell ref="CF57:CG57"/>
    <mergeCell ref="CF58:CG58"/>
    <mergeCell ref="BH57:BJ57"/>
    <mergeCell ref="BK57:BQ57"/>
    <mergeCell ref="BR57:BV57"/>
    <mergeCell ref="BX57:BY57"/>
    <mergeCell ref="F58:G58"/>
    <mergeCell ref="AK58:AL58"/>
    <mergeCell ref="BX58:BY58"/>
    <mergeCell ref="DN55:DO55"/>
    <mergeCell ref="DN56:DO56"/>
    <mergeCell ref="DK57:DO57"/>
    <mergeCell ref="DK58:DO58"/>
    <mergeCell ref="DK61:DL61"/>
    <mergeCell ref="DN61:DO61"/>
    <mergeCell ref="DK62:DL62"/>
    <mergeCell ref="DK69:DO69"/>
    <mergeCell ref="DK70:DO70"/>
    <mergeCell ref="DN62:DO62"/>
    <mergeCell ref="DK63:DO63"/>
    <mergeCell ref="DK64:DO64"/>
    <mergeCell ref="DK67:DL67"/>
    <mergeCell ref="DN67:DO67"/>
    <mergeCell ref="DK68:DL68"/>
    <mergeCell ref="DN68:DO68"/>
    <mergeCell ref="AS70:AT70"/>
    <mergeCell ref="AV70:BG70"/>
    <mergeCell ref="AS71:AT71"/>
    <mergeCell ref="BH70:BJ70"/>
    <mergeCell ref="BK70:BQ70"/>
    <mergeCell ref="BX69:BY69"/>
    <mergeCell ref="BX70:BY70"/>
    <mergeCell ref="BX71:BY71"/>
    <mergeCell ref="CB71:CD71"/>
    <mergeCell ref="CF71:CG71"/>
    <mergeCell ref="F70:G70"/>
    <mergeCell ref="F71:G71"/>
    <mergeCell ref="BH69:BJ69"/>
    <mergeCell ref="BK69:BQ69"/>
    <mergeCell ref="BR69:BV69"/>
    <mergeCell ref="CF69:CG69"/>
    <mergeCell ref="I70:T70"/>
    <mergeCell ref="BR70:BV70"/>
    <mergeCell ref="CF70:CG70"/>
    <mergeCell ref="I79:AI82"/>
    <mergeCell ref="I85:AI88"/>
    <mergeCell ref="AK85:AL85"/>
    <mergeCell ref="AK86:AL86"/>
    <mergeCell ref="X91:AD91"/>
    <mergeCell ref="AE91:AI91"/>
    <mergeCell ref="AK91:AL91"/>
    <mergeCell ref="U91:W91"/>
    <mergeCell ref="I92:T92"/>
    <mergeCell ref="U92:W92"/>
    <mergeCell ref="X92:AD92"/>
    <mergeCell ref="AE92:AI92"/>
    <mergeCell ref="AK92:AL92"/>
    <mergeCell ref="I93:AI96"/>
    <mergeCell ref="B68:D68"/>
    <mergeCell ref="B73:D73"/>
    <mergeCell ref="B87:D87"/>
    <mergeCell ref="B88:D88"/>
    <mergeCell ref="B95:D95"/>
    <mergeCell ref="B96:D96"/>
    <mergeCell ref="B101:D101"/>
    <mergeCell ref="B102:D102"/>
    <mergeCell ref="F73:G73"/>
    <mergeCell ref="B74:D74"/>
    <mergeCell ref="F74:G74"/>
    <mergeCell ref="I65:AI68"/>
    <mergeCell ref="B67:D67"/>
    <mergeCell ref="F67:G67"/>
    <mergeCell ref="X69:AD69"/>
    <mergeCell ref="AE69:AI69"/>
    <mergeCell ref="I71:AI74"/>
    <mergeCell ref="AK72:AL72"/>
    <mergeCell ref="AK79:AL79"/>
    <mergeCell ref="F80:G80"/>
    <mergeCell ref="AK80:AL80"/>
    <mergeCell ref="B81:D81"/>
    <mergeCell ref="F81:G81"/>
    <mergeCell ref="B82:D82"/>
    <mergeCell ref="F82:G82"/>
    <mergeCell ref="AK93:AL93"/>
    <mergeCell ref="AK94:AL94"/>
    <mergeCell ref="AK97:AL97"/>
    <mergeCell ref="AK98:AL98"/>
    <mergeCell ref="AK99:AL99"/>
    <mergeCell ref="AK100:AL100"/>
    <mergeCell ref="AK105:AL105"/>
    <mergeCell ref="U97:W97"/>
    <mergeCell ref="X97:AD97"/>
    <mergeCell ref="AE97:AI97"/>
    <mergeCell ref="I98:T98"/>
    <mergeCell ref="U98:W98"/>
    <mergeCell ref="X98:AD98"/>
    <mergeCell ref="AE98:AI98"/>
    <mergeCell ref="B28:E29"/>
    <mergeCell ref="F28:G29"/>
    <mergeCell ref="H28:I29"/>
    <mergeCell ref="B30:E31"/>
    <mergeCell ref="F30:G31"/>
    <mergeCell ref="H30:I31"/>
    <mergeCell ref="H33:H34"/>
    <mergeCell ref="F49:G49"/>
    <mergeCell ref="F50:G50"/>
    <mergeCell ref="F51:G51"/>
    <mergeCell ref="D33:G34"/>
    <mergeCell ref="F37:G37"/>
    <mergeCell ref="F38:G38"/>
    <mergeCell ref="F39:G39"/>
    <mergeCell ref="F43:G43"/>
    <mergeCell ref="F44:G44"/>
    <mergeCell ref="F45:G45"/>
    <mergeCell ref="Z6:AA6"/>
    <mergeCell ref="V7:X7"/>
    <mergeCell ref="Z7:AA7"/>
    <mergeCell ref="Z10:AA10"/>
    <mergeCell ref="Z11:AA11"/>
    <mergeCell ref="Z12:AA12"/>
    <mergeCell ref="Z13:AA13"/>
    <mergeCell ref="V13:X13"/>
    <mergeCell ref="V14:X14"/>
    <mergeCell ref="K18:T22"/>
    <mergeCell ref="V19:X19"/>
    <mergeCell ref="F20:G21"/>
    <mergeCell ref="H20:I21"/>
    <mergeCell ref="V20:X20"/>
    <mergeCell ref="B26:E27"/>
    <mergeCell ref="F26:G27"/>
    <mergeCell ref="H26:I27"/>
    <mergeCell ref="V27:X27"/>
    <mergeCell ref="Z14:AA14"/>
    <mergeCell ref="Z18:AA18"/>
    <mergeCell ref="Z19:AA19"/>
    <mergeCell ref="Z20:AA20"/>
    <mergeCell ref="Z23:AA23"/>
    <mergeCell ref="Z24:AA24"/>
    <mergeCell ref="Z25:AA25"/>
    <mergeCell ref="B20:E21"/>
    <mergeCell ref="B22:E23"/>
    <mergeCell ref="F22:G23"/>
    <mergeCell ref="H22:I23"/>
    <mergeCell ref="B24:E25"/>
    <mergeCell ref="F24:G25"/>
    <mergeCell ref="H24:I25"/>
    <mergeCell ref="Z26:AA26"/>
    <mergeCell ref="Z27:AA27"/>
    <mergeCell ref="V28:X28"/>
    <mergeCell ref="Z28:AA28"/>
    <mergeCell ref="Z29:AA29"/>
    <mergeCell ref="Z30:AA30"/>
    <mergeCell ref="Z31:AA31"/>
    <mergeCell ref="Z32:AA32"/>
    <mergeCell ref="V33:X33"/>
    <mergeCell ref="Z33:AA33"/>
    <mergeCell ref="V34:X34"/>
    <mergeCell ref="Z34:AA34"/>
    <mergeCell ref="U37:W37"/>
    <mergeCell ref="X37:AD37"/>
    <mergeCell ref="F40:G40"/>
    <mergeCell ref="F41:G41"/>
    <mergeCell ref="F46:G46"/>
    <mergeCell ref="F52:G52"/>
    <mergeCell ref="F57:G57"/>
    <mergeCell ref="F63:G63"/>
    <mergeCell ref="B42:D42"/>
    <mergeCell ref="F42:G42"/>
    <mergeCell ref="B47:D47"/>
    <mergeCell ref="F47:G47"/>
    <mergeCell ref="B48:D48"/>
    <mergeCell ref="F48:G48"/>
    <mergeCell ref="F53:G53"/>
    <mergeCell ref="B53:D53"/>
    <mergeCell ref="B54:D54"/>
    <mergeCell ref="F54:G54"/>
    <mergeCell ref="F60:G60"/>
    <mergeCell ref="B61:D61"/>
    <mergeCell ref="F61:G61"/>
    <mergeCell ref="B62:D62"/>
    <mergeCell ref="F97:G97"/>
    <mergeCell ref="F98:G98"/>
    <mergeCell ref="F99:G99"/>
    <mergeCell ref="F62:G62"/>
    <mergeCell ref="F66:G66"/>
    <mergeCell ref="F69:G69"/>
    <mergeCell ref="F85:G85"/>
    <mergeCell ref="F91:G91"/>
    <mergeCell ref="F92:G92"/>
    <mergeCell ref="F93:G93"/>
    <mergeCell ref="I38:T38"/>
    <mergeCell ref="U38:W38"/>
    <mergeCell ref="X38:AD38"/>
    <mergeCell ref="I39:AI42"/>
    <mergeCell ref="AK39:AL39"/>
    <mergeCell ref="AK40:AL40"/>
    <mergeCell ref="B41:D41"/>
    <mergeCell ref="U44:W44"/>
    <mergeCell ref="U49:W49"/>
    <mergeCell ref="U57:W57"/>
    <mergeCell ref="U63:W63"/>
    <mergeCell ref="U69:W69"/>
    <mergeCell ref="U43:W43"/>
    <mergeCell ref="X43:AD43"/>
    <mergeCell ref="AE43:AI43"/>
    <mergeCell ref="I44:T44"/>
    <mergeCell ref="X44:AD44"/>
    <mergeCell ref="AE44:AI44"/>
    <mergeCell ref="I45:AI48"/>
    <mergeCell ref="X49:AD49"/>
    <mergeCell ref="AE49:AI49"/>
    <mergeCell ref="AK49:AL49"/>
    <mergeCell ref="U50:W50"/>
    <mergeCell ref="X50:AD50"/>
    <mergeCell ref="AE50:AI50"/>
    <mergeCell ref="AK50:AL50"/>
    <mergeCell ref="AK59:AL59"/>
    <mergeCell ref="AK60:AL60"/>
    <mergeCell ref="AK63:AL63"/>
    <mergeCell ref="AK65:AL65"/>
    <mergeCell ref="AK66:AL66"/>
    <mergeCell ref="AK69:AL69"/>
    <mergeCell ref="AK71:AL71"/>
    <mergeCell ref="AK43:AL43"/>
    <mergeCell ref="AK44:AL44"/>
    <mergeCell ref="AK45:AL45"/>
    <mergeCell ref="AK46:AL46"/>
    <mergeCell ref="AK51:AL51"/>
    <mergeCell ref="AK52:AL52"/>
    <mergeCell ref="AK57:AL57"/>
    <mergeCell ref="I50:T50"/>
    <mergeCell ref="I51:AI54"/>
    <mergeCell ref="X57:AD57"/>
    <mergeCell ref="AE57:AI57"/>
    <mergeCell ref="I59:AI62"/>
    <mergeCell ref="X63:AD63"/>
    <mergeCell ref="AE63:AI63"/>
    <mergeCell ref="F96:G96"/>
    <mergeCell ref="F100:G100"/>
    <mergeCell ref="F105:G105"/>
    <mergeCell ref="F106:G106"/>
    <mergeCell ref="F107:G107"/>
    <mergeCell ref="F111:G111"/>
    <mergeCell ref="F112:G112"/>
    <mergeCell ref="F113:G113"/>
    <mergeCell ref="F68:G68"/>
    <mergeCell ref="F72:G72"/>
    <mergeCell ref="F86:G86"/>
    <mergeCell ref="F87:G87"/>
    <mergeCell ref="F88:G88"/>
    <mergeCell ref="F94:G94"/>
    <mergeCell ref="F95:G95"/>
    <mergeCell ref="U106:W106"/>
    <mergeCell ref="X106:AD106"/>
    <mergeCell ref="AK106:AL106"/>
    <mergeCell ref="I99:AI102"/>
    <mergeCell ref="F101:G101"/>
    <mergeCell ref="F102:G102"/>
    <mergeCell ref="U105:W105"/>
    <mergeCell ref="X105:AD105"/>
    <mergeCell ref="AE105:AI105"/>
    <mergeCell ref="AE106:AI106"/>
    <mergeCell ref="I106:T106"/>
    <mergeCell ref="I107:AI110"/>
    <mergeCell ref="AK107:AL107"/>
    <mergeCell ref="B109:D109"/>
    <mergeCell ref="F109:G109"/>
    <mergeCell ref="B110:D110"/>
    <mergeCell ref="F110:G110"/>
    <mergeCell ref="AK111:AL111"/>
    <mergeCell ref="AK112:AL112"/>
    <mergeCell ref="AK113:AL113"/>
    <mergeCell ref="U111:W111"/>
    <mergeCell ref="X111:AD111"/>
    <mergeCell ref="AE111:AI111"/>
    <mergeCell ref="I112:T112"/>
    <mergeCell ref="U112:W112"/>
    <mergeCell ref="X112:AD112"/>
    <mergeCell ref="AE112:AI112"/>
    <mergeCell ref="I113:AI116"/>
    <mergeCell ref="CI99:DI102"/>
    <mergeCell ref="CB104:DO104"/>
    <mergeCell ref="CU105:CW105"/>
    <mergeCell ref="CX105:DD105"/>
    <mergeCell ref="DE105:DI105"/>
    <mergeCell ref="CI106:CT106"/>
    <mergeCell ref="CU106:CW106"/>
    <mergeCell ref="CF100:CG100"/>
    <mergeCell ref="CB101:CD101"/>
    <mergeCell ref="CF101:CG101"/>
    <mergeCell ref="CB102:CD102"/>
    <mergeCell ref="CF102:CG102"/>
    <mergeCell ref="CF105:CG105"/>
    <mergeCell ref="CF106:CG106"/>
    <mergeCell ref="DN92:DO92"/>
    <mergeCell ref="DK93:DO93"/>
    <mergeCell ref="DK94:DO94"/>
    <mergeCell ref="CI92:CR92"/>
    <mergeCell ref="CS92:CU92"/>
    <mergeCell ref="CV92:DB92"/>
    <mergeCell ref="DC92:DG92"/>
    <mergeCell ref="DH92:DI92"/>
    <mergeCell ref="DK92:DL92"/>
    <mergeCell ref="CI93:DI96"/>
    <mergeCell ref="DC98:DG98"/>
    <mergeCell ref="DH98:DI98"/>
    <mergeCell ref="DN97:DO97"/>
    <mergeCell ref="DN98:DO98"/>
    <mergeCell ref="DK99:DO99"/>
    <mergeCell ref="DK100:DO100"/>
    <mergeCell ref="CU112:CW112"/>
    <mergeCell ref="CX112:DD112"/>
    <mergeCell ref="CU117:CW117"/>
    <mergeCell ref="CX117:DD117"/>
    <mergeCell ref="DE117:DI117"/>
    <mergeCell ref="CX106:DD106"/>
    <mergeCell ref="DE106:DI106"/>
    <mergeCell ref="CI107:DI110"/>
    <mergeCell ref="CU111:CW111"/>
    <mergeCell ref="CX111:DD111"/>
    <mergeCell ref="DE111:DI111"/>
    <mergeCell ref="CI112:CT112"/>
    <mergeCell ref="DE112:DI112"/>
    <mergeCell ref="CF94:CG94"/>
    <mergeCell ref="CF95:CG95"/>
    <mergeCell ref="CB96:CD96"/>
    <mergeCell ref="CF96:CG96"/>
    <mergeCell ref="CF97:CG97"/>
    <mergeCell ref="CF98:CG98"/>
    <mergeCell ref="CF99:CG99"/>
    <mergeCell ref="CU123:CW123"/>
    <mergeCell ref="CX123:DD123"/>
    <mergeCell ref="DE123:DI123"/>
    <mergeCell ref="CI124:CT124"/>
    <mergeCell ref="CX124:DD124"/>
    <mergeCell ref="DE124:DI124"/>
    <mergeCell ref="CI125:DI128"/>
    <mergeCell ref="CX129:DD129"/>
    <mergeCell ref="DE129:DI129"/>
    <mergeCell ref="CX130:DD130"/>
    <mergeCell ref="DE130:DI130"/>
    <mergeCell ref="CI131:DI134"/>
    <mergeCell ref="CX135:DD135"/>
    <mergeCell ref="DE135:DI135"/>
    <mergeCell ref="CI142:CT142"/>
    <mergeCell ref="CU142:CW142"/>
    <mergeCell ref="CX142:DD142"/>
    <mergeCell ref="DE142:DI142"/>
    <mergeCell ref="CI136:CT136"/>
    <mergeCell ref="CU136:CW136"/>
    <mergeCell ref="CX136:DD136"/>
    <mergeCell ref="DE136:DI136"/>
    <mergeCell ref="CI137:DI140"/>
    <mergeCell ref="CX141:DD141"/>
    <mergeCell ref="DE141:DI141"/>
    <mergeCell ref="CB145:CD145"/>
    <mergeCell ref="CF145:CG145"/>
    <mergeCell ref="CB146:CD146"/>
    <mergeCell ref="CF146:CG146"/>
    <mergeCell ref="CF138:CG138"/>
    <mergeCell ref="CF139:CG139"/>
    <mergeCell ref="CB140:CD140"/>
    <mergeCell ref="CF140:CG140"/>
    <mergeCell ref="CF141:CG141"/>
    <mergeCell ref="CF142:CG142"/>
    <mergeCell ref="CI143:DI146"/>
    <mergeCell ref="CF119:CG119"/>
    <mergeCell ref="CF120:CG120"/>
    <mergeCell ref="CF117:CG117"/>
    <mergeCell ref="CF118:CG118"/>
    <mergeCell ref="CI118:CT118"/>
    <mergeCell ref="CU118:CW118"/>
    <mergeCell ref="CX118:DD118"/>
    <mergeCell ref="DE118:DI118"/>
    <mergeCell ref="CI119:DI122"/>
    <mergeCell ref="CF128:CG128"/>
    <mergeCell ref="CF129:CG129"/>
    <mergeCell ref="CF130:CG130"/>
    <mergeCell ref="CI130:CT130"/>
    <mergeCell ref="CU124:CW124"/>
    <mergeCell ref="CU129:CW129"/>
    <mergeCell ref="CU130:CW130"/>
    <mergeCell ref="CU135:CW135"/>
    <mergeCell ref="CU141:CW141"/>
    <mergeCell ref="CF121:CG121"/>
    <mergeCell ref="CF122:CG122"/>
    <mergeCell ref="CF123:CG123"/>
    <mergeCell ref="CF124:CG124"/>
    <mergeCell ref="CF125:CG125"/>
    <mergeCell ref="CF126:CG126"/>
    <mergeCell ref="CF127:CG127"/>
    <mergeCell ref="CF131:CG131"/>
    <mergeCell ref="CF132:CG132"/>
    <mergeCell ref="CF133:CG133"/>
    <mergeCell ref="CF134:CG134"/>
    <mergeCell ref="CF135:CG135"/>
    <mergeCell ref="CF136:CG136"/>
    <mergeCell ref="CF137:CG137"/>
    <mergeCell ref="CF143:CG143"/>
    <mergeCell ref="CF144:CG144"/>
    <mergeCell ref="BK147:BQ147"/>
    <mergeCell ref="BR147:BV147"/>
    <mergeCell ref="B146:BY146"/>
    <mergeCell ref="U147:W147"/>
    <mergeCell ref="X147:AD147"/>
    <mergeCell ref="AE147:AI147"/>
    <mergeCell ref="AK147:AL147"/>
    <mergeCell ref="AS147:AT147"/>
    <mergeCell ref="BH147:BJ147"/>
    <mergeCell ref="BX147:BY147"/>
    <mergeCell ref="BH140:BJ140"/>
    <mergeCell ref="BK140:BQ140"/>
    <mergeCell ref="I140:T140"/>
    <mergeCell ref="U140:W140"/>
    <mergeCell ref="X140:AD140"/>
    <mergeCell ref="AE140:AI140"/>
    <mergeCell ref="AK140:AL140"/>
    <mergeCell ref="AS140:AT140"/>
    <mergeCell ref="AV140:BG140"/>
    <mergeCell ref="AS141:AT141"/>
    <mergeCell ref="AS142:AT142"/>
    <mergeCell ref="AO143:AQ143"/>
    <mergeCell ref="AS143:AT143"/>
    <mergeCell ref="AO144:AQ144"/>
    <mergeCell ref="AS144:AT144"/>
    <mergeCell ref="F141:G141"/>
    <mergeCell ref="I141:AI144"/>
    <mergeCell ref="AK141:AL141"/>
    <mergeCell ref="AV141:BV144"/>
    <mergeCell ref="BX141:BY141"/>
    <mergeCell ref="AK142:AL142"/>
    <mergeCell ref="BX142:BY142"/>
    <mergeCell ref="F142:G142"/>
    <mergeCell ref="B143:D143"/>
    <mergeCell ref="F143:G143"/>
    <mergeCell ref="B144:D144"/>
    <mergeCell ref="F144:G144"/>
    <mergeCell ref="F147:G147"/>
    <mergeCell ref="F148:G148"/>
  </mergeCells>
  <conditionalFormatting sqref="V4:BC4 BF4:CM4 V10:BC10 BF10:CM10 V16:BC16 BF16:CM16 V24:BC24 BF24:CM24 V30:BC30 BF30:CM30 B38:AI38 AO38:BV38 CB38:DG38 B44:AI44 AO44:BV44 CB44:DG44 B50:AI50 AO50:BV50 CB50:DG50 CB56:DG56 B58:AI58 AO58:BY58 CB62:DG62 A64:CA64 DP64 CB68:DG68 B70:AL70 AO70:BY70 CB74:DG74 B78:AI78 AO78:BV78 CB80:DG80 B84:AI84 AO84:BV84 CB86:DG86 B92:AI92 AO92:BV92 CB92:DG92 B98:AI98 AO98:BV98 CB98:DG98 B106:AI106 AO106:BV106 CB106:DI106 B112:AI112 AO112:BV112 CB112:DI112 CB118:DI118 B120:AI120 AO120:BV120 CB124:DI124 B126:AI126 AO126:BV126 CB130:DI130 B134:AI134 AO134:BV134 CB136:DI136 B140:AI140 AO140:BV140 CB142:DI142 B148:AI148 AO148:BV148 B154:AI154 AO154:BV154 B162:AI162 AO162:BV162 B168:AI168 AO168:BV168 B176:AI176 AO176:BV176">
    <cfRule type="notContainsBlanks" dxfId="6" priority="1">
      <formula>LEN(TRIM(V4))&gt;0</formula>
    </cfRule>
  </conditionalFormatting>
  <conditionalFormatting sqref="F4:P4">
    <cfRule type="colorScale" priority="2">
      <colorScale>
        <cfvo type="min"/>
        <cfvo type="max"/>
        <color rgb="FF57BB8A"/>
        <color rgb="FFFFFFFF"/>
      </colorScale>
    </cfRule>
  </conditionalFormatting>
  <conditionalFormatting sqref="I35">
    <cfRule type="notContainsBlanks" dxfId="6" priority="3">
      <formula>LEN(TRIM(I35))&gt;0</formula>
    </cfRule>
  </conditionalFormatting>
  <dataValidations>
    <dataValidation type="list" allowBlank="1" sqref="F4">
      <formula1>Data!$R$3:$R$15</formula1>
    </dataValidation>
    <dataValidation type="list" allowBlank="1" showInputMessage="1" prompt="Select valid spell" sqref="AC4 BM4 AC10 BM10 AC16 BM16 AC24 BM24 AC30 BM30 I38 AV38 CI38 I44 AV44 CI44 I50 AV50 CI50 CI56 I58 AV58 CI62 I64 AV64 CI68 I70 AV70 CI74 I78 AV78 CI80 I84 AV84 CI86 I92 AV92 CI92 I98 AV98 CI98 I106 AV106 CI106 I112 AV112 CI112 CI118 I120 AV120 CI124 I126 AV126 CI130 I134 AV134 CI136 I140 AV140 CI142 I148 AV148 I154 AV154 I162 AV162 I168 AV168 I176 AV176">
      <formula1>'Spell Database'!$A$2:$A$1214</formula1>
    </dataValidation>
  </dataValidations>
  <printOptions gridLines="1" horizontalCentered="1"/>
  <pageMargins bottom="0.2" footer="0.0" header="0.0" left="0.2" right="0.2" top="0.2"/>
  <pageSetup cellComments="atEnd" orientation="landscape" pageOrder="overThenDown"/>
  <rowBreaks count="2" manualBreakCount="2">
    <brk man="1"/>
    <brk id="68" man="1"/>
  </rowBreaks>
  <colBreaks count="2" manualBreakCount="2">
    <brk man="1"/>
    <brk id="71" man="1"/>
  </colBrea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8.63"/>
    <col customWidth="1" min="2" max="2" width="7.13"/>
    <col customWidth="1" min="3" max="3" width="7.63"/>
    <col customWidth="1" min="4" max="4" width="11.38"/>
    <col customWidth="1" min="5" max="5" width="13.5"/>
    <col customWidth="1" min="6" max="6" width="9.25"/>
    <col customWidth="1" min="7" max="7" width="13.13"/>
    <col customWidth="1" min="9" max="9" width="9.63"/>
    <col customWidth="1" min="10" max="10" width="14.38"/>
    <col customWidth="1" min="11" max="11" width="11.5"/>
    <col customWidth="1" min="12" max="12" width="10.13"/>
    <col customWidth="1" min="13" max="14" width="9.13"/>
    <col customWidth="1" min="15" max="16" width="8.75"/>
    <col customWidth="1" min="17" max="17" width="9.25"/>
    <col customWidth="1" min="18" max="19" width="9.13"/>
    <col customWidth="1" min="20" max="20" width="9.25"/>
    <col customWidth="1" min="21" max="21" width="8.5"/>
    <col customWidth="1" min="22" max="22" width="10.0"/>
    <col customWidth="1" min="23" max="23" width="21.63"/>
  </cols>
  <sheetData>
    <row r="1">
      <c r="A1" s="292" t="s">
        <v>262</v>
      </c>
      <c r="B1" s="293" t="s">
        <v>263</v>
      </c>
      <c r="C1" s="293" t="s">
        <v>264</v>
      </c>
      <c r="D1" s="293" t="s">
        <v>265</v>
      </c>
      <c r="E1" s="293" t="s">
        <v>266</v>
      </c>
      <c r="F1" s="293" t="s">
        <v>267</v>
      </c>
      <c r="G1" s="293" t="s">
        <v>268</v>
      </c>
      <c r="H1" s="293" t="s">
        <v>168</v>
      </c>
      <c r="I1" s="293" t="s">
        <v>269</v>
      </c>
      <c r="J1" s="293" t="s">
        <v>270</v>
      </c>
      <c r="K1" s="293" t="s">
        <v>206</v>
      </c>
      <c r="L1" s="293" t="s">
        <v>271</v>
      </c>
      <c r="M1" s="293" t="s">
        <v>272</v>
      </c>
      <c r="N1" s="293" t="s">
        <v>273</v>
      </c>
      <c r="O1" s="293" t="s">
        <v>274</v>
      </c>
      <c r="P1" s="293" t="s">
        <v>275</v>
      </c>
      <c r="Q1" s="293" t="s">
        <v>276</v>
      </c>
      <c r="R1" s="293" t="s">
        <v>277</v>
      </c>
      <c r="S1" s="293" t="s">
        <v>278</v>
      </c>
      <c r="T1" s="293" t="s">
        <v>279</v>
      </c>
      <c r="U1" s="293" t="s">
        <v>281</v>
      </c>
      <c r="V1" s="293" t="s">
        <v>282</v>
      </c>
      <c r="W1" s="293" t="s">
        <v>283</v>
      </c>
      <c r="X1" s="293" t="s">
        <v>284</v>
      </c>
    </row>
    <row r="2">
      <c r="A2" s="295" t="s">
        <v>175</v>
      </c>
      <c r="B2" s="297">
        <f>Spells!$S$4</f>
        <v>1</v>
      </c>
      <c r="C2" s="298" t="s">
        <v>288</v>
      </c>
      <c r="D2" s="298" t="s">
        <v>289</v>
      </c>
      <c r="E2" s="298" t="s">
        <v>290</v>
      </c>
      <c r="F2" s="298" t="str">
        <f>'Character Sheet'!$C$9</f>
        <v/>
      </c>
      <c r="G2" s="298" t="s">
        <v>294</v>
      </c>
      <c r="H2" s="298" t="s">
        <v>295</v>
      </c>
      <c r="I2" s="298" t="s">
        <v>296</v>
      </c>
      <c r="J2" s="298" t="s">
        <v>203</v>
      </c>
      <c r="K2" s="298" t="s">
        <v>298</v>
      </c>
      <c r="L2" s="298" t="s">
        <v>288</v>
      </c>
      <c r="M2" s="301" t="s">
        <v>300</v>
      </c>
      <c r="N2" s="301" t="s">
        <v>300</v>
      </c>
      <c r="O2" s="301" t="s">
        <v>301</v>
      </c>
      <c r="P2" s="301" t="s">
        <v>301</v>
      </c>
      <c r="Q2" s="301" t="s">
        <v>302</v>
      </c>
      <c r="R2" s="301" t="s">
        <v>302</v>
      </c>
      <c r="S2" s="301" t="s">
        <v>303</v>
      </c>
      <c r="T2" s="301" t="s">
        <v>303</v>
      </c>
      <c r="U2" s="301" t="s">
        <v>304</v>
      </c>
      <c r="V2" s="301" t="s">
        <v>304</v>
      </c>
      <c r="W2" s="298" t="s">
        <v>305</v>
      </c>
      <c r="X2" s="298" t="s">
        <v>306</v>
      </c>
    </row>
    <row r="3">
      <c r="A3" s="295" t="s">
        <v>307</v>
      </c>
      <c r="B3" s="297">
        <f>Spells!$S$4</f>
        <v>1</v>
      </c>
      <c r="C3" s="298" t="s">
        <v>288</v>
      </c>
      <c r="D3" s="298" t="s">
        <v>310</v>
      </c>
      <c r="E3" s="298" t="s">
        <v>311</v>
      </c>
      <c r="F3" s="298" t="str">
        <f>'Character Sheet'!$C$9</f>
        <v/>
      </c>
      <c r="G3" s="298" t="s">
        <v>294</v>
      </c>
      <c r="H3" s="298" t="s">
        <v>313</v>
      </c>
      <c r="I3" s="298" t="s">
        <v>314</v>
      </c>
      <c r="J3" s="298" t="s">
        <v>315</v>
      </c>
      <c r="K3" s="298" t="s">
        <v>298</v>
      </c>
      <c r="L3" s="298" t="s">
        <v>288</v>
      </c>
      <c r="M3" s="301" t="s">
        <v>316</v>
      </c>
      <c r="N3" s="301" t="s">
        <v>316</v>
      </c>
      <c r="O3" s="301" t="s">
        <v>316</v>
      </c>
      <c r="P3" s="301" t="s">
        <v>316</v>
      </c>
      <c r="Q3" s="301" t="s">
        <v>316</v>
      </c>
      <c r="R3" s="301" t="s">
        <v>316</v>
      </c>
      <c r="S3" s="301" t="s">
        <v>316</v>
      </c>
      <c r="T3" s="301" t="s">
        <v>316</v>
      </c>
      <c r="U3" s="301" t="s">
        <v>316</v>
      </c>
      <c r="V3" s="301" t="s">
        <v>316</v>
      </c>
      <c r="W3" s="298" t="s">
        <v>317</v>
      </c>
      <c r="X3" s="298" t="s">
        <v>318</v>
      </c>
    </row>
    <row r="4">
      <c r="A4" s="295" t="s">
        <v>319</v>
      </c>
      <c r="B4" s="297">
        <f>Spells!$S$4</f>
        <v>1</v>
      </c>
      <c r="C4" s="298" t="s">
        <v>288</v>
      </c>
      <c r="D4" s="298" t="s">
        <v>321</v>
      </c>
      <c r="E4" s="298" t="s">
        <v>290</v>
      </c>
      <c r="F4" s="298" t="str">
        <f>'Character Sheet'!$C$9</f>
        <v/>
      </c>
      <c r="G4" s="298" t="s">
        <v>294</v>
      </c>
      <c r="H4" s="298" t="s">
        <v>324</v>
      </c>
      <c r="I4" s="298" t="s">
        <v>324</v>
      </c>
      <c r="J4" s="298" t="s">
        <v>315</v>
      </c>
      <c r="K4" s="298" t="s">
        <v>325</v>
      </c>
      <c r="L4" s="298" t="s">
        <v>288</v>
      </c>
      <c r="M4" s="301" t="s">
        <v>327</v>
      </c>
      <c r="N4" s="301" t="s">
        <v>327</v>
      </c>
      <c r="O4" s="301" t="s">
        <v>327</v>
      </c>
      <c r="P4" s="301" t="s">
        <v>327</v>
      </c>
      <c r="Q4" s="301" t="s">
        <v>328</v>
      </c>
      <c r="R4" s="301" t="s">
        <v>328</v>
      </c>
      <c r="S4" s="301" t="s">
        <v>330</v>
      </c>
      <c r="T4" s="301" t="s">
        <v>330</v>
      </c>
      <c r="U4" s="301" t="s">
        <v>330</v>
      </c>
      <c r="V4" s="301" t="s">
        <v>330</v>
      </c>
      <c r="W4" s="298" t="s">
        <v>331</v>
      </c>
      <c r="X4" s="298" t="s">
        <v>318</v>
      </c>
    </row>
    <row r="5">
      <c r="A5" s="295" t="s">
        <v>332</v>
      </c>
      <c r="B5" s="297">
        <f>Spells!$S$4</f>
        <v>1</v>
      </c>
      <c r="C5" s="298" t="s">
        <v>288</v>
      </c>
      <c r="D5" s="298" t="s">
        <v>334</v>
      </c>
      <c r="E5" s="298" t="s">
        <v>290</v>
      </c>
      <c r="F5" s="298" t="str">
        <f>'Character Sheet'!$C$9</f>
        <v/>
      </c>
      <c r="G5" s="298" t="s">
        <v>294</v>
      </c>
      <c r="H5" s="298" t="s">
        <v>335</v>
      </c>
      <c r="I5" s="298" t="s">
        <v>296</v>
      </c>
      <c r="J5" s="298" t="s">
        <v>336</v>
      </c>
      <c r="K5" s="298" t="s">
        <v>298</v>
      </c>
      <c r="L5" s="298" t="s">
        <v>288</v>
      </c>
      <c r="M5" s="301" t="s">
        <v>337</v>
      </c>
      <c r="N5" s="301" t="s">
        <v>339</v>
      </c>
      <c r="O5" s="301" t="s">
        <v>340</v>
      </c>
      <c r="P5" s="301" t="s">
        <v>341</v>
      </c>
      <c r="Q5" s="301" t="s">
        <v>342</v>
      </c>
      <c r="R5" s="301" t="s">
        <v>343</v>
      </c>
      <c r="S5" s="301" t="s">
        <v>345</v>
      </c>
      <c r="T5" s="301" t="s">
        <v>346</v>
      </c>
      <c r="U5" s="301" t="s">
        <v>347</v>
      </c>
      <c r="V5" s="301" t="s">
        <v>348</v>
      </c>
      <c r="W5" s="298" t="s">
        <v>331</v>
      </c>
      <c r="X5" s="298" t="s">
        <v>306</v>
      </c>
    </row>
    <row r="6">
      <c r="A6" s="295" t="s">
        <v>350</v>
      </c>
      <c r="B6" s="297">
        <f>Spells!$S$4</f>
        <v>1</v>
      </c>
      <c r="C6" s="298" t="s">
        <v>288</v>
      </c>
      <c r="D6" s="298" t="s">
        <v>289</v>
      </c>
      <c r="E6" s="298" t="s">
        <v>311</v>
      </c>
      <c r="F6" s="298" t="str">
        <f>'Character Sheet'!$C$9</f>
        <v/>
      </c>
      <c r="G6" s="298" t="s">
        <v>294</v>
      </c>
      <c r="H6" s="298" t="s">
        <v>352</v>
      </c>
      <c r="I6" s="298" t="s">
        <v>315</v>
      </c>
      <c r="J6" s="298" t="s">
        <v>315</v>
      </c>
      <c r="K6" s="298" t="s">
        <v>353</v>
      </c>
      <c r="L6" s="298" t="s">
        <v>288</v>
      </c>
      <c r="M6" s="301" t="s">
        <v>354</v>
      </c>
      <c r="N6" s="301" t="s">
        <v>354</v>
      </c>
      <c r="O6" s="301" t="s">
        <v>354</v>
      </c>
      <c r="P6" s="301" t="s">
        <v>354</v>
      </c>
      <c r="Q6" s="301" t="s">
        <v>354</v>
      </c>
      <c r="R6" s="301" t="s">
        <v>354</v>
      </c>
      <c r="S6" s="301" t="s">
        <v>354</v>
      </c>
      <c r="T6" s="301" t="s">
        <v>354</v>
      </c>
      <c r="U6" s="301" t="s">
        <v>354</v>
      </c>
      <c r="V6" s="301" t="s">
        <v>354</v>
      </c>
      <c r="W6" s="298" t="s">
        <v>357</v>
      </c>
      <c r="X6" s="298" t="s">
        <v>306</v>
      </c>
    </row>
    <row r="7">
      <c r="A7" s="295" t="s">
        <v>358</v>
      </c>
      <c r="B7" s="297">
        <f>Spells!$S$4</f>
        <v>1</v>
      </c>
      <c r="C7" s="298" t="s">
        <v>288</v>
      </c>
      <c r="D7" s="298" t="s">
        <v>359</v>
      </c>
      <c r="E7" s="298" t="s">
        <v>290</v>
      </c>
      <c r="F7" s="298" t="str">
        <f>'Character Sheet'!$C$9</f>
        <v/>
      </c>
      <c r="G7" s="298" t="s">
        <v>294</v>
      </c>
      <c r="H7" s="298" t="s">
        <v>360</v>
      </c>
      <c r="I7" s="298" t="s">
        <v>296</v>
      </c>
      <c r="J7" s="298" t="s">
        <v>192</v>
      </c>
      <c r="K7" s="298" t="s">
        <v>298</v>
      </c>
      <c r="L7" s="298" t="s">
        <v>288</v>
      </c>
      <c r="M7" s="301" t="s">
        <v>361</v>
      </c>
      <c r="N7" s="301" t="s">
        <v>361</v>
      </c>
      <c r="O7" s="301" t="s">
        <v>363</v>
      </c>
      <c r="P7" s="301" t="s">
        <v>363</v>
      </c>
      <c r="Q7" s="301" t="s">
        <v>364</v>
      </c>
      <c r="R7" s="301" t="s">
        <v>364</v>
      </c>
      <c r="S7" s="301" t="s">
        <v>365</v>
      </c>
      <c r="T7" s="301" t="s">
        <v>365</v>
      </c>
      <c r="U7" s="301" t="s">
        <v>367</v>
      </c>
      <c r="V7" s="301" t="s">
        <v>367</v>
      </c>
      <c r="W7" s="298" t="s">
        <v>331</v>
      </c>
      <c r="X7" s="298" t="s">
        <v>306</v>
      </c>
    </row>
    <row r="8">
      <c r="A8" s="295" t="s">
        <v>368</v>
      </c>
      <c r="B8" s="297">
        <f>Spells!$S$4</f>
        <v>1</v>
      </c>
      <c r="C8" s="298" t="s">
        <v>288</v>
      </c>
      <c r="D8" s="298" t="s">
        <v>310</v>
      </c>
      <c r="E8" s="298" t="s">
        <v>290</v>
      </c>
      <c r="F8" s="298" t="str">
        <f>'Character Sheet'!$C$9</f>
        <v/>
      </c>
      <c r="G8" s="298" t="s">
        <v>294</v>
      </c>
      <c r="H8" s="298" t="s">
        <v>295</v>
      </c>
      <c r="I8" s="298" t="s">
        <v>315</v>
      </c>
      <c r="J8" s="298" t="s">
        <v>315</v>
      </c>
      <c r="K8" s="298" t="s">
        <v>298</v>
      </c>
      <c r="L8" s="298" t="s">
        <v>288</v>
      </c>
      <c r="M8" s="301" t="s">
        <v>370</v>
      </c>
      <c r="N8" s="301" t="s">
        <v>370</v>
      </c>
      <c r="O8" s="301" t="s">
        <v>372</v>
      </c>
      <c r="P8" s="301" t="s">
        <v>373</v>
      </c>
      <c r="Q8" s="301" t="s">
        <v>373</v>
      </c>
      <c r="R8" s="301" t="s">
        <v>373</v>
      </c>
      <c r="S8" s="301" t="s">
        <v>373</v>
      </c>
      <c r="T8" s="301" t="s">
        <v>373</v>
      </c>
      <c r="U8" s="301" t="s">
        <v>373</v>
      </c>
      <c r="V8" s="301" t="s">
        <v>373</v>
      </c>
      <c r="W8" s="298" t="s">
        <v>317</v>
      </c>
      <c r="X8" s="298" t="s">
        <v>306</v>
      </c>
    </row>
    <row r="9">
      <c r="A9" s="295" t="s">
        <v>374</v>
      </c>
      <c r="B9" s="297">
        <f>Spells!$S$4</f>
        <v>1</v>
      </c>
      <c r="C9" s="298" t="s">
        <v>288</v>
      </c>
      <c r="D9" s="298" t="s">
        <v>334</v>
      </c>
      <c r="E9" s="298" t="s">
        <v>290</v>
      </c>
      <c r="F9" s="298" t="str">
        <f>'Character Sheet'!$C$9</f>
        <v/>
      </c>
      <c r="G9" s="298" t="s">
        <v>294</v>
      </c>
      <c r="H9" s="298" t="s">
        <v>295</v>
      </c>
      <c r="I9" s="298" t="s">
        <v>375</v>
      </c>
      <c r="J9" s="298" t="s">
        <v>336</v>
      </c>
      <c r="K9" s="298" t="s">
        <v>298</v>
      </c>
      <c r="L9" s="298" t="s">
        <v>288</v>
      </c>
      <c r="M9" s="301" t="s">
        <v>377</v>
      </c>
      <c r="N9" s="301" t="s">
        <v>378</v>
      </c>
      <c r="O9" s="301" t="s">
        <v>379</v>
      </c>
      <c r="P9" s="301" t="s">
        <v>380</v>
      </c>
      <c r="Q9" s="301" t="s">
        <v>381</v>
      </c>
      <c r="R9" s="301" t="s">
        <v>383</v>
      </c>
      <c r="S9" s="301" t="s">
        <v>384</v>
      </c>
      <c r="T9" s="301" t="s">
        <v>386</v>
      </c>
      <c r="U9" s="301" t="s">
        <v>387</v>
      </c>
      <c r="V9" s="301" t="s">
        <v>388</v>
      </c>
      <c r="W9" s="298" t="s">
        <v>389</v>
      </c>
      <c r="X9" s="298" t="s">
        <v>306</v>
      </c>
    </row>
    <row r="10">
      <c r="A10" s="295" t="s">
        <v>390</v>
      </c>
      <c r="B10" s="297">
        <f>Spells!$S$4</f>
        <v>1</v>
      </c>
      <c r="C10" s="298" t="s">
        <v>288</v>
      </c>
      <c r="D10" s="298" t="s">
        <v>289</v>
      </c>
      <c r="E10" s="298" t="s">
        <v>290</v>
      </c>
      <c r="F10" s="298" t="str">
        <f>'Character Sheet'!$C$9</f>
        <v/>
      </c>
      <c r="G10" s="298" t="s">
        <v>294</v>
      </c>
      <c r="H10" s="298" t="s">
        <v>295</v>
      </c>
      <c r="I10" s="298" t="s">
        <v>296</v>
      </c>
      <c r="J10" s="298" t="s">
        <v>203</v>
      </c>
      <c r="K10" s="298" t="s">
        <v>298</v>
      </c>
      <c r="L10" s="298" t="s">
        <v>288</v>
      </c>
      <c r="M10" s="301" t="s">
        <v>392</v>
      </c>
      <c r="N10" s="301" t="s">
        <v>393</v>
      </c>
      <c r="O10" s="301" t="s">
        <v>394</v>
      </c>
      <c r="P10" s="301" t="s">
        <v>395</v>
      </c>
      <c r="Q10" s="301" t="s">
        <v>396</v>
      </c>
      <c r="R10" s="301" t="s">
        <v>398</v>
      </c>
      <c r="S10" s="301" t="s">
        <v>399</v>
      </c>
      <c r="T10" s="301" t="s">
        <v>401</v>
      </c>
      <c r="U10" s="301" t="s">
        <v>402</v>
      </c>
      <c r="V10" s="301" t="s">
        <v>403</v>
      </c>
      <c r="W10" s="298" t="s">
        <v>404</v>
      </c>
      <c r="X10" s="298" t="s">
        <v>306</v>
      </c>
    </row>
    <row r="11">
      <c r="A11" s="295" t="s">
        <v>405</v>
      </c>
      <c r="B11" s="297">
        <f>Spells!$S$4</f>
        <v>1</v>
      </c>
      <c r="C11" s="298" t="s">
        <v>288</v>
      </c>
      <c r="D11" s="298" t="s">
        <v>289</v>
      </c>
      <c r="E11" s="298" t="s">
        <v>290</v>
      </c>
      <c r="F11" s="298" t="str">
        <f>'Character Sheet'!$C$9</f>
        <v/>
      </c>
      <c r="G11" s="298" t="s">
        <v>294</v>
      </c>
      <c r="H11" s="298" t="s">
        <v>295</v>
      </c>
      <c r="I11" s="298" t="s">
        <v>406</v>
      </c>
      <c r="J11" s="298" t="s">
        <v>407</v>
      </c>
      <c r="K11" s="298" t="s">
        <v>298</v>
      </c>
      <c r="L11" s="298" t="s">
        <v>288</v>
      </c>
      <c r="M11" s="301" t="s">
        <v>408</v>
      </c>
      <c r="N11" s="301" t="s">
        <v>409</v>
      </c>
      <c r="O11" s="301" t="s">
        <v>410</v>
      </c>
      <c r="P11" s="301" t="s">
        <v>411</v>
      </c>
      <c r="Q11" s="301" t="s">
        <v>412</v>
      </c>
      <c r="R11" s="301" t="s">
        <v>413</v>
      </c>
      <c r="S11" s="301" t="s">
        <v>414</v>
      </c>
      <c r="T11" s="301" t="s">
        <v>415</v>
      </c>
      <c r="U11" s="301" t="s">
        <v>416</v>
      </c>
      <c r="V11" s="301" t="s">
        <v>417</v>
      </c>
      <c r="W11" s="298" t="s">
        <v>305</v>
      </c>
      <c r="X11" s="298" t="s">
        <v>306</v>
      </c>
    </row>
    <row r="12">
      <c r="A12" s="295" t="s">
        <v>418</v>
      </c>
      <c r="B12" s="297">
        <f>Spells!$S$4</f>
        <v>1</v>
      </c>
      <c r="C12" s="298" t="s">
        <v>288</v>
      </c>
      <c r="D12" s="298" t="s">
        <v>421</v>
      </c>
      <c r="E12" s="298" t="s">
        <v>290</v>
      </c>
      <c r="F12" s="298" t="str">
        <f>'Character Sheet'!$C$9</f>
        <v/>
      </c>
      <c r="G12" s="298" t="s">
        <v>294</v>
      </c>
      <c r="H12" s="298" t="s">
        <v>295</v>
      </c>
      <c r="I12" s="298" t="s">
        <v>422</v>
      </c>
      <c r="J12" s="298" t="s">
        <v>315</v>
      </c>
      <c r="K12" s="298" t="s">
        <v>424</v>
      </c>
      <c r="L12" s="298" t="s">
        <v>288</v>
      </c>
      <c r="M12" s="301" t="s">
        <v>425</v>
      </c>
      <c r="N12" s="301" t="s">
        <v>425</v>
      </c>
      <c r="O12" s="301" t="s">
        <v>425</v>
      </c>
      <c r="P12" s="301" t="s">
        <v>425</v>
      </c>
      <c r="Q12" s="301" t="s">
        <v>425</v>
      </c>
      <c r="R12" s="301" t="s">
        <v>428</v>
      </c>
      <c r="S12" s="301" t="s">
        <v>428</v>
      </c>
      <c r="T12" s="301" t="s">
        <v>428</v>
      </c>
      <c r="U12" s="301" t="s">
        <v>428</v>
      </c>
      <c r="V12" s="301" t="s">
        <v>428</v>
      </c>
      <c r="W12" s="298" t="s">
        <v>429</v>
      </c>
      <c r="X12" s="298" t="s">
        <v>306</v>
      </c>
    </row>
    <row r="13">
      <c r="A13" s="295" t="s">
        <v>430</v>
      </c>
      <c r="B13" s="297">
        <f>Spells!$S$4</f>
        <v>1</v>
      </c>
      <c r="C13" s="298" t="s">
        <v>432</v>
      </c>
      <c r="D13" s="298" t="s">
        <v>315</v>
      </c>
      <c r="E13" s="298" t="s">
        <v>290</v>
      </c>
      <c r="F13" s="298" t="str">
        <f>'Character Sheet'!$B$9</f>
        <v/>
      </c>
      <c r="G13" s="298" t="s">
        <v>315</v>
      </c>
      <c r="H13" s="298" t="s">
        <v>295</v>
      </c>
      <c r="I13" s="298" t="s">
        <v>435</v>
      </c>
      <c r="J13" s="298" t="s">
        <v>315</v>
      </c>
      <c r="K13" s="298" t="s">
        <v>298</v>
      </c>
      <c r="L13" s="298" t="s">
        <v>288</v>
      </c>
      <c r="M13" s="301" t="s">
        <v>436</v>
      </c>
      <c r="N13" s="301" t="s">
        <v>436</v>
      </c>
      <c r="O13" s="301" t="s">
        <v>437</v>
      </c>
      <c r="P13" s="301" t="s">
        <v>437</v>
      </c>
      <c r="Q13" s="301" t="s">
        <v>438</v>
      </c>
      <c r="R13" s="301" t="s">
        <v>438</v>
      </c>
      <c r="S13" s="301" t="s">
        <v>439</v>
      </c>
      <c r="T13" s="301" t="s">
        <v>439</v>
      </c>
      <c r="U13" s="301" t="s">
        <v>440</v>
      </c>
      <c r="V13" s="301" t="s">
        <v>440</v>
      </c>
      <c r="W13" s="298" t="s">
        <v>442</v>
      </c>
      <c r="X13" s="298" t="s">
        <v>443</v>
      </c>
    </row>
    <row r="14">
      <c r="A14" s="295" t="s">
        <v>444</v>
      </c>
      <c r="B14" s="297">
        <f>Spells!$S$4</f>
        <v>1</v>
      </c>
      <c r="C14" s="298" t="s">
        <v>288</v>
      </c>
      <c r="D14" s="298" t="s">
        <v>289</v>
      </c>
      <c r="E14" s="298" t="s">
        <v>290</v>
      </c>
      <c r="F14" s="298" t="str">
        <f>'Character Sheet'!$C$9</f>
        <v/>
      </c>
      <c r="G14" s="298" t="s">
        <v>294</v>
      </c>
      <c r="H14" s="298" t="s">
        <v>324</v>
      </c>
      <c r="I14" s="298" t="s">
        <v>447</v>
      </c>
      <c r="J14" s="298" t="s">
        <v>336</v>
      </c>
      <c r="K14" s="298" t="s">
        <v>298</v>
      </c>
      <c r="L14" s="298" t="s">
        <v>288</v>
      </c>
      <c r="M14" s="301" t="s">
        <v>448</v>
      </c>
      <c r="N14" s="301" t="s">
        <v>448</v>
      </c>
      <c r="O14" s="301" t="s">
        <v>450</v>
      </c>
      <c r="P14" s="301" t="s">
        <v>450</v>
      </c>
      <c r="Q14" s="301" t="s">
        <v>451</v>
      </c>
      <c r="R14" s="301" t="s">
        <v>451</v>
      </c>
      <c r="S14" s="301" t="s">
        <v>453</v>
      </c>
      <c r="T14" s="301" t="s">
        <v>453</v>
      </c>
      <c r="U14" s="301" t="s">
        <v>455</v>
      </c>
      <c r="V14" s="301" t="s">
        <v>455</v>
      </c>
      <c r="W14" s="298" t="s">
        <v>305</v>
      </c>
      <c r="X14" s="298" t="s">
        <v>318</v>
      </c>
    </row>
    <row r="15">
      <c r="A15" s="295" t="s">
        <v>456</v>
      </c>
      <c r="B15" s="297">
        <f>Spells!$S$4</f>
        <v>1</v>
      </c>
      <c r="C15" s="298" t="s">
        <v>288</v>
      </c>
      <c r="D15" s="298" t="s">
        <v>321</v>
      </c>
      <c r="E15" s="298" t="s">
        <v>290</v>
      </c>
      <c r="F15" s="298" t="str">
        <f>'Character Sheet'!$C$9</f>
        <v/>
      </c>
      <c r="G15" s="298" t="s">
        <v>294</v>
      </c>
      <c r="H15" s="298" t="s">
        <v>295</v>
      </c>
      <c r="I15" s="298" t="s">
        <v>315</v>
      </c>
      <c r="J15" s="298" t="s">
        <v>315</v>
      </c>
      <c r="K15" s="298" t="s">
        <v>353</v>
      </c>
      <c r="L15" s="298" t="s">
        <v>288</v>
      </c>
      <c r="M15" s="301" t="s">
        <v>457</v>
      </c>
      <c r="N15" s="301" t="s">
        <v>457</v>
      </c>
      <c r="O15" s="301" t="s">
        <v>458</v>
      </c>
      <c r="P15" s="301" t="s">
        <v>458</v>
      </c>
      <c r="Q15" s="301" t="s">
        <v>459</v>
      </c>
      <c r="R15" s="301" t="s">
        <v>459</v>
      </c>
      <c r="S15" s="301" t="s">
        <v>459</v>
      </c>
      <c r="T15" s="301" t="s">
        <v>459</v>
      </c>
      <c r="U15" s="301" t="s">
        <v>459</v>
      </c>
      <c r="V15" s="301" t="s">
        <v>459</v>
      </c>
      <c r="W15" s="298" t="s">
        <v>460</v>
      </c>
      <c r="X15" s="298" t="s">
        <v>306</v>
      </c>
    </row>
    <row r="16">
      <c r="A16" s="295" t="s">
        <v>461</v>
      </c>
      <c r="B16" s="297">
        <f>Spells!$S$4</f>
        <v>1</v>
      </c>
      <c r="C16" s="298" t="s">
        <v>288</v>
      </c>
      <c r="D16" s="298" t="s">
        <v>462</v>
      </c>
      <c r="E16" s="298" t="s">
        <v>290</v>
      </c>
      <c r="F16" s="298" t="str">
        <f>'Character Sheet'!$C$9</f>
        <v/>
      </c>
      <c r="G16" s="298" t="s">
        <v>294</v>
      </c>
      <c r="H16" s="298" t="s">
        <v>335</v>
      </c>
      <c r="I16" s="298" t="s">
        <v>296</v>
      </c>
      <c r="J16" s="298" t="s">
        <v>203</v>
      </c>
      <c r="K16" s="298" t="s">
        <v>298</v>
      </c>
      <c r="L16" s="298" t="s">
        <v>288</v>
      </c>
      <c r="M16" s="301" t="s">
        <v>464</v>
      </c>
      <c r="N16" s="301" t="s">
        <v>466</v>
      </c>
      <c r="O16" s="301" t="s">
        <v>467</v>
      </c>
      <c r="P16" s="301" t="s">
        <v>469</v>
      </c>
      <c r="Q16" s="301" t="s">
        <v>470</v>
      </c>
      <c r="R16" s="301" t="s">
        <v>471</v>
      </c>
      <c r="S16" s="301" t="s">
        <v>472</v>
      </c>
      <c r="T16" s="301" t="s">
        <v>473</v>
      </c>
      <c r="U16" s="301" t="s">
        <v>474</v>
      </c>
      <c r="V16" s="301" t="s">
        <v>475</v>
      </c>
      <c r="W16" s="298" t="s">
        <v>305</v>
      </c>
      <c r="X16" s="298" t="s">
        <v>318</v>
      </c>
    </row>
    <row r="17">
      <c r="A17" s="295" t="s">
        <v>476</v>
      </c>
      <c r="B17" s="297">
        <f>Spells!$S$4</f>
        <v>1</v>
      </c>
      <c r="C17" s="298" t="s">
        <v>288</v>
      </c>
      <c r="D17" s="298" t="s">
        <v>310</v>
      </c>
      <c r="E17" s="298" t="s">
        <v>311</v>
      </c>
      <c r="F17" s="298" t="str">
        <f>'Character Sheet'!$B$9</f>
        <v/>
      </c>
      <c r="G17" s="298" t="s">
        <v>477</v>
      </c>
      <c r="H17" s="298" t="s">
        <v>295</v>
      </c>
      <c r="I17" s="298" t="s">
        <v>296</v>
      </c>
      <c r="J17" s="298" t="s">
        <v>315</v>
      </c>
      <c r="K17" s="298" t="s">
        <v>478</v>
      </c>
      <c r="L17" s="298" t="s">
        <v>288</v>
      </c>
      <c r="M17" s="301" t="s">
        <v>480</v>
      </c>
      <c r="N17" s="301" t="s">
        <v>480</v>
      </c>
      <c r="O17" s="301" t="s">
        <v>480</v>
      </c>
      <c r="P17" s="301" t="s">
        <v>480</v>
      </c>
      <c r="Q17" s="301" t="s">
        <v>480</v>
      </c>
      <c r="R17" s="301" t="s">
        <v>480</v>
      </c>
      <c r="S17" s="301" t="s">
        <v>480</v>
      </c>
      <c r="T17" s="301" t="s">
        <v>480</v>
      </c>
      <c r="U17" s="301" t="s">
        <v>480</v>
      </c>
      <c r="V17" s="301" t="s">
        <v>480</v>
      </c>
      <c r="W17" s="298" t="s">
        <v>483</v>
      </c>
      <c r="X17" s="298" t="s">
        <v>306</v>
      </c>
    </row>
    <row r="18">
      <c r="A18" s="295" t="s">
        <v>484</v>
      </c>
      <c r="B18" s="297">
        <f>Spells!$S$4</f>
        <v>1</v>
      </c>
      <c r="C18" s="298" t="s">
        <v>288</v>
      </c>
      <c r="D18" s="298" t="s">
        <v>289</v>
      </c>
      <c r="E18" s="298" t="s">
        <v>290</v>
      </c>
      <c r="F18" s="298" t="str">
        <f>'Character Sheet'!$C$9</f>
        <v/>
      </c>
      <c r="G18" s="298" t="s">
        <v>294</v>
      </c>
      <c r="H18" s="298" t="s">
        <v>324</v>
      </c>
      <c r="I18" s="298" t="s">
        <v>485</v>
      </c>
      <c r="J18" s="298" t="s">
        <v>336</v>
      </c>
      <c r="K18" s="298" t="s">
        <v>298</v>
      </c>
      <c r="L18" s="298" t="s">
        <v>288</v>
      </c>
      <c r="M18" s="301" t="s">
        <v>486</v>
      </c>
      <c r="N18" s="301" t="s">
        <v>486</v>
      </c>
      <c r="O18" s="301" t="s">
        <v>487</v>
      </c>
      <c r="P18" s="301" t="s">
        <v>487</v>
      </c>
      <c r="Q18" s="301" t="s">
        <v>488</v>
      </c>
      <c r="R18" s="301" t="s">
        <v>488</v>
      </c>
      <c r="S18" s="301" t="s">
        <v>489</v>
      </c>
      <c r="T18" s="301" t="s">
        <v>489</v>
      </c>
      <c r="U18" s="301" t="s">
        <v>490</v>
      </c>
      <c r="V18" s="301" t="s">
        <v>490</v>
      </c>
      <c r="W18" s="298" t="s">
        <v>429</v>
      </c>
      <c r="X18" s="298" t="s">
        <v>318</v>
      </c>
    </row>
    <row r="19">
      <c r="A19" s="295" t="s">
        <v>491</v>
      </c>
      <c r="B19" s="297">
        <f>Spells!$S$4</f>
        <v>1</v>
      </c>
      <c r="C19" s="298" t="s">
        <v>288</v>
      </c>
      <c r="D19" s="298" t="s">
        <v>462</v>
      </c>
      <c r="E19" s="298" t="s">
        <v>290</v>
      </c>
      <c r="F19" s="298" t="str">
        <f>'Character Sheet'!$B$9</f>
        <v/>
      </c>
      <c r="G19" s="298" t="s">
        <v>493</v>
      </c>
      <c r="H19" s="298" t="s">
        <v>494</v>
      </c>
      <c r="I19" s="298" t="s">
        <v>315</v>
      </c>
      <c r="J19" s="298" t="s">
        <v>315</v>
      </c>
      <c r="K19" s="298" t="s">
        <v>325</v>
      </c>
      <c r="L19" s="298" t="s">
        <v>288</v>
      </c>
      <c r="M19" s="301" t="s">
        <v>496</v>
      </c>
      <c r="N19" s="301" t="s">
        <v>496</v>
      </c>
      <c r="O19" s="301" t="s">
        <v>498</v>
      </c>
      <c r="P19" s="301" t="s">
        <v>498</v>
      </c>
      <c r="Q19" s="301" t="s">
        <v>498</v>
      </c>
      <c r="R19" s="301" t="s">
        <v>498</v>
      </c>
      <c r="S19" s="301" t="s">
        <v>498</v>
      </c>
      <c r="T19" s="301" t="s">
        <v>498</v>
      </c>
      <c r="U19" s="301" t="s">
        <v>498</v>
      </c>
      <c r="V19" s="301" t="s">
        <v>498</v>
      </c>
      <c r="W19" s="298" t="s">
        <v>499</v>
      </c>
      <c r="X19" s="298" t="s">
        <v>318</v>
      </c>
    </row>
    <row r="20">
      <c r="A20" s="295" t="s">
        <v>500</v>
      </c>
      <c r="B20" s="297">
        <f>Spells!$S$4</f>
        <v>1</v>
      </c>
      <c r="C20" s="298" t="s">
        <v>288</v>
      </c>
      <c r="D20" s="298" t="s">
        <v>359</v>
      </c>
      <c r="E20" s="298" t="s">
        <v>311</v>
      </c>
      <c r="F20" s="298" t="str">
        <f>'Character Sheet'!$C$9</f>
        <v/>
      </c>
      <c r="G20" s="298" t="s">
        <v>294</v>
      </c>
      <c r="H20" s="298" t="s">
        <v>295</v>
      </c>
      <c r="I20" s="298" t="s">
        <v>315</v>
      </c>
      <c r="J20" s="298" t="s">
        <v>315</v>
      </c>
      <c r="K20" s="298" t="s">
        <v>478</v>
      </c>
      <c r="L20" s="298" t="s">
        <v>288</v>
      </c>
      <c r="M20" s="301" t="s">
        <v>501</v>
      </c>
      <c r="N20" s="301" t="s">
        <v>501</v>
      </c>
      <c r="O20" s="301" t="s">
        <v>501</v>
      </c>
      <c r="P20" s="301" t="s">
        <v>501</v>
      </c>
      <c r="Q20" s="301" t="s">
        <v>501</v>
      </c>
      <c r="R20" s="301" t="s">
        <v>501</v>
      </c>
      <c r="S20" s="301" t="s">
        <v>501</v>
      </c>
      <c r="T20" s="301" t="s">
        <v>501</v>
      </c>
      <c r="U20" s="301" t="s">
        <v>501</v>
      </c>
      <c r="V20" s="301" t="s">
        <v>501</v>
      </c>
      <c r="W20" s="298" t="s">
        <v>460</v>
      </c>
      <c r="X20" s="298" t="s">
        <v>318</v>
      </c>
    </row>
    <row r="21">
      <c r="A21" s="295" t="s">
        <v>506</v>
      </c>
      <c r="B21" s="297">
        <f>Spells!$S$4</f>
        <v>1</v>
      </c>
      <c r="C21" s="298" t="s">
        <v>432</v>
      </c>
      <c r="D21" s="298" t="s">
        <v>359</v>
      </c>
      <c r="E21" s="298" t="s">
        <v>290</v>
      </c>
      <c r="F21" s="298" t="str">
        <f>'Character Sheet'!$B$9</f>
        <v/>
      </c>
      <c r="G21" s="298" t="s">
        <v>477</v>
      </c>
      <c r="H21" s="298" t="s">
        <v>295</v>
      </c>
      <c r="I21" s="298" t="s">
        <v>296</v>
      </c>
      <c r="J21" s="298" t="s">
        <v>315</v>
      </c>
      <c r="K21" s="298" t="s">
        <v>507</v>
      </c>
      <c r="L21" s="298" t="s">
        <v>288</v>
      </c>
      <c r="M21" s="301" t="s">
        <v>508</v>
      </c>
      <c r="N21" s="301" t="s">
        <v>509</v>
      </c>
      <c r="O21" s="301" t="s">
        <v>511</v>
      </c>
      <c r="P21" s="301" t="s">
        <v>512</v>
      </c>
      <c r="Q21" s="301" t="s">
        <v>513</v>
      </c>
      <c r="R21" s="301" t="s">
        <v>514</v>
      </c>
      <c r="S21" s="301" t="s">
        <v>516</v>
      </c>
      <c r="T21" s="301" t="s">
        <v>518</v>
      </c>
      <c r="U21" s="301" t="s">
        <v>519</v>
      </c>
      <c r="V21" s="301" t="s">
        <v>520</v>
      </c>
      <c r="W21" s="298" t="s">
        <v>317</v>
      </c>
      <c r="X21" s="298" t="s">
        <v>318</v>
      </c>
    </row>
    <row r="22">
      <c r="A22" s="295" t="s">
        <v>521</v>
      </c>
      <c r="B22" s="297">
        <f>Spells!$S$4</f>
        <v>1</v>
      </c>
      <c r="C22" s="298" t="s">
        <v>522</v>
      </c>
      <c r="D22" s="298" t="s">
        <v>310</v>
      </c>
      <c r="E22" s="298" t="s">
        <v>290</v>
      </c>
      <c r="F22" s="298" t="str">
        <f>'Character Sheet'!$B$9</f>
        <v/>
      </c>
      <c r="G22" s="298" t="s">
        <v>493</v>
      </c>
      <c r="H22" s="298" t="s">
        <v>335</v>
      </c>
      <c r="I22" s="298" t="s">
        <v>523</v>
      </c>
      <c r="J22" s="298" t="s">
        <v>315</v>
      </c>
      <c r="K22" s="298" t="s">
        <v>478</v>
      </c>
      <c r="L22" s="298" t="s">
        <v>288</v>
      </c>
      <c r="M22" s="301" t="s">
        <v>524</v>
      </c>
      <c r="N22" s="301" t="s">
        <v>526</v>
      </c>
      <c r="O22" s="301" t="s">
        <v>527</v>
      </c>
      <c r="P22" s="301" t="s">
        <v>528</v>
      </c>
      <c r="Q22" s="301" t="s">
        <v>529</v>
      </c>
      <c r="R22" s="301" t="s">
        <v>530</v>
      </c>
      <c r="S22" s="301" t="s">
        <v>532</v>
      </c>
      <c r="T22" s="301" t="s">
        <v>533</v>
      </c>
      <c r="U22" s="301" t="s">
        <v>534</v>
      </c>
      <c r="V22" s="301" t="s">
        <v>535</v>
      </c>
      <c r="W22" s="298" t="s">
        <v>536</v>
      </c>
      <c r="X22" s="298" t="s">
        <v>306</v>
      </c>
    </row>
    <row r="23">
      <c r="A23" s="295" t="s">
        <v>537</v>
      </c>
      <c r="B23" s="297">
        <f>Spells!$S$4</f>
        <v>1</v>
      </c>
      <c r="C23" s="298" t="s">
        <v>288</v>
      </c>
      <c r="D23" s="298" t="s">
        <v>310</v>
      </c>
      <c r="E23" s="298" t="s">
        <v>290</v>
      </c>
      <c r="F23" s="298" t="str">
        <f>'Character Sheet'!$C$9</f>
        <v/>
      </c>
      <c r="G23" s="298" t="s">
        <v>294</v>
      </c>
      <c r="H23" s="298" t="s">
        <v>324</v>
      </c>
      <c r="I23" s="298" t="s">
        <v>315</v>
      </c>
      <c r="J23" s="298" t="s">
        <v>315</v>
      </c>
      <c r="K23" s="298" t="s">
        <v>298</v>
      </c>
      <c r="L23" s="298" t="s">
        <v>288</v>
      </c>
      <c r="M23" s="301" t="s">
        <v>539</v>
      </c>
      <c r="N23" s="301" t="s">
        <v>539</v>
      </c>
      <c r="O23" s="301" t="s">
        <v>539</v>
      </c>
      <c r="P23" s="301" t="s">
        <v>539</v>
      </c>
      <c r="Q23" s="301" t="s">
        <v>539</v>
      </c>
      <c r="R23" s="301" t="s">
        <v>539</v>
      </c>
      <c r="S23" s="301" t="s">
        <v>540</v>
      </c>
      <c r="T23" s="301" t="s">
        <v>540</v>
      </c>
      <c r="U23" s="301" t="s">
        <v>540</v>
      </c>
      <c r="V23" s="301" t="s">
        <v>540</v>
      </c>
      <c r="W23" s="298" t="s">
        <v>483</v>
      </c>
      <c r="X23" s="298" t="s">
        <v>306</v>
      </c>
    </row>
    <row r="24">
      <c r="A24" s="295" t="s">
        <v>542</v>
      </c>
      <c r="B24" s="297">
        <f>Spells!$S$4</f>
        <v>1</v>
      </c>
      <c r="C24" s="298" t="s">
        <v>288</v>
      </c>
      <c r="D24" s="298" t="s">
        <v>289</v>
      </c>
      <c r="E24" s="298" t="s">
        <v>290</v>
      </c>
      <c r="F24" s="298" t="str">
        <f>'Character Sheet'!$C$9</f>
        <v/>
      </c>
      <c r="G24" s="298" t="s">
        <v>294</v>
      </c>
      <c r="H24" s="298" t="s">
        <v>335</v>
      </c>
      <c r="I24" s="298" t="s">
        <v>435</v>
      </c>
      <c r="J24" s="298" t="s">
        <v>315</v>
      </c>
      <c r="K24" s="298" t="s">
        <v>545</v>
      </c>
      <c r="L24" s="298" t="s">
        <v>288</v>
      </c>
      <c r="M24" s="301" t="s">
        <v>546</v>
      </c>
      <c r="N24" s="301" t="s">
        <v>546</v>
      </c>
      <c r="O24" s="301" t="s">
        <v>546</v>
      </c>
      <c r="P24" s="301" t="s">
        <v>547</v>
      </c>
      <c r="Q24" s="301" t="s">
        <v>547</v>
      </c>
      <c r="R24" s="301" t="s">
        <v>547</v>
      </c>
      <c r="S24" s="301" t="s">
        <v>547</v>
      </c>
      <c r="T24" s="301" t="s">
        <v>547</v>
      </c>
      <c r="U24" s="301" t="s">
        <v>547</v>
      </c>
      <c r="V24" s="301" t="s">
        <v>547</v>
      </c>
      <c r="W24" s="298" t="s">
        <v>317</v>
      </c>
      <c r="X24" s="298" t="s">
        <v>306</v>
      </c>
    </row>
    <row r="25">
      <c r="A25" s="295" t="s">
        <v>548</v>
      </c>
      <c r="B25" s="297">
        <f>Spells!$S$4</f>
        <v>1</v>
      </c>
      <c r="C25" s="298" t="s">
        <v>288</v>
      </c>
      <c r="D25" s="298" t="s">
        <v>289</v>
      </c>
      <c r="E25" s="298" t="s">
        <v>290</v>
      </c>
      <c r="F25" s="298" t="str">
        <f>'Character Sheet'!$C$9</f>
        <v/>
      </c>
      <c r="G25" s="298" t="s">
        <v>294</v>
      </c>
      <c r="H25" s="298" t="s">
        <v>295</v>
      </c>
      <c r="I25" s="298" t="s">
        <v>435</v>
      </c>
      <c r="J25" s="298" t="s">
        <v>315</v>
      </c>
      <c r="K25" s="298" t="s">
        <v>353</v>
      </c>
      <c r="L25" s="298" t="s">
        <v>288</v>
      </c>
      <c r="M25" s="301" t="s">
        <v>551</v>
      </c>
      <c r="N25" s="301" t="s">
        <v>551</v>
      </c>
      <c r="O25" s="301" t="s">
        <v>552</v>
      </c>
      <c r="P25" s="301" t="s">
        <v>552</v>
      </c>
      <c r="Q25" s="301" t="s">
        <v>553</v>
      </c>
      <c r="R25" s="301" t="s">
        <v>553</v>
      </c>
      <c r="S25" s="301" t="s">
        <v>554</v>
      </c>
      <c r="T25" s="301" t="s">
        <v>554</v>
      </c>
      <c r="U25" s="301" t="s">
        <v>554</v>
      </c>
      <c r="V25" s="301" t="s">
        <v>554</v>
      </c>
      <c r="W25" s="298" t="s">
        <v>460</v>
      </c>
      <c r="X25" s="298" t="s">
        <v>306</v>
      </c>
    </row>
    <row r="26">
      <c r="A26" s="295" t="s">
        <v>555</v>
      </c>
      <c r="B26" s="297">
        <f>Spells!$S$4</f>
        <v>1</v>
      </c>
      <c r="C26" s="298" t="s">
        <v>288</v>
      </c>
      <c r="D26" s="298" t="s">
        <v>321</v>
      </c>
      <c r="E26" s="298" t="s">
        <v>290</v>
      </c>
      <c r="F26" s="298" t="str">
        <f>'Character Sheet'!$B$9</f>
        <v/>
      </c>
      <c r="G26" s="298" t="s">
        <v>477</v>
      </c>
      <c r="H26" s="298" t="s">
        <v>352</v>
      </c>
      <c r="I26" s="298" t="s">
        <v>296</v>
      </c>
      <c r="J26" s="298" t="s">
        <v>315</v>
      </c>
      <c r="K26" s="298" t="s">
        <v>298</v>
      </c>
      <c r="L26" s="298" t="s">
        <v>288</v>
      </c>
      <c r="M26" s="301" t="s">
        <v>556</v>
      </c>
      <c r="N26" s="301" t="s">
        <v>556</v>
      </c>
      <c r="O26" s="301" t="s">
        <v>557</v>
      </c>
      <c r="P26" s="301" t="s">
        <v>557</v>
      </c>
      <c r="Q26" s="301" t="s">
        <v>557</v>
      </c>
      <c r="R26" s="301" t="s">
        <v>557</v>
      </c>
      <c r="S26" s="301" t="s">
        <v>557</v>
      </c>
      <c r="T26" s="301" t="s">
        <v>557</v>
      </c>
      <c r="U26" s="301" t="s">
        <v>557</v>
      </c>
      <c r="V26" s="301" t="s">
        <v>557</v>
      </c>
      <c r="W26" s="298" t="s">
        <v>331</v>
      </c>
      <c r="X26" s="298" t="s">
        <v>306</v>
      </c>
    </row>
    <row r="27">
      <c r="A27" s="295" t="s">
        <v>558</v>
      </c>
      <c r="B27" s="297">
        <f>Spells!$S$4</f>
        <v>1</v>
      </c>
      <c r="C27" s="298" t="s">
        <v>288</v>
      </c>
      <c r="D27" s="298" t="s">
        <v>289</v>
      </c>
      <c r="E27" s="298" t="s">
        <v>290</v>
      </c>
      <c r="F27" s="298" t="str">
        <f>'Character Sheet'!$C$9</f>
        <v/>
      </c>
      <c r="G27" s="298" t="s">
        <v>294</v>
      </c>
      <c r="H27" s="298" t="s">
        <v>295</v>
      </c>
      <c r="I27" s="298" t="s">
        <v>296</v>
      </c>
      <c r="J27" s="298" t="s">
        <v>203</v>
      </c>
      <c r="K27" s="298" t="s">
        <v>298</v>
      </c>
      <c r="L27" s="298" t="s">
        <v>288</v>
      </c>
      <c r="M27" s="301" t="s">
        <v>559</v>
      </c>
      <c r="N27" s="301" t="s">
        <v>560</v>
      </c>
      <c r="O27" s="301" t="s">
        <v>561</v>
      </c>
      <c r="P27" s="301" t="s">
        <v>562</v>
      </c>
      <c r="Q27" s="301" t="s">
        <v>563</v>
      </c>
      <c r="R27" s="301" t="s">
        <v>564</v>
      </c>
      <c r="S27" s="301" t="s">
        <v>565</v>
      </c>
      <c r="T27" s="301" t="s">
        <v>566</v>
      </c>
      <c r="U27" s="301" t="s">
        <v>567</v>
      </c>
      <c r="V27" s="301" t="s">
        <v>568</v>
      </c>
      <c r="W27" s="298" t="s">
        <v>460</v>
      </c>
      <c r="X27" s="298" t="s">
        <v>569</v>
      </c>
    </row>
    <row r="28">
      <c r="A28" s="295" t="s">
        <v>570</v>
      </c>
      <c r="B28" s="297">
        <f>Spells!$S$4</f>
        <v>1</v>
      </c>
      <c r="C28" s="298" t="s">
        <v>288</v>
      </c>
      <c r="D28" s="298" t="s">
        <v>289</v>
      </c>
      <c r="E28" s="298" t="s">
        <v>311</v>
      </c>
      <c r="F28" s="298" t="str">
        <f>'Character Sheet'!$C$9</f>
        <v/>
      </c>
      <c r="G28" s="298" t="s">
        <v>294</v>
      </c>
      <c r="H28" s="298" t="s">
        <v>313</v>
      </c>
      <c r="I28" s="298" t="s">
        <v>435</v>
      </c>
      <c r="J28" s="298" t="s">
        <v>315</v>
      </c>
      <c r="K28" s="298" t="s">
        <v>353</v>
      </c>
      <c r="L28" s="298" t="s">
        <v>288</v>
      </c>
      <c r="M28" s="301" t="s">
        <v>574</v>
      </c>
      <c r="N28" s="301" t="s">
        <v>575</v>
      </c>
      <c r="O28" s="301" t="s">
        <v>576</v>
      </c>
      <c r="P28" s="301" t="s">
        <v>577</v>
      </c>
      <c r="Q28" s="301" t="s">
        <v>578</v>
      </c>
      <c r="R28" s="301" t="s">
        <v>579</v>
      </c>
      <c r="S28" s="301" t="s">
        <v>580</v>
      </c>
      <c r="T28" s="301" t="s">
        <v>581</v>
      </c>
      <c r="U28" s="301" t="s">
        <v>582</v>
      </c>
      <c r="V28" s="301" t="s">
        <v>583</v>
      </c>
      <c r="W28" s="298" t="s">
        <v>317</v>
      </c>
      <c r="X28" s="298" t="s">
        <v>306</v>
      </c>
    </row>
    <row r="29">
      <c r="A29" s="295" t="s">
        <v>584</v>
      </c>
      <c r="B29" s="297">
        <f>Spells!$S$4</f>
        <v>1</v>
      </c>
      <c r="C29" s="298" t="s">
        <v>288</v>
      </c>
      <c r="D29" s="298" t="s">
        <v>289</v>
      </c>
      <c r="E29" s="298" t="s">
        <v>290</v>
      </c>
      <c r="F29" s="298" t="str">
        <f>'Character Sheet'!$C$9</f>
        <v/>
      </c>
      <c r="G29" s="298" t="s">
        <v>294</v>
      </c>
      <c r="H29" s="298" t="s">
        <v>295</v>
      </c>
      <c r="I29" s="298" t="s">
        <v>296</v>
      </c>
      <c r="J29" s="298" t="s">
        <v>203</v>
      </c>
      <c r="K29" s="298" t="s">
        <v>298</v>
      </c>
      <c r="L29" s="298" t="s">
        <v>288</v>
      </c>
      <c r="M29" s="301" t="s">
        <v>586</v>
      </c>
      <c r="N29" s="301" t="s">
        <v>587</v>
      </c>
      <c r="O29" s="301" t="s">
        <v>588</v>
      </c>
      <c r="P29" s="301" t="s">
        <v>589</v>
      </c>
      <c r="Q29" s="301" t="s">
        <v>590</v>
      </c>
      <c r="R29" s="301" t="s">
        <v>591</v>
      </c>
      <c r="S29" s="301" t="s">
        <v>592</v>
      </c>
      <c r="T29" s="301" t="s">
        <v>593</v>
      </c>
      <c r="U29" s="301" t="s">
        <v>594</v>
      </c>
      <c r="V29" s="301" t="s">
        <v>595</v>
      </c>
      <c r="W29" s="298" t="s">
        <v>305</v>
      </c>
      <c r="X29" s="298" t="s">
        <v>306</v>
      </c>
    </row>
    <row r="30">
      <c r="A30" s="295" t="s">
        <v>596</v>
      </c>
      <c r="B30" s="297">
        <f>Spells!$S$4</f>
        <v>1</v>
      </c>
      <c r="C30" s="298" t="s">
        <v>288</v>
      </c>
      <c r="D30" s="298" t="s">
        <v>421</v>
      </c>
      <c r="E30" s="298" t="s">
        <v>290</v>
      </c>
      <c r="F30" s="298" t="str">
        <f>'Character Sheet'!$B$9</f>
        <v/>
      </c>
      <c r="G30" s="298" t="s">
        <v>477</v>
      </c>
      <c r="H30" s="298" t="s">
        <v>295</v>
      </c>
      <c r="I30" s="298" t="s">
        <v>597</v>
      </c>
      <c r="J30" s="298" t="s">
        <v>315</v>
      </c>
      <c r="K30" s="298" t="s">
        <v>478</v>
      </c>
      <c r="L30" s="298" t="s">
        <v>288</v>
      </c>
      <c r="M30" s="301" t="s">
        <v>598</v>
      </c>
      <c r="N30" s="301" t="s">
        <v>598</v>
      </c>
      <c r="O30" s="301" t="s">
        <v>599</v>
      </c>
      <c r="P30" s="301" t="s">
        <v>599</v>
      </c>
      <c r="Q30" s="301" t="s">
        <v>601</v>
      </c>
      <c r="R30" s="301" t="s">
        <v>601</v>
      </c>
      <c r="S30" s="301" t="s">
        <v>602</v>
      </c>
      <c r="T30" s="301" t="s">
        <v>602</v>
      </c>
      <c r="U30" s="301" t="s">
        <v>604</v>
      </c>
      <c r="V30" s="301" t="s">
        <v>604</v>
      </c>
      <c r="W30" s="298" t="s">
        <v>317</v>
      </c>
      <c r="X30" s="298" t="s">
        <v>318</v>
      </c>
    </row>
    <row r="31">
      <c r="A31" s="295" t="s">
        <v>605</v>
      </c>
      <c r="B31" s="297">
        <f>Spells!$S$4</f>
        <v>1</v>
      </c>
      <c r="C31" s="298" t="s">
        <v>288</v>
      </c>
      <c r="D31" s="298" t="s">
        <v>289</v>
      </c>
      <c r="E31" s="298" t="s">
        <v>290</v>
      </c>
      <c r="F31" s="298" t="str">
        <f>'Character Sheet'!$C$9</f>
        <v/>
      </c>
      <c r="G31" s="298" t="s">
        <v>294</v>
      </c>
      <c r="H31" s="298" t="s">
        <v>494</v>
      </c>
      <c r="I31" s="298" t="s">
        <v>296</v>
      </c>
      <c r="J31" s="298" t="s">
        <v>336</v>
      </c>
      <c r="K31" s="298" t="s">
        <v>298</v>
      </c>
      <c r="L31" s="298" t="s">
        <v>288</v>
      </c>
      <c r="M31" s="301" t="s">
        <v>606</v>
      </c>
      <c r="N31" s="301" t="s">
        <v>606</v>
      </c>
      <c r="O31" s="301" t="s">
        <v>608</v>
      </c>
      <c r="P31" s="301" t="s">
        <v>608</v>
      </c>
      <c r="Q31" s="301" t="s">
        <v>609</v>
      </c>
      <c r="R31" s="301" t="s">
        <v>609</v>
      </c>
      <c r="S31" s="301" t="s">
        <v>610</v>
      </c>
      <c r="T31" s="301" t="s">
        <v>610</v>
      </c>
      <c r="U31" s="301" t="s">
        <v>611</v>
      </c>
      <c r="V31" s="301" t="s">
        <v>611</v>
      </c>
      <c r="W31" s="298" t="s">
        <v>305</v>
      </c>
      <c r="X31" s="298" t="s">
        <v>318</v>
      </c>
    </row>
    <row r="32">
      <c r="A32" s="295" t="s">
        <v>612</v>
      </c>
      <c r="B32" s="297">
        <f>Spells!$S$4</f>
        <v>1</v>
      </c>
      <c r="C32" s="298" t="s">
        <v>288</v>
      </c>
      <c r="D32" s="298" t="s">
        <v>289</v>
      </c>
      <c r="E32" s="298" t="s">
        <v>290</v>
      </c>
      <c r="F32" s="298" t="str">
        <f>'Character Sheet'!$C$9</f>
        <v/>
      </c>
      <c r="G32" s="298" t="s">
        <v>294</v>
      </c>
      <c r="H32" s="298" t="s">
        <v>352</v>
      </c>
      <c r="I32" s="298" t="s">
        <v>296</v>
      </c>
      <c r="J32" s="298" t="s">
        <v>203</v>
      </c>
      <c r="K32" s="298" t="s">
        <v>298</v>
      </c>
      <c r="L32" s="298" t="s">
        <v>288</v>
      </c>
      <c r="M32" s="301" t="s">
        <v>613</v>
      </c>
      <c r="N32" s="301" t="s">
        <v>614</v>
      </c>
      <c r="O32" s="301" t="s">
        <v>616</v>
      </c>
      <c r="P32" s="301" t="s">
        <v>617</v>
      </c>
      <c r="Q32" s="301" t="s">
        <v>618</v>
      </c>
      <c r="R32" s="301" t="s">
        <v>619</v>
      </c>
      <c r="S32" s="301" t="s">
        <v>620</v>
      </c>
      <c r="T32" s="301" t="s">
        <v>621</v>
      </c>
      <c r="U32" s="301" t="s">
        <v>622</v>
      </c>
      <c r="V32" s="301" t="s">
        <v>623</v>
      </c>
      <c r="W32" s="298" t="s">
        <v>305</v>
      </c>
      <c r="X32" s="298" t="s">
        <v>306</v>
      </c>
    </row>
    <row r="33">
      <c r="A33" s="295" t="s">
        <v>624</v>
      </c>
      <c r="B33" s="297">
        <f>Spells!$S$4</f>
        <v>1</v>
      </c>
      <c r="C33" s="298" t="s">
        <v>288</v>
      </c>
      <c r="D33" s="298" t="s">
        <v>310</v>
      </c>
      <c r="E33" s="298" t="s">
        <v>290</v>
      </c>
      <c r="F33" s="298" t="s">
        <v>625</v>
      </c>
      <c r="G33" s="298" t="s">
        <v>294</v>
      </c>
      <c r="H33" s="298" t="s">
        <v>295</v>
      </c>
      <c r="I33" s="298" t="s">
        <v>435</v>
      </c>
      <c r="J33" s="298" t="s">
        <v>315</v>
      </c>
      <c r="K33" s="298" t="s">
        <v>298</v>
      </c>
      <c r="L33" s="298" t="s">
        <v>288</v>
      </c>
      <c r="M33" s="301" t="s">
        <v>626</v>
      </c>
      <c r="N33" s="301" t="s">
        <v>626</v>
      </c>
      <c r="O33" s="301" t="s">
        <v>627</v>
      </c>
      <c r="P33" s="301" t="s">
        <v>627</v>
      </c>
      <c r="Q33" s="301" t="s">
        <v>627</v>
      </c>
      <c r="R33" s="301" t="s">
        <v>628</v>
      </c>
      <c r="S33" s="301" t="s">
        <v>628</v>
      </c>
      <c r="T33" s="301" t="s">
        <v>628</v>
      </c>
      <c r="U33" s="301" t="s">
        <v>628</v>
      </c>
      <c r="V33" s="301" t="s">
        <v>628</v>
      </c>
      <c r="W33" s="298" t="s">
        <v>317</v>
      </c>
      <c r="X33" s="298" t="s">
        <v>306</v>
      </c>
    </row>
    <row r="34">
      <c r="A34" s="295" t="s">
        <v>630</v>
      </c>
      <c r="B34" s="297">
        <f>Spells!$S$4</f>
        <v>1</v>
      </c>
      <c r="C34" s="298" t="s">
        <v>288</v>
      </c>
      <c r="D34" s="298" t="s">
        <v>310</v>
      </c>
      <c r="E34" s="298" t="s">
        <v>311</v>
      </c>
      <c r="F34" s="298" t="str">
        <f>'Character Sheet'!$C$9</f>
        <v/>
      </c>
      <c r="G34" s="298" t="s">
        <v>294</v>
      </c>
      <c r="H34" s="298" t="s">
        <v>324</v>
      </c>
      <c r="I34" s="298" t="s">
        <v>315</v>
      </c>
      <c r="J34" s="298" t="s">
        <v>631</v>
      </c>
      <c r="K34" s="298" t="s">
        <v>632</v>
      </c>
      <c r="L34" s="298" t="s">
        <v>288</v>
      </c>
      <c r="M34" s="301" t="s">
        <v>633</v>
      </c>
      <c r="N34" s="301" t="s">
        <v>633</v>
      </c>
      <c r="O34" s="301" t="s">
        <v>633</v>
      </c>
      <c r="P34" s="301" t="s">
        <v>633</v>
      </c>
      <c r="Q34" s="301" t="s">
        <v>633</v>
      </c>
      <c r="R34" s="301" t="s">
        <v>633</v>
      </c>
      <c r="S34" s="301" t="s">
        <v>633</v>
      </c>
      <c r="T34" s="301" t="s">
        <v>633</v>
      </c>
      <c r="U34" s="301" t="s">
        <v>633</v>
      </c>
      <c r="V34" s="301" t="s">
        <v>633</v>
      </c>
      <c r="W34" s="298" t="s">
        <v>429</v>
      </c>
      <c r="X34" s="298" t="s">
        <v>318</v>
      </c>
    </row>
    <row r="35">
      <c r="A35" s="295" t="s">
        <v>634</v>
      </c>
      <c r="B35" s="297">
        <f>Spells!$S$4</f>
        <v>1</v>
      </c>
      <c r="C35" s="298" t="s">
        <v>288</v>
      </c>
      <c r="D35" s="298" t="s">
        <v>289</v>
      </c>
      <c r="E35" s="298" t="s">
        <v>290</v>
      </c>
      <c r="F35" s="298" t="str">
        <f>'Character Sheet'!$C$9</f>
        <v/>
      </c>
      <c r="G35" s="298" t="s">
        <v>294</v>
      </c>
      <c r="H35" s="298" t="s">
        <v>295</v>
      </c>
      <c r="I35" s="298" t="s">
        <v>635</v>
      </c>
      <c r="J35" s="298" t="s">
        <v>407</v>
      </c>
      <c r="K35" s="298" t="s">
        <v>632</v>
      </c>
      <c r="L35" s="298" t="s">
        <v>288</v>
      </c>
      <c r="M35" s="301" t="s">
        <v>636</v>
      </c>
      <c r="N35" s="301" t="s">
        <v>637</v>
      </c>
      <c r="O35" s="301" t="s">
        <v>638</v>
      </c>
      <c r="P35" s="301" t="s">
        <v>639</v>
      </c>
      <c r="Q35" s="301" t="s">
        <v>640</v>
      </c>
      <c r="R35" s="301" t="s">
        <v>641</v>
      </c>
      <c r="S35" s="301" t="s">
        <v>642</v>
      </c>
      <c r="T35" s="301" t="s">
        <v>643</v>
      </c>
      <c r="U35" s="301" t="s">
        <v>644</v>
      </c>
      <c r="V35" s="301" t="s">
        <v>645</v>
      </c>
      <c r="W35" s="298" t="s">
        <v>305</v>
      </c>
      <c r="X35" s="298" t="s">
        <v>318</v>
      </c>
    </row>
    <row r="36">
      <c r="A36" s="295" t="s">
        <v>97</v>
      </c>
      <c r="B36" s="297">
        <f>Spells!$S$4</f>
        <v>1</v>
      </c>
      <c r="C36" s="298" t="s">
        <v>288</v>
      </c>
      <c r="D36" s="298" t="s">
        <v>421</v>
      </c>
      <c r="E36" s="298" t="s">
        <v>290</v>
      </c>
      <c r="F36" s="298" t="str">
        <f>'Character Sheet'!$B$9</f>
        <v/>
      </c>
      <c r="G36" s="298" t="s">
        <v>477</v>
      </c>
      <c r="H36" s="298" t="s">
        <v>324</v>
      </c>
      <c r="I36" s="298" t="s">
        <v>315</v>
      </c>
      <c r="J36" s="298" t="s">
        <v>315</v>
      </c>
      <c r="K36" s="298" t="s">
        <v>478</v>
      </c>
      <c r="L36" s="298" t="s">
        <v>288</v>
      </c>
      <c r="M36" s="301" t="s">
        <v>646</v>
      </c>
      <c r="N36" s="301" t="s">
        <v>646</v>
      </c>
      <c r="O36" s="301" t="s">
        <v>647</v>
      </c>
      <c r="P36" s="301" t="s">
        <v>647</v>
      </c>
      <c r="Q36" s="301" t="s">
        <v>648</v>
      </c>
      <c r="R36" s="301" t="s">
        <v>648</v>
      </c>
      <c r="S36" s="301" t="s">
        <v>649</v>
      </c>
      <c r="T36" s="301" t="s">
        <v>649</v>
      </c>
      <c r="U36" s="301" t="s">
        <v>650</v>
      </c>
      <c r="V36" s="301" t="s">
        <v>650</v>
      </c>
      <c r="W36" s="298" t="s">
        <v>331</v>
      </c>
      <c r="X36" s="298" t="s">
        <v>306</v>
      </c>
    </row>
    <row r="37">
      <c r="A37" s="295" t="s">
        <v>651</v>
      </c>
      <c r="B37" s="297">
        <f>Spells!$S$4</f>
        <v>1</v>
      </c>
      <c r="C37" s="298" t="s">
        <v>288</v>
      </c>
      <c r="D37" s="298" t="s">
        <v>462</v>
      </c>
      <c r="E37" s="298" t="s">
        <v>290</v>
      </c>
      <c r="F37" s="298" t="str">
        <f>'Character Sheet'!$C$9</f>
        <v/>
      </c>
      <c r="G37" s="298" t="s">
        <v>294</v>
      </c>
      <c r="H37" s="298" t="s">
        <v>335</v>
      </c>
      <c r="I37" s="298" t="s">
        <v>652</v>
      </c>
      <c r="J37" s="298" t="s">
        <v>315</v>
      </c>
      <c r="K37" s="298" t="s">
        <v>653</v>
      </c>
      <c r="L37" s="298" t="s">
        <v>288</v>
      </c>
      <c r="M37" s="301" t="s">
        <v>654</v>
      </c>
      <c r="N37" s="301" t="s">
        <v>654</v>
      </c>
      <c r="O37" s="301" t="s">
        <v>655</v>
      </c>
      <c r="P37" s="301" t="s">
        <v>655</v>
      </c>
      <c r="Q37" s="301" t="s">
        <v>656</v>
      </c>
      <c r="R37" s="301" t="s">
        <v>656</v>
      </c>
      <c r="S37" s="301" t="s">
        <v>657</v>
      </c>
      <c r="T37" s="301" t="s">
        <v>657</v>
      </c>
      <c r="U37" s="301" t="s">
        <v>657</v>
      </c>
      <c r="V37" s="301" t="s">
        <v>657</v>
      </c>
      <c r="W37" s="298" t="s">
        <v>317</v>
      </c>
      <c r="X37" s="298" t="s">
        <v>306</v>
      </c>
    </row>
    <row r="38">
      <c r="A38" s="295" t="s">
        <v>658</v>
      </c>
      <c r="B38" s="297">
        <f>Spells!$S$4</f>
        <v>1</v>
      </c>
      <c r="C38" s="298" t="s">
        <v>288</v>
      </c>
      <c r="D38" s="298" t="s">
        <v>289</v>
      </c>
      <c r="E38" s="298" t="s">
        <v>290</v>
      </c>
      <c r="F38" s="298" t="str">
        <f>'Character Sheet'!$C$9</f>
        <v/>
      </c>
      <c r="G38" s="298" t="s">
        <v>294</v>
      </c>
      <c r="H38" s="298" t="s">
        <v>295</v>
      </c>
      <c r="I38" s="298" t="s">
        <v>659</v>
      </c>
      <c r="J38" s="298" t="s">
        <v>407</v>
      </c>
      <c r="K38" s="298" t="s">
        <v>298</v>
      </c>
      <c r="L38" s="298" t="s">
        <v>288</v>
      </c>
      <c r="M38" s="301" t="s">
        <v>660</v>
      </c>
      <c r="N38" s="301" t="s">
        <v>661</v>
      </c>
      <c r="O38" s="301" t="s">
        <v>662</v>
      </c>
      <c r="P38" s="301" t="s">
        <v>663</v>
      </c>
      <c r="Q38" s="301" t="s">
        <v>664</v>
      </c>
      <c r="R38" s="301" t="s">
        <v>665</v>
      </c>
      <c r="S38" s="301" t="s">
        <v>666</v>
      </c>
      <c r="T38" s="301" t="s">
        <v>667</v>
      </c>
      <c r="U38" s="301" t="s">
        <v>668</v>
      </c>
      <c r="V38" s="301" t="s">
        <v>669</v>
      </c>
      <c r="W38" s="298" t="s">
        <v>305</v>
      </c>
      <c r="X38" s="298" t="s">
        <v>318</v>
      </c>
    </row>
    <row r="39">
      <c r="A39" s="295" t="s">
        <v>670</v>
      </c>
      <c r="B39" s="297">
        <f>Spells!$S$4</f>
        <v>1</v>
      </c>
      <c r="C39" s="298" t="s">
        <v>288</v>
      </c>
      <c r="D39" s="298" t="s">
        <v>334</v>
      </c>
      <c r="E39" s="298" t="s">
        <v>311</v>
      </c>
      <c r="F39" s="298" t="str">
        <f>'Character Sheet'!$C$9</f>
        <v/>
      </c>
      <c r="G39" s="298" t="s">
        <v>294</v>
      </c>
      <c r="H39" s="298" t="s">
        <v>295</v>
      </c>
      <c r="I39" s="298" t="s">
        <v>671</v>
      </c>
      <c r="J39" s="298" t="s">
        <v>315</v>
      </c>
      <c r="K39" s="298" t="s">
        <v>298</v>
      </c>
      <c r="L39" s="298" t="s">
        <v>288</v>
      </c>
      <c r="M39" s="301" t="s">
        <v>672</v>
      </c>
      <c r="N39" s="301" t="s">
        <v>672</v>
      </c>
      <c r="O39" s="301" t="s">
        <v>672</v>
      </c>
      <c r="P39" s="301" t="s">
        <v>672</v>
      </c>
      <c r="Q39" s="301" t="s">
        <v>672</v>
      </c>
      <c r="R39" s="301" t="s">
        <v>672</v>
      </c>
      <c r="S39" s="301" t="s">
        <v>672</v>
      </c>
      <c r="T39" s="301" t="s">
        <v>672</v>
      </c>
      <c r="U39" s="301" t="s">
        <v>672</v>
      </c>
      <c r="V39" s="301" t="s">
        <v>672</v>
      </c>
      <c r="W39" s="298" t="s">
        <v>389</v>
      </c>
      <c r="X39" s="298" t="s">
        <v>306</v>
      </c>
    </row>
    <row r="40">
      <c r="A40" s="295" t="s">
        <v>673</v>
      </c>
      <c r="B40" s="297">
        <f>Spells!$S$4</f>
        <v>1</v>
      </c>
      <c r="C40" s="298" t="s">
        <v>288</v>
      </c>
      <c r="D40" s="298" t="s">
        <v>151</v>
      </c>
      <c r="E40" s="298" t="s">
        <v>290</v>
      </c>
      <c r="F40" s="298" t="str">
        <f>'Character Sheet'!$E$9</f>
        <v/>
      </c>
      <c r="G40" s="298" t="s">
        <v>674</v>
      </c>
      <c r="H40" s="298" t="s">
        <v>324</v>
      </c>
      <c r="I40" s="298" t="s">
        <v>315</v>
      </c>
      <c r="J40" s="298" t="s">
        <v>315</v>
      </c>
      <c r="K40" s="298" t="s">
        <v>675</v>
      </c>
      <c r="L40" s="298" t="s">
        <v>288</v>
      </c>
      <c r="M40" s="301" t="s">
        <v>676</v>
      </c>
      <c r="N40" s="301" t="s">
        <v>676</v>
      </c>
      <c r="O40" s="301" t="s">
        <v>676</v>
      </c>
      <c r="P40" s="301" t="s">
        <v>676</v>
      </c>
      <c r="Q40" s="301" t="s">
        <v>677</v>
      </c>
      <c r="R40" s="301" t="s">
        <v>677</v>
      </c>
      <c r="S40" s="301" t="s">
        <v>677</v>
      </c>
      <c r="T40" s="301" t="s">
        <v>677</v>
      </c>
      <c r="U40" s="301" t="s">
        <v>677</v>
      </c>
      <c r="V40" s="301" t="s">
        <v>677</v>
      </c>
      <c r="W40" s="298" t="s">
        <v>429</v>
      </c>
      <c r="X40" s="298" t="s">
        <v>678</v>
      </c>
    </row>
    <row r="41">
      <c r="A41" s="295" t="s">
        <v>679</v>
      </c>
      <c r="B41" s="297">
        <f>Spells!$S$4</f>
        <v>1</v>
      </c>
      <c r="C41" s="298" t="s">
        <v>288</v>
      </c>
      <c r="D41" s="298" t="s">
        <v>359</v>
      </c>
      <c r="E41" s="298" t="s">
        <v>290</v>
      </c>
      <c r="F41" s="298" t="str">
        <f>'Character Sheet'!$C$9</f>
        <v/>
      </c>
      <c r="G41" s="298" t="s">
        <v>294</v>
      </c>
      <c r="H41" s="298" t="s">
        <v>313</v>
      </c>
      <c r="I41" s="298" t="s">
        <v>680</v>
      </c>
      <c r="J41" s="298" t="s">
        <v>192</v>
      </c>
      <c r="K41" s="298" t="s">
        <v>632</v>
      </c>
      <c r="L41" s="298" t="s">
        <v>288</v>
      </c>
      <c r="M41" s="301" t="s">
        <v>681</v>
      </c>
      <c r="N41" s="301" t="s">
        <v>681</v>
      </c>
      <c r="O41" s="301" t="s">
        <v>682</v>
      </c>
      <c r="P41" s="301" t="s">
        <v>682</v>
      </c>
      <c r="Q41" s="301" t="s">
        <v>682</v>
      </c>
      <c r="R41" s="301" t="s">
        <v>683</v>
      </c>
      <c r="S41" s="301" t="s">
        <v>683</v>
      </c>
      <c r="T41" s="301" t="s">
        <v>683</v>
      </c>
      <c r="U41" s="301" t="s">
        <v>683</v>
      </c>
      <c r="V41" s="301" t="s">
        <v>683</v>
      </c>
      <c r="W41" s="298" t="s">
        <v>684</v>
      </c>
      <c r="X41" s="298" t="s">
        <v>318</v>
      </c>
    </row>
    <row r="42">
      <c r="A42" s="295" t="s">
        <v>685</v>
      </c>
      <c r="B42" s="297">
        <f>Spells!$S$4</f>
        <v>1</v>
      </c>
      <c r="C42" s="298" t="s">
        <v>288</v>
      </c>
      <c r="D42" s="298" t="s">
        <v>151</v>
      </c>
      <c r="E42" s="298" t="s">
        <v>290</v>
      </c>
      <c r="F42" s="298" t="str">
        <f>'Character Sheet'!$C$9</f>
        <v/>
      </c>
      <c r="G42" s="298" t="s">
        <v>294</v>
      </c>
      <c r="H42" s="298" t="s">
        <v>295</v>
      </c>
      <c r="I42" s="298" t="s">
        <v>296</v>
      </c>
      <c r="J42" s="298" t="s">
        <v>203</v>
      </c>
      <c r="K42" s="298" t="s">
        <v>478</v>
      </c>
      <c r="L42" s="298" t="s">
        <v>288</v>
      </c>
      <c r="M42" s="301" t="s">
        <v>686</v>
      </c>
      <c r="N42" s="301" t="s">
        <v>687</v>
      </c>
      <c r="O42" s="301" t="s">
        <v>687</v>
      </c>
      <c r="P42" s="301" t="s">
        <v>688</v>
      </c>
      <c r="Q42" s="301" t="s">
        <v>688</v>
      </c>
      <c r="R42" s="301" t="s">
        <v>688</v>
      </c>
      <c r="S42" s="301" t="s">
        <v>688</v>
      </c>
      <c r="T42" s="301" t="s">
        <v>688</v>
      </c>
      <c r="U42" s="301" t="s">
        <v>688</v>
      </c>
      <c r="V42" s="301" t="s">
        <v>688</v>
      </c>
      <c r="W42" s="298" t="s">
        <v>305</v>
      </c>
      <c r="X42" s="298" t="s">
        <v>306</v>
      </c>
    </row>
    <row r="43">
      <c r="A43" s="295" t="s">
        <v>689</v>
      </c>
      <c r="B43" s="297">
        <f>Spells!$S$4</f>
        <v>1</v>
      </c>
      <c r="C43" s="298" t="s">
        <v>288</v>
      </c>
      <c r="D43" s="298" t="s">
        <v>289</v>
      </c>
      <c r="E43" s="298" t="s">
        <v>290</v>
      </c>
      <c r="F43" s="298" t="str">
        <f>'Character Sheet'!$C$9</f>
        <v/>
      </c>
      <c r="G43" s="298" t="s">
        <v>294</v>
      </c>
      <c r="H43" s="298" t="s">
        <v>295</v>
      </c>
      <c r="I43" s="298" t="s">
        <v>296</v>
      </c>
      <c r="J43" s="298" t="s">
        <v>203</v>
      </c>
      <c r="K43" s="298" t="s">
        <v>298</v>
      </c>
      <c r="L43" s="298" t="s">
        <v>288</v>
      </c>
      <c r="M43" s="301" t="s">
        <v>690</v>
      </c>
      <c r="N43" s="301" t="s">
        <v>691</v>
      </c>
      <c r="O43" s="301" t="s">
        <v>692</v>
      </c>
      <c r="P43" s="301" t="s">
        <v>693</v>
      </c>
      <c r="Q43" s="301" t="s">
        <v>694</v>
      </c>
      <c r="R43" s="301" t="s">
        <v>695</v>
      </c>
      <c r="S43" s="301" t="s">
        <v>696</v>
      </c>
      <c r="T43" s="301" t="s">
        <v>697</v>
      </c>
      <c r="U43" s="301" t="s">
        <v>698</v>
      </c>
      <c r="V43" s="301" t="s">
        <v>699</v>
      </c>
      <c r="W43" s="298" t="s">
        <v>460</v>
      </c>
      <c r="X43" s="298" t="s">
        <v>306</v>
      </c>
    </row>
    <row r="44">
      <c r="A44" s="295" t="s">
        <v>700</v>
      </c>
      <c r="B44" s="297">
        <f>Spells!$S$4</f>
        <v>1</v>
      </c>
      <c r="C44" s="298" t="s">
        <v>288</v>
      </c>
      <c r="D44" s="298" t="s">
        <v>310</v>
      </c>
      <c r="E44" s="298" t="s">
        <v>311</v>
      </c>
      <c r="F44" s="298" t="str">
        <f>'Character Sheet'!$B$9</f>
        <v/>
      </c>
      <c r="G44" s="298" t="s">
        <v>477</v>
      </c>
      <c r="H44" s="298" t="s">
        <v>324</v>
      </c>
      <c r="I44" s="298" t="s">
        <v>324</v>
      </c>
      <c r="J44" s="298" t="s">
        <v>315</v>
      </c>
      <c r="K44" s="298" t="s">
        <v>478</v>
      </c>
      <c r="L44" s="298" t="s">
        <v>288</v>
      </c>
      <c r="M44" s="301" t="s">
        <v>702</v>
      </c>
      <c r="N44" s="301" t="s">
        <v>702</v>
      </c>
      <c r="O44" s="301" t="s">
        <v>702</v>
      </c>
      <c r="P44" s="301" t="s">
        <v>702</v>
      </c>
      <c r="Q44" s="301" t="s">
        <v>702</v>
      </c>
      <c r="R44" s="301" t="s">
        <v>702</v>
      </c>
      <c r="S44" s="301" t="s">
        <v>702</v>
      </c>
      <c r="T44" s="301" t="s">
        <v>702</v>
      </c>
      <c r="U44" s="301" t="s">
        <v>702</v>
      </c>
      <c r="V44" s="301" t="s">
        <v>702</v>
      </c>
      <c r="W44" s="298" t="s">
        <v>460</v>
      </c>
      <c r="X44" s="298" t="s">
        <v>569</v>
      </c>
    </row>
    <row r="45">
      <c r="A45" s="295" t="s">
        <v>703</v>
      </c>
      <c r="B45" s="297">
        <f>Spells!$S$4</f>
        <v>1</v>
      </c>
      <c r="C45" s="298" t="s">
        <v>288</v>
      </c>
      <c r="D45" s="298" t="s">
        <v>151</v>
      </c>
      <c r="E45" s="298" t="s">
        <v>311</v>
      </c>
      <c r="F45" s="298" t="str">
        <f>'Character Sheet'!$C$9</f>
        <v/>
      </c>
      <c r="G45" s="298" t="s">
        <v>294</v>
      </c>
      <c r="H45" s="298" t="s">
        <v>324</v>
      </c>
      <c r="I45" s="298" t="s">
        <v>324</v>
      </c>
      <c r="J45" s="298" t="s">
        <v>315</v>
      </c>
      <c r="K45" s="298" t="s">
        <v>298</v>
      </c>
      <c r="L45" s="298" t="s">
        <v>288</v>
      </c>
      <c r="M45" s="301" t="s">
        <v>704</v>
      </c>
      <c r="N45" s="301" t="s">
        <v>704</v>
      </c>
      <c r="O45" s="301" t="s">
        <v>704</v>
      </c>
      <c r="P45" s="301" t="s">
        <v>704</v>
      </c>
      <c r="Q45" s="301" t="s">
        <v>704</v>
      </c>
      <c r="R45" s="301" t="s">
        <v>704</v>
      </c>
      <c r="S45" s="301" t="s">
        <v>704</v>
      </c>
      <c r="T45" s="301" t="s">
        <v>704</v>
      </c>
      <c r="U45" s="301" t="s">
        <v>704</v>
      </c>
      <c r="V45" s="301" t="s">
        <v>704</v>
      </c>
      <c r="W45" s="298" t="s">
        <v>460</v>
      </c>
      <c r="X45" s="298" t="s">
        <v>569</v>
      </c>
    </row>
    <row r="46">
      <c r="A46" s="341" t="s">
        <v>705</v>
      </c>
      <c r="B46" s="342">
        <f>Spells!$S$4</f>
        <v>1</v>
      </c>
      <c r="C46" s="343" t="s">
        <v>288</v>
      </c>
      <c r="D46" s="343" t="s">
        <v>421</v>
      </c>
      <c r="E46" s="343" t="s">
        <v>311</v>
      </c>
      <c r="F46" s="343" t="str">
        <f>'Character Sheet'!$C$9</f>
        <v/>
      </c>
      <c r="G46" s="343" t="s">
        <v>294</v>
      </c>
      <c r="H46" s="343" t="s">
        <v>324</v>
      </c>
      <c r="I46" s="343" t="s">
        <v>315</v>
      </c>
      <c r="J46" s="343" t="s">
        <v>315</v>
      </c>
      <c r="K46" s="343" t="s">
        <v>632</v>
      </c>
      <c r="L46" s="343" t="s">
        <v>288</v>
      </c>
      <c r="M46" s="344" t="s">
        <v>706</v>
      </c>
      <c r="N46" s="344" t="s">
        <v>706</v>
      </c>
      <c r="O46" s="344" t="s">
        <v>706</v>
      </c>
      <c r="P46" s="344" t="s">
        <v>706</v>
      </c>
      <c r="Q46" s="344" t="s">
        <v>706</v>
      </c>
      <c r="R46" s="344" t="s">
        <v>706</v>
      </c>
      <c r="S46" s="344" t="s">
        <v>706</v>
      </c>
      <c r="T46" s="344" t="s">
        <v>706</v>
      </c>
      <c r="U46" s="344" t="s">
        <v>706</v>
      </c>
      <c r="V46" s="344" t="s">
        <v>706</v>
      </c>
      <c r="W46" s="343" t="s">
        <v>429</v>
      </c>
      <c r="X46" s="343" t="s">
        <v>318</v>
      </c>
    </row>
    <row r="47">
      <c r="A47" s="295" t="s">
        <v>707</v>
      </c>
      <c r="B47" s="297">
        <v>1.0</v>
      </c>
      <c r="C47" s="298" t="s">
        <v>522</v>
      </c>
      <c r="D47" s="298" t="s">
        <v>289</v>
      </c>
      <c r="E47" s="298" t="s">
        <v>311</v>
      </c>
      <c r="F47" s="298" t="str">
        <f>'Character Sheet'!$B$9</f>
        <v/>
      </c>
      <c r="G47" s="298" t="s">
        <v>477</v>
      </c>
      <c r="H47" s="298" t="s">
        <v>708</v>
      </c>
      <c r="I47" s="298" t="s">
        <v>709</v>
      </c>
      <c r="J47" s="298" t="s">
        <v>315</v>
      </c>
      <c r="K47" s="298" t="s">
        <v>478</v>
      </c>
      <c r="L47" s="298" t="s">
        <v>288</v>
      </c>
      <c r="M47" s="301" t="s">
        <v>710</v>
      </c>
      <c r="N47" s="301" t="s">
        <v>710</v>
      </c>
      <c r="O47" s="301" t="s">
        <v>710</v>
      </c>
      <c r="P47" s="301" t="s">
        <v>710</v>
      </c>
      <c r="Q47" s="301" t="s">
        <v>710</v>
      </c>
      <c r="R47" s="301" t="s">
        <v>710</v>
      </c>
      <c r="S47" s="301" t="s">
        <v>710</v>
      </c>
      <c r="T47" s="301" t="s">
        <v>710</v>
      </c>
      <c r="U47" s="301" t="s">
        <v>710</v>
      </c>
      <c r="V47" s="301" t="s">
        <v>710</v>
      </c>
      <c r="W47" s="298" t="s">
        <v>315</v>
      </c>
      <c r="X47" s="298" t="s">
        <v>318</v>
      </c>
    </row>
    <row r="48">
      <c r="A48" s="295" t="s">
        <v>711</v>
      </c>
      <c r="B48" s="297">
        <v>1.0</v>
      </c>
      <c r="C48" s="298" t="s">
        <v>432</v>
      </c>
      <c r="D48" s="298" t="s">
        <v>289</v>
      </c>
      <c r="E48" s="298" t="s">
        <v>290</v>
      </c>
      <c r="F48" s="298" t="str">
        <f>'Character Sheet'!$B$9</f>
        <v/>
      </c>
      <c r="G48" s="298" t="s">
        <v>493</v>
      </c>
      <c r="H48" s="298" t="s">
        <v>295</v>
      </c>
      <c r="I48" s="298" t="s">
        <v>296</v>
      </c>
      <c r="J48" s="298" t="s">
        <v>173</v>
      </c>
      <c r="K48" s="298" t="s">
        <v>424</v>
      </c>
      <c r="L48" s="298" t="s">
        <v>288</v>
      </c>
      <c r="M48" s="301" t="s">
        <v>712</v>
      </c>
      <c r="N48" s="301" t="s">
        <v>713</v>
      </c>
      <c r="O48" s="301" t="s">
        <v>714</v>
      </c>
      <c r="P48" s="301" t="s">
        <v>715</v>
      </c>
      <c r="Q48" s="301" t="s">
        <v>716</v>
      </c>
      <c r="R48" s="301" t="s">
        <v>717</v>
      </c>
      <c r="S48" s="301" t="s">
        <v>718</v>
      </c>
      <c r="T48" s="301" t="s">
        <v>719</v>
      </c>
      <c r="U48" s="301" t="s">
        <v>720</v>
      </c>
      <c r="V48" s="301" t="s">
        <v>721</v>
      </c>
      <c r="W48" s="298" t="s">
        <v>315</v>
      </c>
      <c r="X48" s="298" t="s">
        <v>722</v>
      </c>
    </row>
    <row r="49">
      <c r="A49" s="295" t="s">
        <v>723</v>
      </c>
      <c r="B49" s="297">
        <v>1.0</v>
      </c>
      <c r="C49" s="298" t="s">
        <v>522</v>
      </c>
      <c r="D49" s="298" t="s">
        <v>151</v>
      </c>
      <c r="E49" s="298" t="s">
        <v>290</v>
      </c>
      <c r="F49" s="298" t="str">
        <f>'Character Sheet'!$B$9</f>
        <v/>
      </c>
      <c r="G49" s="298" t="s">
        <v>493</v>
      </c>
      <c r="H49" s="298" t="s">
        <v>295</v>
      </c>
      <c r="I49" s="298" t="s">
        <v>296</v>
      </c>
      <c r="J49" s="298" t="s">
        <v>180</v>
      </c>
      <c r="K49" s="298" t="s">
        <v>424</v>
      </c>
      <c r="L49" s="298" t="s">
        <v>288</v>
      </c>
      <c r="M49" s="301" t="s">
        <v>724</v>
      </c>
      <c r="N49" s="301" t="s">
        <v>725</v>
      </c>
      <c r="O49" s="301" t="s">
        <v>726</v>
      </c>
      <c r="P49" s="301" t="s">
        <v>727</v>
      </c>
      <c r="Q49" s="301" t="s">
        <v>728</v>
      </c>
      <c r="R49" s="301" t="s">
        <v>729</v>
      </c>
      <c r="S49" s="301" t="s">
        <v>730</v>
      </c>
      <c r="T49" s="301" t="s">
        <v>731</v>
      </c>
      <c r="U49" s="301" t="s">
        <v>732</v>
      </c>
      <c r="V49" s="301" t="s">
        <v>733</v>
      </c>
      <c r="W49" s="298" t="s">
        <v>315</v>
      </c>
      <c r="X49" s="298" t="s">
        <v>678</v>
      </c>
    </row>
    <row r="50">
      <c r="A50" s="295" t="s">
        <v>734</v>
      </c>
      <c r="B50" s="297">
        <v>1.0</v>
      </c>
      <c r="C50" s="298" t="s">
        <v>522</v>
      </c>
      <c r="D50" s="298" t="s">
        <v>310</v>
      </c>
      <c r="E50" s="298" t="s">
        <v>290</v>
      </c>
      <c r="F50" s="298" t="str">
        <f>'Character Sheet'!$B$9</f>
        <v/>
      </c>
      <c r="G50" s="298" t="s">
        <v>493</v>
      </c>
      <c r="H50" s="298" t="s">
        <v>295</v>
      </c>
      <c r="I50" s="298" t="s">
        <v>296</v>
      </c>
      <c r="J50" s="298" t="s">
        <v>315</v>
      </c>
      <c r="K50" s="298" t="s">
        <v>424</v>
      </c>
      <c r="L50" s="298" t="s">
        <v>288</v>
      </c>
      <c r="M50" s="301" t="s">
        <v>735</v>
      </c>
      <c r="N50" s="301" t="s">
        <v>735</v>
      </c>
      <c r="O50" s="301" t="s">
        <v>735</v>
      </c>
      <c r="P50" s="301" t="s">
        <v>735</v>
      </c>
      <c r="Q50" s="301" t="s">
        <v>736</v>
      </c>
      <c r="R50" s="301" t="s">
        <v>736</v>
      </c>
      <c r="S50" s="301" t="s">
        <v>736</v>
      </c>
      <c r="T50" s="301" t="s">
        <v>736</v>
      </c>
      <c r="U50" s="301" t="s">
        <v>736</v>
      </c>
      <c r="V50" s="301" t="s">
        <v>736</v>
      </c>
      <c r="W50" s="298" t="s">
        <v>315</v>
      </c>
      <c r="X50" s="298" t="s">
        <v>678</v>
      </c>
    </row>
    <row r="51">
      <c r="A51" s="295" t="s">
        <v>737</v>
      </c>
      <c r="B51" s="297">
        <v>1.0</v>
      </c>
      <c r="C51" s="298" t="s">
        <v>522</v>
      </c>
      <c r="D51" s="298" t="s">
        <v>151</v>
      </c>
      <c r="E51" s="298" t="s">
        <v>290</v>
      </c>
      <c r="F51" s="298" t="str">
        <f>'Character Sheet'!$B$9</f>
        <v/>
      </c>
      <c r="G51" s="298" t="s">
        <v>477</v>
      </c>
      <c r="H51" s="298" t="s">
        <v>295</v>
      </c>
      <c r="I51" s="298" t="s">
        <v>738</v>
      </c>
      <c r="J51" s="298" t="s">
        <v>315</v>
      </c>
      <c r="K51" s="298" t="s">
        <v>424</v>
      </c>
      <c r="L51" s="298" t="s">
        <v>288</v>
      </c>
      <c r="M51" s="301" t="s">
        <v>739</v>
      </c>
      <c r="N51" s="301" t="s">
        <v>739</v>
      </c>
      <c r="O51" s="301" t="s">
        <v>739</v>
      </c>
      <c r="P51" s="301" t="s">
        <v>740</v>
      </c>
      <c r="Q51" s="301" t="s">
        <v>740</v>
      </c>
      <c r="R51" s="301" t="s">
        <v>740</v>
      </c>
      <c r="S51" s="301" t="s">
        <v>741</v>
      </c>
      <c r="T51" s="301" t="s">
        <v>741</v>
      </c>
      <c r="U51" s="301" t="s">
        <v>741</v>
      </c>
      <c r="V51" s="301" t="s">
        <v>742</v>
      </c>
      <c r="W51" s="298" t="s">
        <v>315</v>
      </c>
      <c r="X51" s="298" t="s">
        <v>569</v>
      </c>
    </row>
    <row r="52">
      <c r="A52" s="295" t="s">
        <v>743</v>
      </c>
      <c r="B52" s="297">
        <v>1.0</v>
      </c>
      <c r="C52" s="298" t="s">
        <v>522</v>
      </c>
      <c r="D52" s="298" t="s">
        <v>359</v>
      </c>
      <c r="E52" s="298" t="s">
        <v>311</v>
      </c>
      <c r="F52" s="298" t="str">
        <f>'Character Sheet'!$B$9</f>
        <v/>
      </c>
      <c r="G52" s="298" t="s">
        <v>493</v>
      </c>
      <c r="H52" s="298" t="s">
        <v>295</v>
      </c>
      <c r="I52" s="298" t="s">
        <v>296</v>
      </c>
      <c r="J52" s="298" t="s">
        <v>192</v>
      </c>
      <c r="K52" s="298" t="s">
        <v>424</v>
      </c>
      <c r="L52" s="298" t="s">
        <v>288</v>
      </c>
      <c r="M52" s="301" t="s">
        <v>744</v>
      </c>
      <c r="N52" s="301" t="s">
        <v>744</v>
      </c>
      <c r="O52" s="301" t="s">
        <v>744</v>
      </c>
      <c r="P52" s="301" t="s">
        <v>744</v>
      </c>
      <c r="Q52" s="301" t="s">
        <v>744</v>
      </c>
      <c r="R52" s="301" t="s">
        <v>744</v>
      </c>
      <c r="S52" s="301" t="s">
        <v>744</v>
      </c>
      <c r="T52" s="301" t="s">
        <v>744</v>
      </c>
      <c r="U52" s="301" t="s">
        <v>744</v>
      </c>
      <c r="V52" s="301" t="s">
        <v>744</v>
      </c>
      <c r="W52" s="298" t="s">
        <v>315</v>
      </c>
      <c r="X52" s="298" t="s">
        <v>678</v>
      </c>
    </row>
    <row r="53">
      <c r="A53" s="295" t="s">
        <v>745</v>
      </c>
      <c r="B53" s="297">
        <v>1.0</v>
      </c>
      <c r="C53" s="298" t="s">
        <v>522</v>
      </c>
      <c r="D53" s="298" t="s">
        <v>359</v>
      </c>
      <c r="E53" s="298" t="s">
        <v>290</v>
      </c>
      <c r="F53" s="298" t="str">
        <f>'Character Sheet'!$C$9</f>
        <v/>
      </c>
      <c r="G53" s="298" t="s">
        <v>294</v>
      </c>
      <c r="H53" s="298" t="s">
        <v>295</v>
      </c>
      <c r="I53" s="298" t="s">
        <v>296</v>
      </c>
      <c r="J53" s="298" t="s">
        <v>746</v>
      </c>
      <c r="K53" s="298" t="s">
        <v>298</v>
      </c>
      <c r="L53" s="298" t="s">
        <v>288</v>
      </c>
      <c r="M53" s="301" t="s">
        <v>747</v>
      </c>
      <c r="N53" s="301" t="s">
        <v>748</v>
      </c>
      <c r="O53" s="301" t="s">
        <v>749</v>
      </c>
      <c r="P53" s="301" t="s">
        <v>750</v>
      </c>
      <c r="Q53" s="301" t="s">
        <v>751</v>
      </c>
      <c r="R53" s="301" t="s">
        <v>752</v>
      </c>
      <c r="S53" s="301" t="s">
        <v>753</v>
      </c>
      <c r="T53" s="301" t="s">
        <v>754</v>
      </c>
      <c r="U53" s="301" t="s">
        <v>755</v>
      </c>
      <c r="V53" s="301" t="s">
        <v>756</v>
      </c>
      <c r="W53" s="298" t="s">
        <v>315</v>
      </c>
      <c r="X53" s="298" t="s">
        <v>569</v>
      </c>
    </row>
    <row r="54">
      <c r="A54" s="295" t="s">
        <v>757</v>
      </c>
      <c r="B54" s="297">
        <v>1.0</v>
      </c>
      <c r="C54" s="298" t="s">
        <v>522</v>
      </c>
      <c r="D54" s="298" t="s">
        <v>310</v>
      </c>
      <c r="E54" s="298" t="s">
        <v>290</v>
      </c>
      <c r="F54" s="298" t="str">
        <f>'Character Sheet'!$B$9</f>
        <v/>
      </c>
      <c r="G54" s="298" t="s">
        <v>477</v>
      </c>
      <c r="H54" s="298" t="s">
        <v>360</v>
      </c>
      <c r="I54" s="298" t="s">
        <v>296</v>
      </c>
      <c r="J54" s="298" t="s">
        <v>315</v>
      </c>
      <c r="K54" s="298" t="s">
        <v>632</v>
      </c>
      <c r="L54" s="298" t="s">
        <v>288</v>
      </c>
      <c r="M54" s="301" t="s">
        <v>758</v>
      </c>
      <c r="N54" s="301" t="s">
        <v>759</v>
      </c>
      <c r="O54" s="301" t="s">
        <v>760</v>
      </c>
      <c r="P54" s="301" t="s">
        <v>761</v>
      </c>
      <c r="Q54" s="301" t="s">
        <v>762</v>
      </c>
      <c r="R54" s="301" t="s">
        <v>763</v>
      </c>
      <c r="S54" s="301" t="s">
        <v>764</v>
      </c>
      <c r="T54" s="301" t="s">
        <v>765</v>
      </c>
      <c r="U54" s="301" t="s">
        <v>766</v>
      </c>
      <c r="V54" s="301" t="s">
        <v>767</v>
      </c>
      <c r="W54" s="298" t="s">
        <v>315</v>
      </c>
      <c r="X54" s="298" t="s">
        <v>569</v>
      </c>
    </row>
    <row r="55">
      <c r="A55" s="295" t="s">
        <v>768</v>
      </c>
      <c r="B55" s="297">
        <v>1.0</v>
      </c>
      <c r="C55" s="298" t="s">
        <v>522</v>
      </c>
      <c r="D55" s="298" t="s">
        <v>289</v>
      </c>
      <c r="E55" s="298" t="s">
        <v>290</v>
      </c>
      <c r="F55" s="298" t="str">
        <f>'Character Sheet'!$C$9</f>
        <v/>
      </c>
      <c r="G55" s="298" t="s">
        <v>294</v>
      </c>
      <c r="H55" s="298" t="s">
        <v>335</v>
      </c>
      <c r="I55" s="298" t="s">
        <v>296</v>
      </c>
      <c r="J55" s="298" t="s">
        <v>203</v>
      </c>
      <c r="K55" s="298" t="s">
        <v>298</v>
      </c>
      <c r="L55" s="298" t="s">
        <v>288</v>
      </c>
      <c r="M55" s="301" t="s">
        <v>769</v>
      </c>
      <c r="N55" s="301" t="s">
        <v>770</v>
      </c>
      <c r="O55" s="301" t="s">
        <v>771</v>
      </c>
      <c r="P55" s="301" t="s">
        <v>772</v>
      </c>
      <c r="Q55" s="301" t="s">
        <v>773</v>
      </c>
      <c r="R55" s="301" t="s">
        <v>774</v>
      </c>
      <c r="S55" s="301" t="s">
        <v>775</v>
      </c>
      <c r="T55" s="301" t="s">
        <v>776</v>
      </c>
      <c r="U55" s="301" t="s">
        <v>777</v>
      </c>
      <c r="V55" s="301" t="s">
        <v>778</v>
      </c>
      <c r="W55" s="298" t="s">
        <v>315</v>
      </c>
      <c r="X55" s="298" t="s">
        <v>569</v>
      </c>
    </row>
    <row r="56">
      <c r="A56" s="295" t="s">
        <v>779</v>
      </c>
      <c r="B56" s="297">
        <v>1.0</v>
      </c>
      <c r="C56" s="298" t="s">
        <v>522</v>
      </c>
      <c r="D56" s="298" t="s">
        <v>359</v>
      </c>
      <c r="E56" s="298" t="s">
        <v>311</v>
      </c>
      <c r="F56" s="298" t="str">
        <f>'Character Sheet'!$B$9</f>
        <v/>
      </c>
      <c r="G56" s="298" t="s">
        <v>477</v>
      </c>
      <c r="H56" s="298" t="s">
        <v>360</v>
      </c>
      <c r="I56" s="298" t="s">
        <v>780</v>
      </c>
      <c r="J56" s="298" t="s">
        <v>315</v>
      </c>
      <c r="K56" s="298" t="s">
        <v>478</v>
      </c>
      <c r="L56" s="298" t="s">
        <v>288</v>
      </c>
      <c r="M56" s="301" t="s">
        <v>781</v>
      </c>
      <c r="N56" s="301" t="s">
        <v>781</v>
      </c>
      <c r="O56" s="301" t="s">
        <v>781</v>
      </c>
      <c r="P56" s="301" t="s">
        <v>781</v>
      </c>
      <c r="Q56" s="301" t="s">
        <v>781</v>
      </c>
      <c r="R56" s="301" t="s">
        <v>781</v>
      </c>
      <c r="S56" s="301" t="s">
        <v>781</v>
      </c>
      <c r="T56" s="301" t="s">
        <v>781</v>
      </c>
      <c r="U56" s="301" t="s">
        <v>781</v>
      </c>
      <c r="V56" s="301" t="s">
        <v>781</v>
      </c>
      <c r="W56" s="298" t="s">
        <v>315</v>
      </c>
      <c r="X56" s="298" t="s">
        <v>306</v>
      </c>
    </row>
    <row r="57">
      <c r="A57" s="295" t="s">
        <v>782</v>
      </c>
      <c r="B57" s="297">
        <v>1.0</v>
      </c>
      <c r="C57" s="298" t="s">
        <v>522</v>
      </c>
      <c r="D57" s="298" t="s">
        <v>359</v>
      </c>
      <c r="E57" s="298" t="s">
        <v>311</v>
      </c>
      <c r="F57" s="298" t="str">
        <f>'Character Sheet'!$B$9</f>
        <v/>
      </c>
      <c r="G57" s="298" t="s">
        <v>477</v>
      </c>
      <c r="H57" s="298" t="s">
        <v>324</v>
      </c>
      <c r="I57" s="298" t="s">
        <v>783</v>
      </c>
      <c r="J57" s="298" t="s">
        <v>315</v>
      </c>
      <c r="K57" s="298" t="s">
        <v>478</v>
      </c>
      <c r="L57" s="298" t="s">
        <v>288</v>
      </c>
      <c r="M57" s="301" t="s">
        <v>785</v>
      </c>
      <c r="N57" s="301" t="s">
        <v>785</v>
      </c>
      <c r="O57" s="301" t="s">
        <v>785</v>
      </c>
      <c r="P57" s="301" t="s">
        <v>785</v>
      </c>
      <c r="Q57" s="301" t="s">
        <v>785</v>
      </c>
      <c r="R57" s="301" t="s">
        <v>785</v>
      </c>
      <c r="S57" s="301" t="s">
        <v>785</v>
      </c>
      <c r="T57" s="301" t="s">
        <v>785</v>
      </c>
      <c r="U57" s="301" t="s">
        <v>785</v>
      </c>
      <c r="V57" s="301" t="s">
        <v>785</v>
      </c>
      <c r="W57" s="298" t="s">
        <v>315</v>
      </c>
      <c r="X57" s="298" t="s">
        <v>306</v>
      </c>
    </row>
    <row r="58">
      <c r="A58" s="295" t="s">
        <v>786</v>
      </c>
      <c r="B58" s="297">
        <v>1.0</v>
      </c>
      <c r="C58" s="298" t="s">
        <v>522</v>
      </c>
      <c r="D58" s="298" t="s">
        <v>310</v>
      </c>
      <c r="E58" s="298" t="s">
        <v>311</v>
      </c>
      <c r="F58" s="298" t="str">
        <f>'Character Sheet'!$B$9</f>
        <v/>
      </c>
      <c r="G58" s="298" t="s">
        <v>477</v>
      </c>
      <c r="H58" s="298" t="s">
        <v>295</v>
      </c>
      <c r="I58" s="298" t="s">
        <v>296</v>
      </c>
      <c r="J58" s="298" t="s">
        <v>192</v>
      </c>
      <c r="K58" s="298" t="s">
        <v>424</v>
      </c>
      <c r="L58" s="298" t="s">
        <v>288</v>
      </c>
      <c r="M58" s="301" t="s">
        <v>787</v>
      </c>
      <c r="N58" s="301" t="s">
        <v>787</v>
      </c>
      <c r="O58" s="301" t="s">
        <v>787</v>
      </c>
      <c r="P58" s="301" t="s">
        <v>787</v>
      </c>
      <c r="Q58" s="301" t="s">
        <v>787</v>
      </c>
      <c r="R58" s="301" t="s">
        <v>787</v>
      </c>
      <c r="S58" s="301" t="s">
        <v>787</v>
      </c>
      <c r="T58" s="301" t="s">
        <v>787</v>
      </c>
      <c r="U58" s="301" t="s">
        <v>787</v>
      </c>
      <c r="V58" s="301" t="s">
        <v>787</v>
      </c>
      <c r="W58" s="298" t="s">
        <v>315</v>
      </c>
      <c r="X58" s="298" t="s">
        <v>678</v>
      </c>
    </row>
    <row r="59">
      <c r="A59" s="295" t="s">
        <v>790</v>
      </c>
      <c r="B59" s="297">
        <v>1.0</v>
      </c>
      <c r="C59" s="298" t="s">
        <v>432</v>
      </c>
      <c r="D59" s="298" t="s">
        <v>359</v>
      </c>
      <c r="E59" s="298" t="s">
        <v>311</v>
      </c>
      <c r="F59" s="298" t="str">
        <f>'Character Sheet'!$B$9</f>
        <v/>
      </c>
      <c r="G59" s="298" t="s">
        <v>477</v>
      </c>
      <c r="H59" s="298" t="s">
        <v>295</v>
      </c>
      <c r="I59" s="298" t="s">
        <v>296</v>
      </c>
      <c r="J59" s="298" t="s">
        <v>192</v>
      </c>
      <c r="K59" s="298" t="s">
        <v>424</v>
      </c>
      <c r="L59" s="298" t="s">
        <v>288</v>
      </c>
      <c r="M59" s="301" t="s">
        <v>792</v>
      </c>
      <c r="N59" s="301" t="s">
        <v>792</v>
      </c>
      <c r="O59" s="301" t="s">
        <v>792</v>
      </c>
      <c r="P59" s="301" t="s">
        <v>792</v>
      </c>
      <c r="Q59" s="301" t="s">
        <v>792</v>
      </c>
      <c r="R59" s="301" t="s">
        <v>792</v>
      </c>
      <c r="S59" s="301" t="s">
        <v>792</v>
      </c>
      <c r="T59" s="301" t="s">
        <v>792</v>
      </c>
      <c r="U59" s="301" t="s">
        <v>792</v>
      </c>
      <c r="V59" s="301" t="s">
        <v>792</v>
      </c>
      <c r="W59" s="298" t="s">
        <v>315</v>
      </c>
      <c r="X59" s="298" t="s">
        <v>569</v>
      </c>
    </row>
    <row r="60">
      <c r="A60" s="295" t="s">
        <v>793</v>
      </c>
      <c r="B60" s="297">
        <v>1.0</v>
      </c>
      <c r="C60" s="298" t="s">
        <v>522</v>
      </c>
      <c r="D60" s="298" t="s">
        <v>421</v>
      </c>
      <c r="E60" s="298" t="s">
        <v>311</v>
      </c>
      <c r="F60" s="298" t="str">
        <f>'Character Sheet'!$B$9</f>
        <v/>
      </c>
      <c r="G60" s="298" t="s">
        <v>477</v>
      </c>
      <c r="H60" s="298" t="s">
        <v>708</v>
      </c>
      <c r="I60" s="298" t="s">
        <v>709</v>
      </c>
      <c r="J60" s="298" t="s">
        <v>315</v>
      </c>
      <c r="K60" s="298" t="s">
        <v>478</v>
      </c>
      <c r="L60" s="298" t="s">
        <v>288</v>
      </c>
      <c r="M60" s="301" t="s">
        <v>794</v>
      </c>
      <c r="N60" s="301" t="s">
        <v>794</v>
      </c>
      <c r="O60" s="301" t="s">
        <v>794</v>
      </c>
      <c r="P60" s="301" t="s">
        <v>794</v>
      </c>
      <c r="Q60" s="301" t="s">
        <v>794</v>
      </c>
      <c r="R60" s="301" t="s">
        <v>794</v>
      </c>
      <c r="S60" s="301" t="s">
        <v>794</v>
      </c>
      <c r="T60" s="301" t="s">
        <v>794</v>
      </c>
      <c r="U60" s="301" t="s">
        <v>794</v>
      </c>
      <c r="V60" s="301" t="s">
        <v>794</v>
      </c>
      <c r="W60" s="298" t="s">
        <v>315</v>
      </c>
      <c r="X60" s="298" t="s">
        <v>318</v>
      </c>
    </row>
    <row r="61">
      <c r="A61" s="295" t="s">
        <v>795</v>
      </c>
      <c r="B61" s="297">
        <v>1.0</v>
      </c>
      <c r="C61" s="298" t="s">
        <v>522</v>
      </c>
      <c r="D61" s="298" t="s">
        <v>289</v>
      </c>
      <c r="E61" s="298" t="s">
        <v>311</v>
      </c>
      <c r="F61" s="298" t="str">
        <f>'Character Sheet'!$B$9</f>
        <v/>
      </c>
      <c r="G61" s="298" t="s">
        <v>493</v>
      </c>
      <c r="H61" s="298" t="s">
        <v>295</v>
      </c>
      <c r="I61" s="298" t="s">
        <v>296</v>
      </c>
      <c r="J61" s="298" t="s">
        <v>192</v>
      </c>
      <c r="K61" s="298" t="s">
        <v>424</v>
      </c>
      <c r="L61" s="298" t="s">
        <v>288</v>
      </c>
      <c r="M61" s="301" t="s">
        <v>796</v>
      </c>
      <c r="N61" s="301" t="s">
        <v>796</v>
      </c>
      <c r="O61" s="301" t="s">
        <v>796</v>
      </c>
      <c r="P61" s="301" t="s">
        <v>796</v>
      </c>
      <c r="Q61" s="301" t="s">
        <v>796</v>
      </c>
      <c r="R61" s="301" t="s">
        <v>796</v>
      </c>
      <c r="S61" s="301" t="s">
        <v>796</v>
      </c>
      <c r="T61" s="301" t="s">
        <v>796</v>
      </c>
      <c r="U61" s="301" t="s">
        <v>796</v>
      </c>
      <c r="V61" s="301" t="s">
        <v>796</v>
      </c>
      <c r="W61" s="298" t="s">
        <v>315</v>
      </c>
      <c r="X61" s="298" t="s">
        <v>678</v>
      </c>
    </row>
    <row r="62">
      <c r="A62" s="295" t="s">
        <v>797</v>
      </c>
      <c r="B62" s="297">
        <v>1.0</v>
      </c>
      <c r="C62" s="298" t="s">
        <v>432</v>
      </c>
      <c r="D62" s="298" t="s">
        <v>421</v>
      </c>
      <c r="E62" s="298" t="s">
        <v>311</v>
      </c>
      <c r="F62" s="298" t="str">
        <f>'Character Sheet'!$B$9</f>
        <v/>
      </c>
      <c r="G62" s="298" t="s">
        <v>477</v>
      </c>
      <c r="H62" s="298" t="s">
        <v>324</v>
      </c>
      <c r="I62" s="298" t="s">
        <v>783</v>
      </c>
      <c r="J62" s="298" t="s">
        <v>315</v>
      </c>
      <c r="K62" s="298" t="s">
        <v>478</v>
      </c>
      <c r="L62" s="298" t="s">
        <v>288</v>
      </c>
      <c r="M62" s="301" t="s">
        <v>798</v>
      </c>
      <c r="N62" s="301" t="s">
        <v>798</v>
      </c>
      <c r="O62" s="301" t="s">
        <v>798</v>
      </c>
      <c r="P62" s="301" t="s">
        <v>798</v>
      </c>
      <c r="Q62" s="301" t="s">
        <v>798</v>
      </c>
      <c r="R62" s="301" t="s">
        <v>798</v>
      </c>
      <c r="S62" s="301" t="s">
        <v>798</v>
      </c>
      <c r="T62" s="301" t="s">
        <v>798</v>
      </c>
      <c r="U62" s="301" t="s">
        <v>798</v>
      </c>
      <c r="V62" s="301" t="s">
        <v>798</v>
      </c>
      <c r="W62" s="298" t="s">
        <v>315</v>
      </c>
      <c r="X62" s="298" t="s">
        <v>799</v>
      </c>
    </row>
    <row r="63">
      <c r="A63" s="295" t="s">
        <v>800</v>
      </c>
      <c r="B63" s="297">
        <v>1.0</v>
      </c>
      <c r="C63" s="298" t="s">
        <v>522</v>
      </c>
      <c r="D63" s="298" t="s">
        <v>359</v>
      </c>
      <c r="E63" s="298" t="s">
        <v>311</v>
      </c>
      <c r="F63" s="298" t="str">
        <f>'Character Sheet'!$B$9</f>
        <v/>
      </c>
      <c r="G63" s="298" t="s">
        <v>477</v>
      </c>
      <c r="H63" s="298" t="s">
        <v>324</v>
      </c>
      <c r="I63" s="298" t="s">
        <v>783</v>
      </c>
      <c r="J63" s="298" t="s">
        <v>315</v>
      </c>
      <c r="K63" s="298" t="s">
        <v>478</v>
      </c>
      <c r="L63" s="298" t="s">
        <v>288</v>
      </c>
      <c r="M63" s="301" t="s">
        <v>801</v>
      </c>
      <c r="N63" s="301" t="s">
        <v>801</v>
      </c>
      <c r="O63" s="301" t="s">
        <v>801</v>
      </c>
      <c r="P63" s="301" t="s">
        <v>801</v>
      </c>
      <c r="Q63" s="301" t="s">
        <v>801</v>
      </c>
      <c r="R63" s="301" t="s">
        <v>801</v>
      </c>
      <c r="S63" s="301" t="s">
        <v>801</v>
      </c>
      <c r="T63" s="301" t="s">
        <v>801</v>
      </c>
      <c r="U63" s="301" t="s">
        <v>801</v>
      </c>
      <c r="V63" s="301" t="s">
        <v>801</v>
      </c>
      <c r="W63" s="298" t="s">
        <v>315</v>
      </c>
      <c r="X63" s="298" t="s">
        <v>678</v>
      </c>
    </row>
    <row r="64">
      <c r="A64" s="295" t="s">
        <v>802</v>
      </c>
      <c r="B64" s="297">
        <v>1.0</v>
      </c>
      <c r="C64" s="298" t="s">
        <v>432</v>
      </c>
      <c r="D64" s="298" t="s">
        <v>334</v>
      </c>
      <c r="E64" s="298" t="s">
        <v>290</v>
      </c>
      <c r="F64" s="298" t="str">
        <f>'Character Sheet'!$N$9</f>
        <v/>
      </c>
      <c r="G64" s="298" t="s">
        <v>294</v>
      </c>
      <c r="H64" s="298" t="s">
        <v>295</v>
      </c>
      <c r="I64" s="298" t="s">
        <v>435</v>
      </c>
      <c r="J64" s="298" t="s">
        <v>203</v>
      </c>
      <c r="K64" s="298" t="s">
        <v>298</v>
      </c>
      <c r="L64" s="298" t="s">
        <v>288</v>
      </c>
      <c r="M64" s="301" t="s">
        <v>803</v>
      </c>
      <c r="N64" s="301" t="s">
        <v>805</v>
      </c>
      <c r="O64" s="301" t="s">
        <v>806</v>
      </c>
      <c r="P64" s="301" t="s">
        <v>807</v>
      </c>
      <c r="Q64" s="301" t="s">
        <v>808</v>
      </c>
      <c r="R64" s="301" t="s">
        <v>809</v>
      </c>
      <c r="S64" s="301" t="s">
        <v>810</v>
      </c>
      <c r="T64" s="301" t="s">
        <v>811</v>
      </c>
      <c r="U64" s="301" t="s">
        <v>813</v>
      </c>
      <c r="V64" s="301" t="s">
        <v>814</v>
      </c>
      <c r="W64" s="298" t="s">
        <v>315</v>
      </c>
      <c r="X64" s="298" t="s">
        <v>815</v>
      </c>
    </row>
    <row r="65">
      <c r="A65" s="295" t="s">
        <v>816</v>
      </c>
      <c r="B65" s="297">
        <v>1.0</v>
      </c>
      <c r="C65" s="298" t="s">
        <v>522</v>
      </c>
      <c r="D65" s="298" t="s">
        <v>359</v>
      </c>
      <c r="E65" s="298" t="s">
        <v>290</v>
      </c>
      <c r="F65" s="298" t="str">
        <f>'Character Sheet'!$B$9</f>
        <v/>
      </c>
      <c r="G65" s="298" t="s">
        <v>477</v>
      </c>
      <c r="H65" s="298" t="s">
        <v>295</v>
      </c>
      <c r="I65" s="298" t="s">
        <v>296</v>
      </c>
      <c r="J65" s="298" t="s">
        <v>315</v>
      </c>
      <c r="K65" s="298" t="s">
        <v>424</v>
      </c>
      <c r="L65" s="298" t="s">
        <v>288</v>
      </c>
      <c r="M65" s="301" t="s">
        <v>817</v>
      </c>
      <c r="N65" s="301" t="s">
        <v>817</v>
      </c>
      <c r="O65" s="301" t="s">
        <v>818</v>
      </c>
      <c r="P65" s="301" t="s">
        <v>818</v>
      </c>
      <c r="Q65" s="301" t="s">
        <v>819</v>
      </c>
      <c r="R65" s="301" t="s">
        <v>819</v>
      </c>
      <c r="S65" s="301" t="s">
        <v>820</v>
      </c>
      <c r="T65" s="301" t="s">
        <v>820</v>
      </c>
      <c r="U65" s="301" t="s">
        <v>821</v>
      </c>
      <c r="V65" s="301" t="s">
        <v>821</v>
      </c>
      <c r="W65" s="298" t="s">
        <v>315</v>
      </c>
      <c r="X65" s="298" t="s">
        <v>678</v>
      </c>
    </row>
    <row r="66">
      <c r="A66" s="295" t="s">
        <v>822</v>
      </c>
      <c r="B66" s="297">
        <v>1.0</v>
      </c>
      <c r="C66" s="298" t="s">
        <v>522</v>
      </c>
      <c r="D66" s="298" t="s">
        <v>289</v>
      </c>
      <c r="E66" s="298" t="s">
        <v>290</v>
      </c>
      <c r="F66" s="298" t="str">
        <f>'Character Sheet'!$C$9</f>
        <v/>
      </c>
      <c r="G66" s="298" t="s">
        <v>294</v>
      </c>
      <c r="H66" s="298" t="s">
        <v>360</v>
      </c>
      <c r="I66" s="298" t="s">
        <v>823</v>
      </c>
      <c r="J66" s="298" t="s">
        <v>336</v>
      </c>
      <c r="K66" s="298" t="s">
        <v>298</v>
      </c>
      <c r="L66" s="298" t="s">
        <v>288</v>
      </c>
      <c r="M66" s="301" t="s">
        <v>824</v>
      </c>
      <c r="N66" s="301" t="s">
        <v>824</v>
      </c>
      <c r="O66" s="301" t="s">
        <v>825</v>
      </c>
      <c r="P66" s="301" t="s">
        <v>825</v>
      </c>
      <c r="Q66" s="301" t="s">
        <v>826</v>
      </c>
      <c r="R66" s="301" t="s">
        <v>826</v>
      </c>
      <c r="S66" s="301" t="s">
        <v>827</v>
      </c>
      <c r="T66" s="301" t="s">
        <v>827</v>
      </c>
      <c r="U66" s="301" t="s">
        <v>828</v>
      </c>
      <c r="V66" s="301" t="s">
        <v>828</v>
      </c>
      <c r="W66" s="298" t="s">
        <v>315</v>
      </c>
      <c r="X66" s="298" t="s">
        <v>569</v>
      </c>
    </row>
    <row r="67">
      <c r="A67" s="295" t="s">
        <v>829</v>
      </c>
      <c r="B67" s="297">
        <v>1.0</v>
      </c>
      <c r="C67" s="298" t="s">
        <v>522</v>
      </c>
      <c r="D67" s="298" t="s">
        <v>421</v>
      </c>
      <c r="E67" s="298" t="s">
        <v>290</v>
      </c>
      <c r="F67" s="298" t="str">
        <f>'Character Sheet'!$B$9</f>
        <v/>
      </c>
      <c r="G67" s="298" t="s">
        <v>477</v>
      </c>
      <c r="H67" s="298" t="s">
        <v>360</v>
      </c>
      <c r="I67" s="298" t="s">
        <v>296</v>
      </c>
      <c r="J67" s="298" t="s">
        <v>315</v>
      </c>
      <c r="K67" s="298" t="s">
        <v>478</v>
      </c>
      <c r="L67" s="298" t="s">
        <v>288</v>
      </c>
      <c r="M67" s="301" t="s">
        <v>830</v>
      </c>
      <c r="N67" s="301" t="s">
        <v>831</v>
      </c>
      <c r="O67" s="301" t="s">
        <v>832</v>
      </c>
      <c r="P67" s="301" t="s">
        <v>833</v>
      </c>
      <c r="Q67" s="301" t="s">
        <v>834</v>
      </c>
      <c r="R67" s="301" t="s">
        <v>835</v>
      </c>
      <c r="S67" s="301" t="s">
        <v>836</v>
      </c>
      <c r="T67" s="301" t="s">
        <v>837</v>
      </c>
      <c r="U67" s="301" t="s">
        <v>838</v>
      </c>
      <c r="V67" s="301" t="s">
        <v>839</v>
      </c>
      <c r="W67" s="298" t="s">
        <v>315</v>
      </c>
      <c r="X67" s="298" t="s">
        <v>569</v>
      </c>
    </row>
    <row r="68">
      <c r="A68" s="295" t="s">
        <v>840</v>
      </c>
      <c r="B68" s="297">
        <v>1.0</v>
      </c>
      <c r="C68" s="298" t="s">
        <v>522</v>
      </c>
      <c r="D68" s="298" t="s">
        <v>359</v>
      </c>
      <c r="E68" s="298" t="s">
        <v>311</v>
      </c>
      <c r="F68" s="298" t="str">
        <f>'Character Sheet'!$B$9</f>
        <v/>
      </c>
      <c r="G68" s="298" t="s">
        <v>477</v>
      </c>
      <c r="H68" s="298" t="s">
        <v>295</v>
      </c>
      <c r="I68" s="298" t="s">
        <v>296</v>
      </c>
      <c r="J68" s="298" t="s">
        <v>192</v>
      </c>
      <c r="K68" s="298" t="s">
        <v>424</v>
      </c>
      <c r="L68" s="298" t="s">
        <v>288</v>
      </c>
      <c r="M68" s="301" t="s">
        <v>841</v>
      </c>
      <c r="N68" s="301" t="s">
        <v>841</v>
      </c>
      <c r="O68" s="301" t="s">
        <v>841</v>
      </c>
      <c r="P68" s="301" t="s">
        <v>841</v>
      </c>
      <c r="Q68" s="301" t="s">
        <v>841</v>
      </c>
      <c r="R68" s="301" t="s">
        <v>841</v>
      </c>
      <c r="S68" s="301" t="s">
        <v>841</v>
      </c>
      <c r="T68" s="301" t="s">
        <v>841</v>
      </c>
      <c r="U68" s="301" t="s">
        <v>841</v>
      </c>
      <c r="V68" s="301" t="s">
        <v>841</v>
      </c>
      <c r="W68" s="298" t="s">
        <v>315</v>
      </c>
      <c r="X68" s="298" t="s">
        <v>678</v>
      </c>
    </row>
    <row r="69">
      <c r="A69" s="295" t="s">
        <v>842</v>
      </c>
      <c r="B69" s="297">
        <v>2.0</v>
      </c>
      <c r="C69" s="298" t="s">
        <v>522</v>
      </c>
      <c r="D69" s="298" t="s">
        <v>359</v>
      </c>
      <c r="E69" s="298" t="s">
        <v>311</v>
      </c>
      <c r="F69" s="298" t="str">
        <f>'Character Sheet'!$B$9</f>
        <v/>
      </c>
      <c r="G69" s="298" t="s">
        <v>477</v>
      </c>
      <c r="H69" s="298" t="s">
        <v>324</v>
      </c>
      <c r="I69" s="298" t="s">
        <v>783</v>
      </c>
      <c r="J69" s="298" t="s">
        <v>315</v>
      </c>
      <c r="K69" s="298" t="s">
        <v>478</v>
      </c>
      <c r="L69" s="298" t="s">
        <v>288</v>
      </c>
      <c r="M69" s="301" t="s">
        <v>315</v>
      </c>
      <c r="N69" s="301" t="s">
        <v>843</v>
      </c>
      <c r="O69" s="301" t="s">
        <v>843</v>
      </c>
      <c r="P69" s="301" t="s">
        <v>844</v>
      </c>
      <c r="Q69" s="301" t="s">
        <v>844</v>
      </c>
      <c r="R69" s="301" t="s">
        <v>845</v>
      </c>
      <c r="S69" s="301" t="s">
        <v>845</v>
      </c>
      <c r="T69" s="301" t="s">
        <v>846</v>
      </c>
      <c r="U69" s="301" t="s">
        <v>846</v>
      </c>
      <c r="V69" s="301" t="s">
        <v>847</v>
      </c>
      <c r="W69" s="298" t="s">
        <v>315</v>
      </c>
      <c r="X69" s="298" t="s">
        <v>306</v>
      </c>
    </row>
    <row r="70">
      <c r="A70" s="295" t="s">
        <v>848</v>
      </c>
      <c r="B70" s="297">
        <v>2.0</v>
      </c>
      <c r="C70" s="298" t="s">
        <v>522</v>
      </c>
      <c r="D70" s="298" t="s">
        <v>359</v>
      </c>
      <c r="E70" s="298" t="s">
        <v>311</v>
      </c>
      <c r="F70" s="298" t="str">
        <f>'Character Sheet'!$B$9</f>
        <v/>
      </c>
      <c r="G70" s="298" t="s">
        <v>493</v>
      </c>
      <c r="H70" s="298" t="s">
        <v>324</v>
      </c>
      <c r="I70" s="298" t="s">
        <v>783</v>
      </c>
      <c r="J70" s="298" t="s">
        <v>315</v>
      </c>
      <c r="K70" s="298" t="s">
        <v>478</v>
      </c>
      <c r="L70" s="298" t="s">
        <v>288</v>
      </c>
      <c r="M70" s="301" t="s">
        <v>315</v>
      </c>
      <c r="N70" s="301" t="s">
        <v>849</v>
      </c>
      <c r="O70" s="301" t="s">
        <v>849</v>
      </c>
      <c r="P70" s="301" t="s">
        <v>849</v>
      </c>
      <c r="Q70" s="301" t="s">
        <v>849</v>
      </c>
      <c r="R70" s="301" t="s">
        <v>849</v>
      </c>
      <c r="S70" s="301" t="s">
        <v>849</v>
      </c>
      <c r="T70" s="301" t="s">
        <v>849</v>
      </c>
      <c r="U70" s="301" t="s">
        <v>849</v>
      </c>
      <c r="V70" s="301" t="s">
        <v>849</v>
      </c>
      <c r="W70" s="298" t="s">
        <v>315</v>
      </c>
      <c r="X70" s="298" t="s">
        <v>306</v>
      </c>
    </row>
    <row r="71">
      <c r="A71" s="295" t="s">
        <v>850</v>
      </c>
      <c r="B71" s="297">
        <v>3.0</v>
      </c>
      <c r="C71" s="298" t="s">
        <v>522</v>
      </c>
      <c r="D71" s="298" t="s">
        <v>289</v>
      </c>
      <c r="E71" s="298" t="s">
        <v>290</v>
      </c>
      <c r="F71" s="298" t="str">
        <f>'Character Sheet'!$C$9</f>
        <v/>
      </c>
      <c r="G71" s="298" t="s">
        <v>294</v>
      </c>
      <c r="H71" s="298" t="s">
        <v>360</v>
      </c>
      <c r="I71" s="298" t="s">
        <v>851</v>
      </c>
      <c r="J71" s="298" t="s">
        <v>407</v>
      </c>
      <c r="K71" s="298" t="s">
        <v>478</v>
      </c>
      <c r="L71" s="298" t="s">
        <v>288</v>
      </c>
      <c r="M71" s="301" t="s">
        <v>315</v>
      </c>
      <c r="N71" s="301" t="s">
        <v>315</v>
      </c>
      <c r="O71" s="301" t="s">
        <v>852</v>
      </c>
      <c r="P71" s="301" t="s">
        <v>853</v>
      </c>
      <c r="Q71" s="301" t="s">
        <v>854</v>
      </c>
      <c r="R71" s="301" t="s">
        <v>855</v>
      </c>
      <c r="S71" s="301" t="s">
        <v>856</v>
      </c>
      <c r="T71" s="301" t="s">
        <v>857</v>
      </c>
      <c r="U71" s="301" t="s">
        <v>858</v>
      </c>
      <c r="V71" s="301" t="s">
        <v>859</v>
      </c>
      <c r="W71" s="298" t="s">
        <v>315</v>
      </c>
      <c r="X71" s="298" t="s">
        <v>569</v>
      </c>
    </row>
    <row r="72">
      <c r="A72" s="295" t="s">
        <v>860</v>
      </c>
      <c r="B72" s="297">
        <v>3.0</v>
      </c>
      <c r="C72" s="298" t="s">
        <v>522</v>
      </c>
      <c r="D72" s="298" t="s">
        <v>359</v>
      </c>
      <c r="E72" s="298" t="s">
        <v>311</v>
      </c>
      <c r="F72" s="298" t="str">
        <f>'Character Sheet'!$B$9</f>
        <v/>
      </c>
      <c r="G72" s="298" t="s">
        <v>477</v>
      </c>
      <c r="H72" s="298" t="s">
        <v>324</v>
      </c>
      <c r="I72" s="298" t="s">
        <v>861</v>
      </c>
      <c r="J72" s="298" t="s">
        <v>315</v>
      </c>
      <c r="K72" s="298" t="s">
        <v>478</v>
      </c>
      <c r="L72" s="298" t="s">
        <v>288</v>
      </c>
      <c r="M72" s="301" t="s">
        <v>315</v>
      </c>
      <c r="N72" s="301" t="s">
        <v>315</v>
      </c>
      <c r="O72" s="301" t="s">
        <v>862</v>
      </c>
      <c r="P72" s="301" t="s">
        <v>862</v>
      </c>
      <c r="Q72" s="301" t="s">
        <v>862</v>
      </c>
      <c r="R72" s="301" t="s">
        <v>862</v>
      </c>
      <c r="S72" s="301" t="s">
        <v>862</v>
      </c>
      <c r="T72" s="301" t="s">
        <v>862</v>
      </c>
      <c r="U72" s="301" t="s">
        <v>862</v>
      </c>
      <c r="V72" s="301" t="s">
        <v>862</v>
      </c>
      <c r="W72" s="298" t="s">
        <v>315</v>
      </c>
      <c r="X72" s="298" t="s">
        <v>306</v>
      </c>
    </row>
    <row r="73">
      <c r="A73" s="295" t="s">
        <v>863</v>
      </c>
      <c r="B73" s="297">
        <v>3.0</v>
      </c>
      <c r="C73" s="298" t="s">
        <v>522</v>
      </c>
      <c r="D73" s="298" t="s">
        <v>289</v>
      </c>
      <c r="E73" s="298" t="s">
        <v>311</v>
      </c>
      <c r="F73" s="298" t="str">
        <f>'Character Sheet'!$K$9</f>
        <v/>
      </c>
      <c r="G73" s="298" t="s">
        <v>477</v>
      </c>
      <c r="H73" s="298" t="s">
        <v>324</v>
      </c>
      <c r="I73" s="298" t="s">
        <v>324</v>
      </c>
      <c r="J73" s="298" t="s">
        <v>315</v>
      </c>
      <c r="K73" s="298" t="s">
        <v>632</v>
      </c>
      <c r="L73" s="298" t="s">
        <v>288</v>
      </c>
      <c r="M73" s="301" t="s">
        <v>315</v>
      </c>
      <c r="N73" s="301" t="s">
        <v>315</v>
      </c>
      <c r="O73" s="301" t="s">
        <v>864</v>
      </c>
      <c r="P73" s="301" t="s">
        <v>865</v>
      </c>
      <c r="Q73" s="301" t="s">
        <v>866</v>
      </c>
      <c r="R73" s="301" t="s">
        <v>867</v>
      </c>
      <c r="S73" s="301" t="s">
        <v>868</v>
      </c>
      <c r="T73" s="301" t="s">
        <v>869</v>
      </c>
      <c r="U73" s="301" t="s">
        <v>870</v>
      </c>
      <c r="V73" s="301" t="s">
        <v>871</v>
      </c>
      <c r="W73" s="298" t="s">
        <v>315</v>
      </c>
      <c r="X73" s="298" t="s">
        <v>569</v>
      </c>
    </row>
    <row r="74">
      <c r="A74" s="295" t="s">
        <v>872</v>
      </c>
      <c r="B74" s="297">
        <v>3.0</v>
      </c>
      <c r="C74" s="298" t="s">
        <v>522</v>
      </c>
      <c r="D74" s="298" t="s">
        <v>151</v>
      </c>
      <c r="E74" s="298" t="s">
        <v>290</v>
      </c>
      <c r="F74" s="298" t="str">
        <f>'Character Sheet'!$B$9</f>
        <v/>
      </c>
      <c r="G74" s="298" t="s">
        <v>477</v>
      </c>
      <c r="H74" s="298" t="s">
        <v>295</v>
      </c>
      <c r="I74" s="298" t="s">
        <v>296</v>
      </c>
      <c r="J74" s="298" t="s">
        <v>315</v>
      </c>
      <c r="K74" s="298" t="s">
        <v>424</v>
      </c>
      <c r="L74" s="298" t="s">
        <v>288</v>
      </c>
      <c r="M74" s="301" t="s">
        <v>315</v>
      </c>
      <c r="N74" s="301" t="s">
        <v>315</v>
      </c>
      <c r="O74" s="301" t="s">
        <v>873</v>
      </c>
      <c r="P74" s="301" t="s">
        <v>874</v>
      </c>
      <c r="Q74" s="301" t="s">
        <v>875</v>
      </c>
      <c r="R74" s="301" t="s">
        <v>876</v>
      </c>
      <c r="S74" s="301" t="s">
        <v>877</v>
      </c>
      <c r="T74" s="301" t="s">
        <v>878</v>
      </c>
      <c r="U74" s="301" t="s">
        <v>879</v>
      </c>
      <c r="V74" s="301" t="s">
        <v>880</v>
      </c>
      <c r="W74" s="298" t="s">
        <v>315</v>
      </c>
      <c r="X74" s="298" t="s">
        <v>569</v>
      </c>
    </row>
    <row r="75">
      <c r="A75" s="295" t="s">
        <v>881</v>
      </c>
      <c r="B75" s="297">
        <v>3.0</v>
      </c>
      <c r="C75" s="298" t="s">
        <v>522</v>
      </c>
      <c r="D75" s="298" t="s">
        <v>310</v>
      </c>
      <c r="E75" s="298" t="s">
        <v>311</v>
      </c>
      <c r="F75" s="298" t="str">
        <f>'Character Sheet'!$B$9</f>
        <v/>
      </c>
      <c r="G75" s="298" t="s">
        <v>477</v>
      </c>
      <c r="H75" s="298" t="s">
        <v>295</v>
      </c>
      <c r="I75" s="298" t="s">
        <v>422</v>
      </c>
      <c r="J75" s="298" t="s">
        <v>315</v>
      </c>
      <c r="K75" s="298" t="s">
        <v>478</v>
      </c>
      <c r="L75" s="298" t="s">
        <v>288</v>
      </c>
      <c r="M75" s="301" t="s">
        <v>315</v>
      </c>
      <c r="N75" s="301" t="s">
        <v>315</v>
      </c>
      <c r="O75" s="301" t="s">
        <v>882</v>
      </c>
      <c r="P75" s="301" t="s">
        <v>882</v>
      </c>
      <c r="Q75" s="301" t="s">
        <v>882</v>
      </c>
      <c r="R75" s="301" t="s">
        <v>882</v>
      </c>
      <c r="S75" s="301" t="s">
        <v>882</v>
      </c>
      <c r="T75" s="301" t="s">
        <v>882</v>
      </c>
      <c r="U75" s="301" t="s">
        <v>882</v>
      </c>
      <c r="V75" s="301" t="s">
        <v>882</v>
      </c>
      <c r="W75" s="298" t="s">
        <v>315</v>
      </c>
      <c r="X75" s="298" t="s">
        <v>569</v>
      </c>
    </row>
    <row r="76">
      <c r="A76" s="295" t="s">
        <v>883</v>
      </c>
      <c r="B76" s="297">
        <v>3.0</v>
      </c>
      <c r="C76" s="298" t="s">
        <v>522</v>
      </c>
      <c r="D76" s="298" t="s">
        <v>289</v>
      </c>
      <c r="E76" s="298" t="s">
        <v>290</v>
      </c>
      <c r="F76" s="298" t="str">
        <f>'Character Sheet'!$C$9</f>
        <v/>
      </c>
      <c r="G76" s="298" t="s">
        <v>294</v>
      </c>
      <c r="H76" s="298" t="s">
        <v>324</v>
      </c>
      <c r="I76" s="298" t="s">
        <v>884</v>
      </c>
      <c r="J76" s="298" t="s">
        <v>746</v>
      </c>
      <c r="K76" s="298" t="s">
        <v>298</v>
      </c>
      <c r="L76" s="298" t="s">
        <v>288</v>
      </c>
      <c r="M76" s="301" t="s">
        <v>315</v>
      </c>
      <c r="N76" s="301" t="s">
        <v>315</v>
      </c>
      <c r="O76" s="301" t="s">
        <v>885</v>
      </c>
      <c r="P76" s="301" t="s">
        <v>886</v>
      </c>
      <c r="Q76" s="301" t="s">
        <v>887</v>
      </c>
      <c r="R76" s="301" t="s">
        <v>888</v>
      </c>
      <c r="S76" s="301" t="s">
        <v>889</v>
      </c>
      <c r="T76" s="301" t="s">
        <v>890</v>
      </c>
      <c r="U76" s="301" t="s">
        <v>891</v>
      </c>
      <c r="V76" s="301" t="s">
        <v>892</v>
      </c>
      <c r="W76" s="298" t="s">
        <v>315</v>
      </c>
      <c r="X76" s="298" t="s">
        <v>569</v>
      </c>
    </row>
    <row r="77">
      <c r="A77" s="295" t="s">
        <v>893</v>
      </c>
      <c r="B77" s="297">
        <v>3.0</v>
      </c>
      <c r="C77" s="298" t="s">
        <v>522</v>
      </c>
      <c r="D77" s="298" t="s">
        <v>359</v>
      </c>
      <c r="E77" s="298" t="s">
        <v>290</v>
      </c>
      <c r="F77" s="298" t="str">
        <f>'Character Sheet'!$B$9</f>
        <v/>
      </c>
      <c r="G77" s="298" t="s">
        <v>477</v>
      </c>
      <c r="H77" s="298" t="s">
        <v>324</v>
      </c>
      <c r="I77" s="298" t="s">
        <v>783</v>
      </c>
      <c r="J77" s="298" t="s">
        <v>315</v>
      </c>
      <c r="K77" s="298" t="s">
        <v>894</v>
      </c>
      <c r="L77" s="298" t="s">
        <v>288</v>
      </c>
      <c r="M77" s="301" t="s">
        <v>315</v>
      </c>
      <c r="N77" s="301" t="s">
        <v>315</v>
      </c>
      <c r="O77" s="301" t="s">
        <v>895</v>
      </c>
      <c r="P77" s="301" t="s">
        <v>895</v>
      </c>
      <c r="Q77" s="301" t="s">
        <v>895</v>
      </c>
      <c r="R77" s="301" t="s">
        <v>896</v>
      </c>
      <c r="S77" s="301" t="s">
        <v>896</v>
      </c>
      <c r="T77" s="301" t="s">
        <v>896</v>
      </c>
      <c r="U77" s="301" t="s">
        <v>897</v>
      </c>
      <c r="V77" s="301" t="s">
        <v>897</v>
      </c>
      <c r="W77" s="298" t="s">
        <v>315</v>
      </c>
      <c r="X77" s="298" t="s">
        <v>678</v>
      </c>
    </row>
    <row r="78">
      <c r="A78" s="295" t="s">
        <v>898</v>
      </c>
      <c r="B78" s="297">
        <v>3.0</v>
      </c>
      <c r="C78" s="298" t="s">
        <v>522</v>
      </c>
      <c r="D78" s="298" t="s">
        <v>421</v>
      </c>
      <c r="E78" s="298" t="s">
        <v>290</v>
      </c>
      <c r="F78" s="298" t="str">
        <f>'Character Sheet'!$C$9</f>
        <v/>
      </c>
      <c r="G78" s="298" t="s">
        <v>294</v>
      </c>
      <c r="H78" s="298" t="s">
        <v>360</v>
      </c>
      <c r="I78" s="298" t="s">
        <v>900</v>
      </c>
      <c r="J78" s="298" t="s">
        <v>315</v>
      </c>
      <c r="K78" s="298" t="s">
        <v>478</v>
      </c>
      <c r="L78" s="298" t="s">
        <v>288</v>
      </c>
      <c r="M78" s="301" t="s">
        <v>315</v>
      </c>
      <c r="N78" s="301" t="s">
        <v>315</v>
      </c>
      <c r="O78" s="301" t="s">
        <v>901</v>
      </c>
      <c r="P78" s="301" t="s">
        <v>901</v>
      </c>
      <c r="Q78" s="301" t="s">
        <v>902</v>
      </c>
      <c r="R78" s="301" t="s">
        <v>903</v>
      </c>
      <c r="S78" s="301" t="s">
        <v>903</v>
      </c>
      <c r="T78" s="301" t="s">
        <v>903</v>
      </c>
      <c r="U78" s="301" t="s">
        <v>903</v>
      </c>
      <c r="V78" s="301" t="s">
        <v>903</v>
      </c>
      <c r="W78" s="298" t="s">
        <v>315</v>
      </c>
      <c r="X78" s="298" t="s">
        <v>569</v>
      </c>
    </row>
    <row r="79">
      <c r="A79" s="295" t="s">
        <v>904</v>
      </c>
      <c r="B79" s="297">
        <v>5.0</v>
      </c>
      <c r="C79" s="298" t="s">
        <v>522</v>
      </c>
      <c r="D79" s="298" t="s">
        <v>359</v>
      </c>
      <c r="E79" s="298" t="s">
        <v>290</v>
      </c>
      <c r="F79" s="298" t="str">
        <f>'Character Sheet'!$C$9</f>
        <v/>
      </c>
      <c r="G79" s="298" t="s">
        <v>294</v>
      </c>
      <c r="H79" s="298" t="s">
        <v>295</v>
      </c>
      <c r="I79" s="298" t="s">
        <v>905</v>
      </c>
      <c r="J79" s="298" t="s">
        <v>315</v>
      </c>
      <c r="K79" s="298" t="s">
        <v>298</v>
      </c>
      <c r="L79" s="298" t="s">
        <v>288</v>
      </c>
      <c r="M79" s="301" t="s">
        <v>315</v>
      </c>
      <c r="N79" s="301" t="s">
        <v>315</v>
      </c>
      <c r="O79" s="301" t="s">
        <v>315</v>
      </c>
      <c r="P79" s="301" t="s">
        <v>315</v>
      </c>
      <c r="Q79" s="301" t="s">
        <v>906</v>
      </c>
      <c r="R79" s="301" t="s">
        <v>907</v>
      </c>
      <c r="S79" s="301" t="s">
        <v>908</v>
      </c>
      <c r="T79" s="301" t="s">
        <v>909</v>
      </c>
      <c r="U79" s="301" t="s">
        <v>910</v>
      </c>
      <c r="V79" s="301" t="s">
        <v>911</v>
      </c>
      <c r="W79" s="298" t="s">
        <v>315</v>
      </c>
      <c r="X79" s="298" t="s">
        <v>569</v>
      </c>
    </row>
    <row r="80">
      <c r="A80" s="295" t="s">
        <v>912</v>
      </c>
      <c r="B80" s="297">
        <v>5.0</v>
      </c>
      <c r="C80" s="298" t="s">
        <v>522</v>
      </c>
      <c r="D80" s="298" t="s">
        <v>289</v>
      </c>
      <c r="E80" s="298" t="s">
        <v>290</v>
      </c>
      <c r="F80" s="298" t="str">
        <f>'Character Sheet'!$C$9</f>
        <v/>
      </c>
      <c r="G80" s="298" t="s">
        <v>294</v>
      </c>
      <c r="H80" s="298" t="s">
        <v>295</v>
      </c>
      <c r="I80" s="298" t="s">
        <v>913</v>
      </c>
      <c r="J80" s="298" t="s">
        <v>203</v>
      </c>
      <c r="K80" s="298" t="s">
        <v>424</v>
      </c>
      <c r="L80" s="298" t="s">
        <v>288</v>
      </c>
      <c r="M80" s="301" t="s">
        <v>315</v>
      </c>
      <c r="N80" s="301" t="s">
        <v>315</v>
      </c>
      <c r="O80" s="301" t="s">
        <v>315</v>
      </c>
      <c r="P80" s="301" t="s">
        <v>315</v>
      </c>
      <c r="Q80" s="301" t="s">
        <v>914</v>
      </c>
      <c r="R80" s="301" t="s">
        <v>915</v>
      </c>
      <c r="S80" s="301" t="s">
        <v>916</v>
      </c>
      <c r="T80" s="301" t="s">
        <v>917</v>
      </c>
      <c r="U80" s="301" t="s">
        <v>918</v>
      </c>
      <c r="V80" s="301" t="s">
        <v>919</v>
      </c>
      <c r="W80" s="298" t="s">
        <v>315</v>
      </c>
      <c r="X80" s="298" t="s">
        <v>569</v>
      </c>
    </row>
    <row r="81">
      <c r="A81" s="295" t="s">
        <v>920</v>
      </c>
      <c r="B81" s="297">
        <v>5.0</v>
      </c>
      <c r="C81" s="298" t="s">
        <v>522</v>
      </c>
      <c r="D81" s="298" t="s">
        <v>310</v>
      </c>
      <c r="E81" s="298" t="s">
        <v>311</v>
      </c>
      <c r="F81" s="298" t="str">
        <f>'Character Sheet'!$B$9</f>
        <v/>
      </c>
      <c r="G81" s="298" t="s">
        <v>477</v>
      </c>
      <c r="H81" s="298" t="s">
        <v>360</v>
      </c>
      <c r="I81" s="298" t="s">
        <v>422</v>
      </c>
      <c r="J81" s="298" t="s">
        <v>921</v>
      </c>
      <c r="K81" s="298" t="s">
        <v>424</v>
      </c>
      <c r="L81" s="298" t="s">
        <v>288</v>
      </c>
      <c r="M81" s="301" t="s">
        <v>315</v>
      </c>
      <c r="N81" s="301" t="s">
        <v>315</v>
      </c>
      <c r="O81" s="301" t="s">
        <v>315</v>
      </c>
      <c r="P81" s="301" t="s">
        <v>315</v>
      </c>
      <c r="Q81" s="301" t="s">
        <v>922</v>
      </c>
      <c r="R81" s="301" t="s">
        <v>922</v>
      </c>
      <c r="S81" s="301" t="s">
        <v>922</v>
      </c>
      <c r="T81" s="301" t="s">
        <v>922</v>
      </c>
      <c r="U81" s="301" t="s">
        <v>922</v>
      </c>
      <c r="V81" s="301" t="s">
        <v>922</v>
      </c>
      <c r="W81" s="298" t="s">
        <v>315</v>
      </c>
      <c r="X81" s="298" t="s">
        <v>569</v>
      </c>
    </row>
    <row r="82">
      <c r="A82" s="295" t="s">
        <v>923</v>
      </c>
      <c r="B82" s="297">
        <v>5.0</v>
      </c>
      <c r="C82" s="298" t="s">
        <v>522</v>
      </c>
      <c r="D82" s="298" t="s">
        <v>321</v>
      </c>
      <c r="E82" s="298" t="s">
        <v>290</v>
      </c>
      <c r="F82" s="298" t="str">
        <f>'Character Sheet'!$E$9</f>
        <v/>
      </c>
      <c r="G82" s="298" t="s">
        <v>674</v>
      </c>
      <c r="H82" s="298" t="s">
        <v>360</v>
      </c>
      <c r="I82" s="298" t="s">
        <v>924</v>
      </c>
      <c r="J82" s="298" t="s">
        <v>315</v>
      </c>
      <c r="K82" s="298" t="s">
        <v>632</v>
      </c>
      <c r="L82" s="298" t="s">
        <v>288</v>
      </c>
      <c r="M82" s="301" t="s">
        <v>315</v>
      </c>
      <c r="N82" s="301" t="s">
        <v>315</v>
      </c>
      <c r="O82" s="301" t="s">
        <v>315</v>
      </c>
      <c r="P82" s="301" t="s">
        <v>315</v>
      </c>
      <c r="Q82" s="301" t="s">
        <v>925</v>
      </c>
      <c r="R82" s="301" t="s">
        <v>926</v>
      </c>
      <c r="S82" s="301" t="s">
        <v>927</v>
      </c>
      <c r="T82" s="301" t="s">
        <v>928</v>
      </c>
      <c r="U82" s="301" t="s">
        <v>929</v>
      </c>
      <c r="V82" s="301" t="s">
        <v>930</v>
      </c>
      <c r="W82" s="298" t="s">
        <v>315</v>
      </c>
      <c r="X82" s="298" t="s">
        <v>569</v>
      </c>
    </row>
    <row r="83">
      <c r="A83" s="295" t="s">
        <v>931</v>
      </c>
      <c r="B83" s="297">
        <v>5.0</v>
      </c>
      <c r="C83" s="298" t="s">
        <v>522</v>
      </c>
      <c r="D83" s="298" t="s">
        <v>321</v>
      </c>
      <c r="E83" s="298" t="s">
        <v>311</v>
      </c>
      <c r="F83" s="298" t="str">
        <f>'Character Sheet'!$B$9</f>
        <v/>
      </c>
      <c r="G83" s="298" t="s">
        <v>477</v>
      </c>
      <c r="H83" s="298" t="s">
        <v>335</v>
      </c>
      <c r="I83" s="298" t="s">
        <v>315</v>
      </c>
      <c r="J83" s="298" t="s">
        <v>315</v>
      </c>
      <c r="K83" s="298" t="s">
        <v>478</v>
      </c>
      <c r="L83" s="298" t="s">
        <v>288</v>
      </c>
      <c r="M83" s="301" t="s">
        <v>315</v>
      </c>
      <c r="N83" s="301" t="s">
        <v>315</v>
      </c>
      <c r="O83" s="301" t="s">
        <v>315</v>
      </c>
      <c r="P83" s="301" t="s">
        <v>315</v>
      </c>
      <c r="Q83" s="301" t="s">
        <v>933</v>
      </c>
      <c r="R83" s="301" t="s">
        <v>934</v>
      </c>
      <c r="S83" s="301" t="s">
        <v>935</v>
      </c>
      <c r="T83" s="301" t="s">
        <v>936</v>
      </c>
      <c r="U83" s="301" t="s">
        <v>937</v>
      </c>
      <c r="V83" s="301" t="s">
        <v>938</v>
      </c>
      <c r="W83" s="298" t="s">
        <v>315</v>
      </c>
      <c r="X83" s="298" t="s">
        <v>306</v>
      </c>
    </row>
    <row r="84">
      <c r="A84" s="295" t="s">
        <v>939</v>
      </c>
      <c r="B84" s="297">
        <v>5.0</v>
      </c>
      <c r="C84" s="298" t="s">
        <v>522</v>
      </c>
      <c r="D84" s="298" t="s">
        <v>289</v>
      </c>
      <c r="E84" s="298" t="s">
        <v>290</v>
      </c>
      <c r="F84" s="298" t="str">
        <f>'Character Sheet'!$C$9</f>
        <v/>
      </c>
      <c r="G84" s="298" t="s">
        <v>294</v>
      </c>
      <c r="H84" s="298" t="s">
        <v>360</v>
      </c>
      <c r="I84" s="298" t="s">
        <v>940</v>
      </c>
      <c r="J84" s="298" t="s">
        <v>336</v>
      </c>
      <c r="K84" s="298" t="s">
        <v>298</v>
      </c>
      <c r="L84" s="298" t="s">
        <v>288</v>
      </c>
      <c r="M84" s="301" t="s">
        <v>315</v>
      </c>
      <c r="N84" s="301" t="s">
        <v>315</v>
      </c>
      <c r="O84" s="301" t="s">
        <v>315</v>
      </c>
      <c r="P84" s="301" t="s">
        <v>315</v>
      </c>
      <c r="Q84" s="301" t="s">
        <v>942</v>
      </c>
      <c r="R84" s="301" t="s">
        <v>943</v>
      </c>
      <c r="S84" s="301" t="s">
        <v>944</v>
      </c>
      <c r="T84" s="301" t="s">
        <v>945</v>
      </c>
      <c r="U84" s="301" t="s">
        <v>946</v>
      </c>
      <c r="V84" s="301" t="s">
        <v>947</v>
      </c>
      <c r="W84" s="298" t="s">
        <v>315</v>
      </c>
      <c r="X84" s="298" t="s">
        <v>569</v>
      </c>
    </row>
    <row r="85">
      <c r="A85" s="295" t="s">
        <v>948</v>
      </c>
      <c r="B85" s="297">
        <v>5.0</v>
      </c>
      <c r="C85" s="298" t="s">
        <v>522</v>
      </c>
      <c r="D85" s="298" t="s">
        <v>151</v>
      </c>
      <c r="E85" s="298" t="s">
        <v>290</v>
      </c>
      <c r="F85" s="298" t="str">
        <f>'Character Sheet'!$C$9</f>
        <v/>
      </c>
      <c r="G85" s="298" t="s">
        <v>294</v>
      </c>
      <c r="H85" s="298" t="s">
        <v>335</v>
      </c>
      <c r="I85" s="298" t="s">
        <v>315</v>
      </c>
      <c r="J85" s="298" t="s">
        <v>315</v>
      </c>
      <c r="K85" s="298" t="s">
        <v>424</v>
      </c>
      <c r="L85" s="298" t="s">
        <v>288</v>
      </c>
      <c r="M85" s="301" t="s">
        <v>315</v>
      </c>
      <c r="N85" s="301" t="s">
        <v>315</v>
      </c>
      <c r="O85" s="301" t="s">
        <v>315</v>
      </c>
      <c r="P85" s="301" t="s">
        <v>315</v>
      </c>
      <c r="Q85" s="301" t="s">
        <v>950</v>
      </c>
      <c r="R85" s="301" t="s">
        <v>950</v>
      </c>
      <c r="S85" s="301" t="s">
        <v>950</v>
      </c>
      <c r="T85" s="301" t="s">
        <v>950</v>
      </c>
      <c r="U85" s="301" t="s">
        <v>950</v>
      </c>
      <c r="V85" s="301" t="s">
        <v>950</v>
      </c>
      <c r="W85" s="298" t="s">
        <v>315</v>
      </c>
      <c r="X85" s="298" t="s">
        <v>569</v>
      </c>
    </row>
    <row r="86">
      <c r="A86" s="341" t="s">
        <v>951</v>
      </c>
      <c r="B86" s="342">
        <v>7.0</v>
      </c>
      <c r="C86" s="343" t="s">
        <v>522</v>
      </c>
      <c r="D86" s="343" t="s">
        <v>359</v>
      </c>
      <c r="E86" s="343" t="s">
        <v>311</v>
      </c>
      <c r="F86" s="343" t="str">
        <f>'Character Sheet'!$B$9</f>
        <v/>
      </c>
      <c r="G86" s="343" t="s">
        <v>477</v>
      </c>
      <c r="H86" s="343" t="s">
        <v>295</v>
      </c>
      <c r="I86" s="343" t="s">
        <v>952</v>
      </c>
      <c r="J86" s="343" t="s">
        <v>315</v>
      </c>
      <c r="K86" s="343" t="s">
        <v>478</v>
      </c>
      <c r="L86" s="343" t="s">
        <v>288</v>
      </c>
      <c r="M86" s="344" t="s">
        <v>315</v>
      </c>
      <c r="N86" s="344" t="s">
        <v>315</v>
      </c>
      <c r="O86" s="344" t="s">
        <v>315</v>
      </c>
      <c r="P86" s="344" t="s">
        <v>315</v>
      </c>
      <c r="Q86" s="344" t="s">
        <v>315</v>
      </c>
      <c r="R86" s="344" t="s">
        <v>315</v>
      </c>
      <c r="S86" s="344" t="s">
        <v>953</v>
      </c>
      <c r="T86" s="344" t="s">
        <v>953</v>
      </c>
      <c r="U86" s="344" t="s">
        <v>953</v>
      </c>
      <c r="V86" s="344" t="s">
        <v>953</v>
      </c>
      <c r="W86" s="343" t="s">
        <v>315</v>
      </c>
      <c r="X86" s="343" t="s">
        <v>306</v>
      </c>
    </row>
    <row r="87">
      <c r="A87" s="295" t="s">
        <v>954</v>
      </c>
      <c r="B87" s="298">
        <v>1.0</v>
      </c>
      <c r="C87" s="298" t="s">
        <v>288</v>
      </c>
      <c r="D87" s="298" t="s">
        <v>289</v>
      </c>
      <c r="E87" s="298" t="s">
        <v>290</v>
      </c>
      <c r="F87" s="298" t="str">
        <f>'Character Sheet'!$C$9</f>
        <v/>
      </c>
      <c r="G87" s="298" t="s">
        <v>294</v>
      </c>
      <c r="H87" s="298" t="s">
        <v>324</v>
      </c>
      <c r="I87" s="298" t="s">
        <v>955</v>
      </c>
      <c r="J87" s="298" t="s">
        <v>407</v>
      </c>
      <c r="K87" s="298" t="s">
        <v>298</v>
      </c>
      <c r="L87" s="298" t="s">
        <v>493</v>
      </c>
      <c r="M87" s="301" t="s">
        <v>956</v>
      </c>
      <c r="N87" s="301" t="s">
        <v>957</v>
      </c>
      <c r="O87" s="301" t="s">
        <v>958</v>
      </c>
      <c r="P87" s="301" t="s">
        <v>959</v>
      </c>
      <c r="Q87" s="301" t="s">
        <v>960</v>
      </c>
      <c r="R87" s="301" t="s">
        <v>961</v>
      </c>
      <c r="S87" s="301" t="s">
        <v>962</v>
      </c>
      <c r="T87" s="301" t="s">
        <v>963</v>
      </c>
      <c r="U87" s="301" t="s">
        <v>964</v>
      </c>
      <c r="V87" s="301" t="s">
        <v>965</v>
      </c>
      <c r="W87" s="298" t="s">
        <v>305</v>
      </c>
      <c r="X87" s="298" t="s">
        <v>966</v>
      </c>
    </row>
    <row r="88">
      <c r="A88" s="295" t="s">
        <v>967</v>
      </c>
      <c r="B88" s="298">
        <v>1.0</v>
      </c>
      <c r="C88" s="298" t="s">
        <v>288</v>
      </c>
      <c r="D88" s="298" t="s">
        <v>334</v>
      </c>
      <c r="E88" s="298" t="s">
        <v>290</v>
      </c>
      <c r="F88" s="298" t="str">
        <f>'Character Sheet'!$C$9</f>
        <v/>
      </c>
      <c r="G88" s="298" t="s">
        <v>294</v>
      </c>
      <c r="H88" s="298" t="s">
        <v>360</v>
      </c>
      <c r="I88" s="298" t="s">
        <v>296</v>
      </c>
      <c r="J88" s="298" t="s">
        <v>203</v>
      </c>
      <c r="K88" s="298" t="s">
        <v>298</v>
      </c>
      <c r="L88" s="298" t="s">
        <v>493</v>
      </c>
      <c r="M88" s="301" t="s">
        <v>968</v>
      </c>
      <c r="N88" s="301" t="s">
        <v>969</v>
      </c>
      <c r="O88" s="301" t="s">
        <v>970</v>
      </c>
      <c r="P88" s="301" t="s">
        <v>971</v>
      </c>
      <c r="Q88" s="301" t="s">
        <v>972</v>
      </c>
      <c r="R88" s="301" t="s">
        <v>973</v>
      </c>
      <c r="S88" s="301" t="s">
        <v>974</v>
      </c>
      <c r="T88" s="301" t="s">
        <v>975</v>
      </c>
      <c r="U88" s="301" t="s">
        <v>976</v>
      </c>
      <c r="V88" s="301" t="s">
        <v>977</v>
      </c>
      <c r="W88" s="298" t="s">
        <v>978</v>
      </c>
      <c r="X88" s="298" t="s">
        <v>979</v>
      </c>
    </row>
    <row r="89">
      <c r="A89" s="295" t="s">
        <v>980</v>
      </c>
      <c r="B89" s="298">
        <v>1.0</v>
      </c>
      <c r="C89" s="298" t="s">
        <v>288</v>
      </c>
      <c r="D89" s="298" t="s">
        <v>359</v>
      </c>
      <c r="E89" s="298" t="s">
        <v>290</v>
      </c>
      <c r="F89" s="298" t="str">
        <f>'Character Sheet'!$C$9</f>
        <v/>
      </c>
      <c r="G89" s="298" t="s">
        <v>294</v>
      </c>
      <c r="H89" s="298" t="s">
        <v>295</v>
      </c>
      <c r="I89" s="298" t="s">
        <v>296</v>
      </c>
      <c r="J89" s="298" t="s">
        <v>192</v>
      </c>
      <c r="K89" s="298" t="s">
        <v>653</v>
      </c>
      <c r="L89" s="298" t="s">
        <v>493</v>
      </c>
      <c r="M89" s="301" t="s">
        <v>981</v>
      </c>
      <c r="N89" s="301" t="s">
        <v>982</v>
      </c>
      <c r="O89" s="301" t="s">
        <v>983</v>
      </c>
      <c r="P89" s="301" t="s">
        <v>984</v>
      </c>
      <c r="Q89" s="301" t="s">
        <v>985</v>
      </c>
      <c r="R89" s="301" t="s">
        <v>986</v>
      </c>
      <c r="S89" s="301" t="s">
        <v>987</v>
      </c>
      <c r="T89" s="301" t="s">
        <v>988</v>
      </c>
      <c r="U89" s="301" t="s">
        <v>989</v>
      </c>
      <c r="V89" s="301" t="s">
        <v>990</v>
      </c>
      <c r="W89" s="298" t="s">
        <v>460</v>
      </c>
      <c r="X89" s="298" t="s">
        <v>966</v>
      </c>
    </row>
    <row r="90">
      <c r="A90" s="295" t="s">
        <v>991</v>
      </c>
      <c r="B90" s="298">
        <v>1.0</v>
      </c>
      <c r="C90" s="298" t="s">
        <v>288</v>
      </c>
      <c r="D90" s="298" t="s">
        <v>151</v>
      </c>
      <c r="E90" s="298" t="s">
        <v>311</v>
      </c>
      <c r="F90" s="298" t="str">
        <f>'Character Sheet'!$K$9</f>
        <v/>
      </c>
      <c r="G90" s="298" t="s">
        <v>477</v>
      </c>
      <c r="H90" s="298" t="s">
        <v>360</v>
      </c>
      <c r="I90" s="298" t="s">
        <v>296</v>
      </c>
      <c r="J90" s="298" t="s">
        <v>315</v>
      </c>
      <c r="K90" s="298" t="s">
        <v>632</v>
      </c>
      <c r="L90" s="298" t="s">
        <v>493</v>
      </c>
      <c r="M90" s="301" t="s">
        <v>992</v>
      </c>
      <c r="N90" s="301" t="s">
        <v>992</v>
      </c>
      <c r="O90" s="301" t="s">
        <v>992</v>
      </c>
      <c r="P90" s="301" t="s">
        <v>992</v>
      </c>
      <c r="Q90" s="301" t="s">
        <v>992</v>
      </c>
      <c r="R90" s="301" t="s">
        <v>992</v>
      </c>
      <c r="S90" s="301" t="s">
        <v>992</v>
      </c>
      <c r="T90" s="301" t="s">
        <v>992</v>
      </c>
      <c r="U90" s="301" t="s">
        <v>992</v>
      </c>
      <c r="V90" s="301" t="s">
        <v>992</v>
      </c>
      <c r="W90" s="298" t="s">
        <v>993</v>
      </c>
      <c r="X90" s="298" t="s">
        <v>306</v>
      </c>
    </row>
    <row r="91">
      <c r="A91" s="295" t="s">
        <v>994</v>
      </c>
      <c r="B91" s="298">
        <v>1.0</v>
      </c>
      <c r="C91" s="298" t="s">
        <v>522</v>
      </c>
      <c r="D91" s="298" t="s">
        <v>289</v>
      </c>
      <c r="E91" s="298" t="s">
        <v>290</v>
      </c>
      <c r="F91" s="298" t="str">
        <f>'Character Sheet'!$B$9</f>
        <v/>
      </c>
      <c r="G91" s="298" t="s">
        <v>477</v>
      </c>
      <c r="H91" s="298" t="s">
        <v>324</v>
      </c>
      <c r="I91" s="298" t="s">
        <v>955</v>
      </c>
      <c r="J91" s="298" t="s">
        <v>173</v>
      </c>
      <c r="K91" s="298" t="s">
        <v>298</v>
      </c>
      <c r="L91" s="298" t="s">
        <v>493</v>
      </c>
      <c r="M91" s="301" t="s">
        <v>995</v>
      </c>
      <c r="N91" s="301" t="s">
        <v>995</v>
      </c>
      <c r="O91" s="301" t="s">
        <v>995</v>
      </c>
      <c r="P91" s="301" t="s">
        <v>996</v>
      </c>
      <c r="Q91" s="301" t="s">
        <v>996</v>
      </c>
      <c r="R91" s="301" t="s">
        <v>996</v>
      </c>
      <c r="S91" s="301" t="s">
        <v>996</v>
      </c>
      <c r="T91" s="301" t="s">
        <v>996</v>
      </c>
      <c r="U91" s="301" t="s">
        <v>996</v>
      </c>
      <c r="V91" s="301" t="s">
        <v>996</v>
      </c>
      <c r="W91" s="298" t="s">
        <v>305</v>
      </c>
      <c r="X91" s="298" t="s">
        <v>997</v>
      </c>
    </row>
    <row r="92">
      <c r="A92" s="295" t="s">
        <v>998</v>
      </c>
      <c r="B92" s="298">
        <v>1.0</v>
      </c>
      <c r="C92" s="298" t="s">
        <v>288</v>
      </c>
      <c r="D92" s="298" t="s">
        <v>421</v>
      </c>
      <c r="E92" s="298" t="s">
        <v>290</v>
      </c>
      <c r="F92" s="298" t="s">
        <v>999</v>
      </c>
      <c r="G92" s="298" t="s">
        <v>674</v>
      </c>
      <c r="H92" s="298" t="s">
        <v>335</v>
      </c>
      <c r="I92" s="298" t="s">
        <v>1000</v>
      </c>
      <c r="J92" s="298" t="s">
        <v>257</v>
      </c>
      <c r="K92" s="298" t="s">
        <v>1001</v>
      </c>
      <c r="L92" s="298" t="s">
        <v>493</v>
      </c>
      <c r="M92" s="301" t="s">
        <v>1002</v>
      </c>
      <c r="N92" s="301" t="s">
        <v>1002</v>
      </c>
      <c r="O92" s="301" t="s">
        <v>1003</v>
      </c>
      <c r="P92" s="301" t="s">
        <v>1003</v>
      </c>
      <c r="Q92" s="301" t="s">
        <v>1003</v>
      </c>
      <c r="R92" s="301" t="s">
        <v>1003</v>
      </c>
      <c r="S92" s="301" t="s">
        <v>1003</v>
      </c>
      <c r="T92" s="301" t="s">
        <v>1003</v>
      </c>
      <c r="U92" s="301" t="s">
        <v>1003</v>
      </c>
      <c r="V92" s="301" t="s">
        <v>1003</v>
      </c>
      <c r="W92" s="298" t="s">
        <v>317</v>
      </c>
      <c r="X92" s="298" t="s">
        <v>306</v>
      </c>
    </row>
    <row r="93">
      <c r="A93" s="295" t="s">
        <v>1004</v>
      </c>
      <c r="B93" s="298">
        <v>1.0</v>
      </c>
      <c r="C93" s="298" t="s">
        <v>288</v>
      </c>
      <c r="D93" s="298" t="s">
        <v>151</v>
      </c>
      <c r="E93" s="298" t="s">
        <v>290</v>
      </c>
      <c r="F93" s="298" t="str">
        <f>'Character Sheet'!$C$9</f>
        <v/>
      </c>
      <c r="G93" s="298" t="s">
        <v>294</v>
      </c>
      <c r="H93" s="298" t="s">
        <v>324</v>
      </c>
      <c r="I93" s="298" t="s">
        <v>955</v>
      </c>
      <c r="J93" s="298" t="s">
        <v>407</v>
      </c>
      <c r="K93" s="298" t="s">
        <v>298</v>
      </c>
      <c r="L93" s="298" t="s">
        <v>493</v>
      </c>
      <c r="M93" s="301" t="s">
        <v>1005</v>
      </c>
      <c r="N93" s="301" t="s">
        <v>1006</v>
      </c>
      <c r="O93" s="301" t="s">
        <v>1007</v>
      </c>
      <c r="P93" s="301" t="s">
        <v>1008</v>
      </c>
      <c r="Q93" s="301" t="s">
        <v>1009</v>
      </c>
      <c r="R93" s="301" t="s">
        <v>1010</v>
      </c>
      <c r="S93" s="301" t="s">
        <v>1011</v>
      </c>
      <c r="T93" s="301" t="s">
        <v>1012</v>
      </c>
      <c r="U93" s="301" t="s">
        <v>1013</v>
      </c>
      <c r="V93" s="301" t="s">
        <v>1014</v>
      </c>
      <c r="W93" s="298" t="s">
        <v>499</v>
      </c>
      <c r="X93" s="298" t="s">
        <v>318</v>
      </c>
    </row>
    <row r="94">
      <c r="A94" s="295" t="s">
        <v>1015</v>
      </c>
      <c r="B94" s="298">
        <v>1.0</v>
      </c>
      <c r="C94" s="298" t="s">
        <v>288</v>
      </c>
      <c r="D94" s="298" t="s">
        <v>334</v>
      </c>
      <c r="E94" s="298" t="s">
        <v>290</v>
      </c>
      <c r="F94" s="298" t="str">
        <f>'Character Sheet'!$E$9</f>
        <v/>
      </c>
      <c r="G94" s="298" t="s">
        <v>674</v>
      </c>
      <c r="H94" s="298" t="s">
        <v>295</v>
      </c>
      <c r="I94" s="298" t="s">
        <v>315</v>
      </c>
      <c r="J94" s="298" t="s">
        <v>315</v>
      </c>
      <c r="K94" s="298" t="s">
        <v>424</v>
      </c>
      <c r="L94" s="298" t="s">
        <v>493</v>
      </c>
      <c r="M94" s="301" t="s">
        <v>1017</v>
      </c>
      <c r="N94" s="301" t="s">
        <v>1018</v>
      </c>
      <c r="O94" s="301" t="s">
        <v>1019</v>
      </c>
      <c r="P94" s="301" t="s">
        <v>1020</v>
      </c>
      <c r="Q94" s="301" t="s">
        <v>1021</v>
      </c>
      <c r="R94" s="301" t="s">
        <v>1022</v>
      </c>
      <c r="S94" s="301" t="s">
        <v>1022</v>
      </c>
      <c r="T94" s="301" t="s">
        <v>1023</v>
      </c>
      <c r="U94" s="301" t="s">
        <v>1024</v>
      </c>
      <c r="V94" s="301" t="s">
        <v>1025</v>
      </c>
      <c r="W94" s="298" t="s">
        <v>331</v>
      </c>
      <c r="X94" s="298" t="s">
        <v>678</v>
      </c>
    </row>
    <row r="95">
      <c r="A95" s="295" t="s">
        <v>1026</v>
      </c>
      <c r="B95" s="298">
        <v>1.0</v>
      </c>
      <c r="C95" s="298" t="s">
        <v>288</v>
      </c>
      <c r="D95" s="298" t="s">
        <v>462</v>
      </c>
      <c r="E95" s="298" t="s">
        <v>290</v>
      </c>
      <c r="F95" s="298" t="str">
        <f>'Character Sheet'!$C$9</f>
        <v/>
      </c>
      <c r="G95" s="298" t="s">
        <v>294</v>
      </c>
      <c r="H95" s="298" t="s">
        <v>708</v>
      </c>
      <c r="I95" s="298" t="s">
        <v>1027</v>
      </c>
      <c r="J95" s="298" t="s">
        <v>315</v>
      </c>
      <c r="K95" s="298" t="s">
        <v>424</v>
      </c>
      <c r="L95" s="298" t="s">
        <v>493</v>
      </c>
      <c r="M95" s="301" t="s">
        <v>1028</v>
      </c>
      <c r="N95" s="301" t="s">
        <v>1028</v>
      </c>
      <c r="O95" s="301" t="s">
        <v>1029</v>
      </c>
      <c r="P95" s="301" t="s">
        <v>1029</v>
      </c>
      <c r="Q95" s="301" t="s">
        <v>1030</v>
      </c>
      <c r="R95" s="301" t="s">
        <v>1030</v>
      </c>
      <c r="S95" s="301" t="s">
        <v>1031</v>
      </c>
      <c r="T95" s="301" t="s">
        <v>1031</v>
      </c>
      <c r="U95" s="301" t="s">
        <v>1032</v>
      </c>
      <c r="V95" s="301" t="s">
        <v>1032</v>
      </c>
      <c r="W95" s="298" t="s">
        <v>460</v>
      </c>
      <c r="X95" s="298" t="s">
        <v>678</v>
      </c>
    </row>
    <row r="96">
      <c r="A96" s="295" t="s">
        <v>1033</v>
      </c>
      <c r="B96" s="298">
        <v>1.0</v>
      </c>
      <c r="C96" s="298" t="s">
        <v>288</v>
      </c>
      <c r="D96" s="298" t="s">
        <v>462</v>
      </c>
      <c r="E96" s="298" t="s">
        <v>311</v>
      </c>
      <c r="F96" s="298" t="str">
        <f>'Character Sheet'!$C$9</f>
        <v/>
      </c>
      <c r="G96" s="298" t="s">
        <v>294</v>
      </c>
      <c r="H96" s="298" t="s">
        <v>335</v>
      </c>
      <c r="I96" s="298" t="s">
        <v>296</v>
      </c>
      <c r="J96" s="298" t="s">
        <v>315</v>
      </c>
      <c r="K96" s="298" t="s">
        <v>1001</v>
      </c>
      <c r="L96" s="298" t="s">
        <v>493</v>
      </c>
      <c r="M96" s="301" t="s">
        <v>1034</v>
      </c>
      <c r="N96" s="301" t="s">
        <v>1035</v>
      </c>
      <c r="O96" s="301" t="s">
        <v>1036</v>
      </c>
      <c r="P96" s="301" t="s">
        <v>1037</v>
      </c>
      <c r="Q96" s="301" t="s">
        <v>1038</v>
      </c>
      <c r="R96" s="301" t="s">
        <v>1039</v>
      </c>
      <c r="S96" s="301" t="s">
        <v>1040</v>
      </c>
      <c r="T96" s="301" t="s">
        <v>1041</v>
      </c>
      <c r="U96" s="301" t="s">
        <v>1042</v>
      </c>
      <c r="V96" s="301" t="s">
        <v>1043</v>
      </c>
      <c r="W96" s="298" t="s">
        <v>305</v>
      </c>
      <c r="X96" s="298" t="s">
        <v>306</v>
      </c>
    </row>
    <row r="97">
      <c r="A97" s="295" t="s">
        <v>1044</v>
      </c>
      <c r="B97" s="298">
        <v>1.0</v>
      </c>
      <c r="C97" s="298" t="s">
        <v>288</v>
      </c>
      <c r="D97" s="298" t="s">
        <v>310</v>
      </c>
      <c r="E97" s="298" t="s">
        <v>290</v>
      </c>
      <c r="F97" s="298" t="str">
        <f>'Character Sheet'!$C$9</f>
        <v/>
      </c>
      <c r="G97" s="298" t="s">
        <v>294</v>
      </c>
      <c r="H97" s="298" t="s">
        <v>295</v>
      </c>
      <c r="I97" s="298" t="s">
        <v>296</v>
      </c>
      <c r="J97" s="298" t="s">
        <v>315</v>
      </c>
      <c r="K97" s="298" t="s">
        <v>325</v>
      </c>
      <c r="L97" s="298" t="s">
        <v>493</v>
      </c>
      <c r="M97" s="301" t="s">
        <v>1045</v>
      </c>
      <c r="N97" s="301" t="s">
        <v>1045</v>
      </c>
      <c r="O97" s="301" t="s">
        <v>1046</v>
      </c>
      <c r="P97" s="301" t="s">
        <v>1046</v>
      </c>
      <c r="Q97" s="301" t="s">
        <v>1047</v>
      </c>
      <c r="R97" s="301" t="s">
        <v>1047</v>
      </c>
      <c r="S97" s="301" t="s">
        <v>1048</v>
      </c>
      <c r="T97" s="301" t="s">
        <v>1048</v>
      </c>
      <c r="U97" s="301" t="s">
        <v>1048</v>
      </c>
      <c r="V97" s="301" t="s">
        <v>1048</v>
      </c>
      <c r="W97" s="298" t="s">
        <v>460</v>
      </c>
      <c r="X97" s="298" t="s">
        <v>966</v>
      </c>
    </row>
    <row r="98">
      <c r="A98" s="295" t="s">
        <v>1049</v>
      </c>
      <c r="B98" s="298">
        <v>1.0</v>
      </c>
      <c r="C98" s="298" t="s">
        <v>288</v>
      </c>
      <c r="D98" s="298" t="s">
        <v>359</v>
      </c>
      <c r="E98" s="298" t="s">
        <v>311</v>
      </c>
      <c r="F98" s="298" t="str">
        <f>'Character Sheet'!$C$9</f>
        <v/>
      </c>
      <c r="G98" s="298" t="s">
        <v>294</v>
      </c>
      <c r="H98" s="298" t="s">
        <v>324</v>
      </c>
      <c r="I98" s="298" t="s">
        <v>955</v>
      </c>
      <c r="J98" s="298" t="s">
        <v>192</v>
      </c>
      <c r="K98" s="298" t="s">
        <v>632</v>
      </c>
      <c r="L98" s="298" t="s">
        <v>493</v>
      </c>
      <c r="M98" s="301" t="s">
        <v>1050</v>
      </c>
      <c r="N98" s="301" t="s">
        <v>1050</v>
      </c>
      <c r="O98" s="301" t="s">
        <v>1050</v>
      </c>
      <c r="P98" s="301" t="s">
        <v>1050</v>
      </c>
      <c r="Q98" s="301" t="s">
        <v>1050</v>
      </c>
      <c r="R98" s="301" t="s">
        <v>1050</v>
      </c>
      <c r="S98" s="301" t="s">
        <v>1050</v>
      </c>
      <c r="T98" s="301" t="s">
        <v>1050</v>
      </c>
      <c r="U98" s="301" t="s">
        <v>1050</v>
      </c>
      <c r="V98" s="301" t="s">
        <v>1050</v>
      </c>
      <c r="W98" s="298" t="s">
        <v>429</v>
      </c>
      <c r="X98" s="298" t="s">
        <v>306</v>
      </c>
    </row>
    <row r="99">
      <c r="A99" s="295" t="s">
        <v>1051</v>
      </c>
      <c r="B99" s="298">
        <v>1.0</v>
      </c>
      <c r="C99" s="298" t="s">
        <v>288</v>
      </c>
      <c r="D99" s="298" t="s">
        <v>359</v>
      </c>
      <c r="E99" s="298" t="s">
        <v>311</v>
      </c>
      <c r="F99" s="298" t="str">
        <f>'Character Sheet'!$C$9</f>
        <v/>
      </c>
      <c r="G99" s="298" t="s">
        <v>294</v>
      </c>
      <c r="H99" s="298" t="s">
        <v>295</v>
      </c>
      <c r="I99" s="298" t="s">
        <v>296</v>
      </c>
      <c r="J99" s="298" t="s">
        <v>192</v>
      </c>
      <c r="K99" s="298" t="s">
        <v>478</v>
      </c>
      <c r="L99" s="298" t="s">
        <v>493</v>
      </c>
      <c r="M99" s="301" t="s">
        <v>1052</v>
      </c>
      <c r="N99" s="301" t="s">
        <v>1052</v>
      </c>
      <c r="O99" s="301" t="s">
        <v>1052</v>
      </c>
      <c r="P99" s="301" t="s">
        <v>1052</v>
      </c>
      <c r="Q99" s="301" t="s">
        <v>1052</v>
      </c>
      <c r="R99" s="301" t="s">
        <v>1052</v>
      </c>
      <c r="S99" s="301" t="s">
        <v>1052</v>
      </c>
      <c r="T99" s="301" t="s">
        <v>1052</v>
      </c>
      <c r="U99" s="301" t="s">
        <v>1052</v>
      </c>
      <c r="V99" s="301" t="s">
        <v>1052</v>
      </c>
      <c r="W99" s="298" t="s">
        <v>442</v>
      </c>
      <c r="X99" s="298" t="s">
        <v>966</v>
      </c>
    </row>
    <row r="100">
      <c r="A100" s="295" t="s">
        <v>1053</v>
      </c>
      <c r="B100" s="298">
        <v>1.0</v>
      </c>
      <c r="C100" s="298" t="s">
        <v>288</v>
      </c>
      <c r="D100" s="298" t="s">
        <v>289</v>
      </c>
      <c r="E100" s="298" t="s">
        <v>290</v>
      </c>
      <c r="F100" s="298" t="str">
        <f>'Character Sheet'!$C$9</f>
        <v/>
      </c>
      <c r="G100" s="298" t="s">
        <v>294</v>
      </c>
      <c r="H100" s="298" t="s">
        <v>295</v>
      </c>
      <c r="I100" s="298" t="s">
        <v>296</v>
      </c>
      <c r="J100" s="298" t="s">
        <v>203</v>
      </c>
      <c r="K100" s="298" t="s">
        <v>632</v>
      </c>
      <c r="L100" s="298" t="s">
        <v>493</v>
      </c>
      <c r="M100" s="301" t="s">
        <v>1054</v>
      </c>
      <c r="N100" s="301" t="s">
        <v>1055</v>
      </c>
      <c r="O100" s="301" t="s">
        <v>1056</v>
      </c>
      <c r="P100" s="301" t="s">
        <v>1057</v>
      </c>
      <c r="Q100" s="301" t="s">
        <v>1058</v>
      </c>
      <c r="R100" s="301" t="s">
        <v>1059</v>
      </c>
      <c r="S100" s="301" t="s">
        <v>1060</v>
      </c>
      <c r="T100" s="301" t="s">
        <v>1061</v>
      </c>
      <c r="U100" s="301" t="s">
        <v>1062</v>
      </c>
      <c r="V100" s="301" t="s">
        <v>1063</v>
      </c>
      <c r="W100" s="298" t="s">
        <v>536</v>
      </c>
      <c r="X100" s="298" t="s">
        <v>318</v>
      </c>
    </row>
    <row r="101">
      <c r="A101" s="295" t="s">
        <v>1064</v>
      </c>
      <c r="B101" s="298">
        <v>1.0</v>
      </c>
      <c r="C101" s="298" t="s">
        <v>288</v>
      </c>
      <c r="D101" s="298" t="s">
        <v>359</v>
      </c>
      <c r="E101" s="298" t="s">
        <v>311</v>
      </c>
      <c r="F101" s="298" t="str">
        <f>'Character Sheet'!$C$9</f>
        <v/>
      </c>
      <c r="G101" s="298" t="s">
        <v>294</v>
      </c>
      <c r="H101" s="298" t="s">
        <v>324</v>
      </c>
      <c r="I101" s="298" t="s">
        <v>955</v>
      </c>
      <c r="J101" s="298" t="s">
        <v>315</v>
      </c>
      <c r="K101" s="298" t="s">
        <v>632</v>
      </c>
      <c r="L101" s="298" t="s">
        <v>493</v>
      </c>
      <c r="M101" s="301" t="s">
        <v>1065</v>
      </c>
      <c r="N101" s="301" t="s">
        <v>1065</v>
      </c>
      <c r="O101" s="301" t="s">
        <v>1065</v>
      </c>
      <c r="P101" s="301" t="s">
        <v>1065</v>
      </c>
      <c r="Q101" s="301" t="s">
        <v>1065</v>
      </c>
      <c r="R101" s="301" t="s">
        <v>1065</v>
      </c>
      <c r="S101" s="301" t="s">
        <v>1065</v>
      </c>
      <c r="T101" s="301" t="s">
        <v>1065</v>
      </c>
      <c r="U101" s="301" t="s">
        <v>1065</v>
      </c>
      <c r="V101" s="301" t="s">
        <v>1065</v>
      </c>
      <c r="W101" s="298" t="s">
        <v>429</v>
      </c>
      <c r="X101" s="298" t="s">
        <v>306</v>
      </c>
    </row>
    <row r="102">
      <c r="A102" s="295" t="s">
        <v>1066</v>
      </c>
      <c r="B102" s="298">
        <v>1.0</v>
      </c>
      <c r="C102" s="298" t="s">
        <v>288</v>
      </c>
      <c r="D102" s="298" t="s">
        <v>421</v>
      </c>
      <c r="E102" s="298" t="s">
        <v>290</v>
      </c>
      <c r="F102" s="298" t="s">
        <v>632</v>
      </c>
      <c r="G102" s="298" t="s">
        <v>674</v>
      </c>
      <c r="H102" s="298" t="s">
        <v>335</v>
      </c>
      <c r="I102" s="298" t="s">
        <v>780</v>
      </c>
      <c r="J102" s="298" t="s">
        <v>315</v>
      </c>
      <c r="K102" s="298" t="s">
        <v>675</v>
      </c>
      <c r="L102" s="298" t="s">
        <v>493</v>
      </c>
      <c r="M102" s="301" t="s">
        <v>1067</v>
      </c>
      <c r="N102" s="301" t="s">
        <v>1068</v>
      </c>
      <c r="O102" s="301" t="s">
        <v>1069</v>
      </c>
      <c r="P102" s="301" t="s">
        <v>1069</v>
      </c>
      <c r="Q102" s="301" t="s">
        <v>1069</v>
      </c>
      <c r="R102" s="301" t="s">
        <v>1069</v>
      </c>
      <c r="S102" s="301" t="s">
        <v>1069</v>
      </c>
      <c r="T102" s="301" t="s">
        <v>1069</v>
      </c>
      <c r="U102" s="301" t="s">
        <v>1069</v>
      </c>
      <c r="V102" s="301" t="s">
        <v>1069</v>
      </c>
      <c r="W102" s="298" t="s">
        <v>317</v>
      </c>
      <c r="X102" s="298" t="s">
        <v>318</v>
      </c>
    </row>
    <row r="103">
      <c r="A103" s="295" t="s">
        <v>1071</v>
      </c>
      <c r="B103" s="298">
        <v>1.0</v>
      </c>
      <c r="C103" s="298" t="s">
        <v>288</v>
      </c>
      <c r="D103" s="298" t="s">
        <v>289</v>
      </c>
      <c r="E103" s="298" t="s">
        <v>290</v>
      </c>
      <c r="F103" s="298" t="str">
        <f>'Character Sheet'!$C$9</f>
        <v/>
      </c>
      <c r="G103" s="298" t="s">
        <v>294</v>
      </c>
      <c r="H103" s="298" t="s">
        <v>324</v>
      </c>
      <c r="I103" s="298" t="s">
        <v>884</v>
      </c>
      <c r="J103" s="298" t="s">
        <v>407</v>
      </c>
      <c r="K103" s="298" t="s">
        <v>298</v>
      </c>
      <c r="L103" s="298" t="s">
        <v>493</v>
      </c>
      <c r="M103" s="301" t="s">
        <v>1072</v>
      </c>
      <c r="N103" s="301" t="s">
        <v>1073</v>
      </c>
      <c r="O103" s="301" t="s">
        <v>1074</v>
      </c>
      <c r="P103" s="301" t="s">
        <v>1075</v>
      </c>
      <c r="Q103" s="301" t="s">
        <v>1076</v>
      </c>
      <c r="R103" s="301" t="s">
        <v>1077</v>
      </c>
      <c r="S103" s="301" t="s">
        <v>1078</v>
      </c>
      <c r="T103" s="301" t="s">
        <v>1079</v>
      </c>
      <c r="U103" s="301" t="s">
        <v>1080</v>
      </c>
      <c r="V103" s="301" t="s">
        <v>1081</v>
      </c>
      <c r="W103" s="298" t="s">
        <v>499</v>
      </c>
      <c r="X103" s="298" t="s">
        <v>1082</v>
      </c>
    </row>
    <row r="104">
      <c r="A104" s="295" t="s">
        <v>1083</v>
      </c>
      <c r="B104" s="298">
        <v>1.0</v>
      </c>
      <c r="C104" s="298" t="s">
        <v>288</v>
      </c>
      <c r="D104" s="298" t="s">
        <v>289</v>
      </c>
      <c r="E104" s="298" t="s">
        <v>290</v>
      </c>
      <c r="F104" s="298" t="str">
        <f>'Character Sheet'!$C$9</f>
        <v/>
      </c>
      <c r="G104" s="298" t="s">
        <v>294</v>
      </c>
      <c r="H104" s="298" t="s">
        <v>324</v>
      </c>
      <c r="I104" s="298" t="s">
        <v>884</v>
      </c>
      <c r="J104" s="298" t="s">
        <v>407</v>
      </c>
      <c r="K104" s="298" t="s">
        <v>298</v>
      </c>
      <c r="L104" s="298" t="s">
        <v>493</v>
      </c>
      <c r="M104" s="301" t="s">
        <v>1084</v>
      </c>
      <c r="N104" s="301" t="s">
        <v>1085</v>
      </c>
      <c r="O104" s="301" t="s">
        <v>1086</v>
      </c>
      <c r="P104" s="301" t="s">
        <v>1087</v>
      </c>
      <c r="Q104" s="301" t="s">
        <v>1088</v>
      </c>
      <c r="R104" s="301" t="s">
        <v>1089</v>
      </c>
      <c r="S104" s="301" t="s">
        <v>1090</v>
      </c>
      <c r="T104" s="301" t="s">
        <v>1091</v>
      </c>
      <c r="U104" s="301" t="s">
        <v>1092</v>
      </c>
      <c r="V104" s="301" t="s">
        <v>1093</v>
      </c>
      <c r="W104" s="298" t="s">
        <v>305</v>
      </c>
      <c r="X104" s="298" t="s">
        <v>306</v>
      </c>
    </row>
    <row r="105">
      <c r="A105" s="295" t="s">
        <v>1094</v>
      </c>
      <c r="B105" s="298">
        <v>1.0</v>
      </c>
      <c r="C105" s="298" t="s">
        <v>288</v>
      </c>
      <c r="D105" s="298" t="s">
        <v>359</v>
      </c>
      <c r="E105" s="298" t="s">
        <v>290</v>
      </c>
      <c r="F105" s="298" t="str">
        <f>'Character Sheet'!$C$9</f>
        <v/>
      </c>
      <c r="G105" s="298" t="s">
        <v>294</v>
      </c>
      <c r="H105" s="298" t="s">
        <v>295</v>
      </c>
      <c r="I105" s="298" t="s">
        <v>296</v>
      </c>
      <c r="J105" s="298" t="s">
        <v>192</v>
      </c>
      <c r="K105" s="298" t="s">
        <v>675</v>
      </c>
      <c r="L105" s="298" t="s">
        <v>493</v>
      </c>
      <c r="M105" s="301" t="s">
        <v>1095</v>
      </c>
      <c r="N105" s="301" t="s">
        <v>1095</v>
      </c>
      <c r="O105" s="301" t="s">
        <v>1095</v>
      </c>
      <c r="P105" s="301" t="s">
        <v>1096</v>
      </c>
      <c r="Q105" s="301" t="s">
        <v>1096</v>
      </c>
      <c r="R105" s="301" t="s">
        <v>1096</v>
      </c>
      <c r="S105" s="301" t="s">
        <v>1096</v>
      </c>
      <c r="T105" s="301" t="s">
        <v>1097</v>
      </c>
      <c r="U105" s="301" t="s">
        <v>1097</v>
      </c>
      <c r="V105" s="301" t="s">
        <v>1097</v>
      </c>
      <c r="W105" s="298" t="s">
        <v>357</v>
      </c>
      <c r="X105" s="298" t="s">
        <v>306</v>
      </c>
    </row>
    <row r="106">
      <c r="A106" s="295" t="s">
        <v>1098</v>
      </c>
      <c r="B106" s="298">
        <v>1.0</v>
      </c>
      <c r="C106" s="298" t="s">
        <v>288</v>
      </c>
      <c r="D106" s="298" t="s">
        <v>289</v>
      </c>
      <c r="E106" s="298" t="s">
        <v>290</v>
      </c>
      <c r="F106" s="298" t="str">
        <f>'Character Sheet'!$C$9</f>
        <v/>
      </c>
      <c r="G106" s="298" t="s">
        <v>294</v>
      </c>
      <c r="H106" s="298" t="s">
        <v>324</v>
      </c>
      <c r="I106" s="298" t="s">
        <v>884</v>
      </c>
      <c r="J106" s="298" t="s">
        <v>407</v>
      </c>
      <c r="K106" s="298" t="s">
        <v>298</v>
      </c>
      <c r="L106" s="298" t="s">
        <v>493</v>
      </c>
      <c r="M106" s="301" t="s">
        <v>1099</v>
      </c>
      <c r="N106" s="301" t="s">
        <v>1100</v>
      </c>
      <c r="O106" s="301" t="s">
        <v>1101</v>
      </c>
      <c r="P106" s="301" t="s">
        <v>1102</v>
      </c>
      <c r="Q106" s="301" t="s">
        <v>1103</v>
      </c>
      <c r="R106" s="301" t="s">
        <v>1104</v>
      </c>
      <c r="S106" s="301" t="s">
        <v>1105</v>
      </c>
      <c r="T106" s="301" t="s">
        <v>1106</v>
      </c>
      <c r="U106" s="301" t="s">
        <v>1107</v>
      </c>
      <c r="V106" s="301" t="s">
        <v>1108</v>
      </c>
      <c r="W106" s="298" t="s">
        <v>305</v>
      </c>
      <c r="X106" s="298" t="s">
        <v>678</v>
      </c>
    </row>
    <row r="107">
      <c r="A107" s="295" t="s">
        <v>1109</v>
      </c>
      <c r="B107" s="298">
        <v>1.0</v>
      </c>
      <c r="C107" s="298" t="s">
        <v>288</v>
      </c>
      <c r="D107" s="298" t="s">
        <v>321</v>
      </c>
      <c r="E107" s="298" t="s">
        <v>311</v>
      </c>
      <c r="F107" s="298" t="str">
        <f>'Character Sheet'!$C$9</f>
        <v/>
      </c>
      <c r="G107" s="298" t="s">
        <v>294</v>
      </c>
      <c r="H107" s="298" t="s">
        <v>324</v>
      </c>
      <c r="I107" s="298" t="s">
        <v>884</v>
      </c>
      <c r="J107" s="298" t="s">
        <v>192</v>
      </c>
      <c r="K107" s="298" t="s">
        <v>653</v>
      </c>
      <c r="L107" s="298" t="s">
        <v>493</v>
      </c>
      <c r="M107" s="301" t="s">
        <v>1110</v>
      </c>
      <c r="N107" s="301" t="s">
        <v>1110</v>
      </c>
      <c r="O107" s="301" t="s">
        <v>1110</v>
      </c>
      <c r="P107" s="301" t="s">
        <v>1110</v>
      </c>
      <c r="Q107" s="301" t="s">
        <v>1110</v>
      </c>
      <c r="R107" s="301" t="s">
        <v>1110</v>
      </c>
      <c r="S107" s="301" t="s">
        <v>1110</v>
      </c>
      <c r="T107" s="301" t="s">
        <v>1110</v>
      </c>
      <c r="U107" s="301" t="s">
        <v>1110</v>
      </c>
      <c r="V107" s="301" t="s">
        <v>1110</v>
      </c>
      <c r="W107" s="298" t="s">
        <v>460</v>
      </c>
      <c r="X107" s="298" t="s">
        <v>306</v>
      </c>
    </row>
    <row r="108">
      <c r="A108" s="295" t="s">
        <v>1111</v>
      </c>
      <c r="B108" s="298">
        <v>1.0</v>
      </c>
      <c r="C108" s="298" t="s">
        <v>288</v>
      </c>
      <c r="D108" s="298" t="s">
        <v>359</v>
      </c>
      <c r="E108" s="298" t="s">
        <v>290</v>
      </c>
      <c r="F108" s="298" t="str">
        <f>'Character Sheet'!$C$9</f>
        <v/>
      </c>
      <c r="G108" s="298" t="s">
        <v>294</v>
      </c>
      <c r="H108" s="298" t="s">
        <v>295</v>
      </c>
      <c r="I108" s="298" t="s">
        <v>296</v>
      </c>
      <c r="J108" s="298" t="s">
        <v>192</v>
      </c>
      <c r="K108" s="298" t="s">
        <v>507</v>
      </c>
      <c r="L108" s="298" t="s">
        <v>493</v>
      </c>
      <c r="M108" s="301" t="s">
        <v>1112</v>
      </c>
      <c r="N108" s="301" t="s">
        <v>1112</v>
      </c>
      <c r="O108" s="301" t="s">
        <v>1112</v>
      </c>
      <c r="P108" s="301" t="s">
        <v>1112</v>
      </c>
      <c r="Q108" s="301" t="s">
        <v>1113</v>
      </c>
      <c r="R108" s="301" t="s">
        <v>1113</v>
      </c>
      <c r="S108" s="301" t="s">
        <v>1113</v>
      </c>
      <c r="T108" s="301" t="s">
        <v>1113</v>
      </c>
      <c r="U108" s="301" t="s">
        <v>1113</v>
      </c>
      <c r="V108" s="301" t="s">
        <v>1113</v>
      </c>
      <c r="W108" s="298" t="s">
        <v>331</v>
      </c>
      <c r="X108" s="298" t="s">
        <v>306</v>
      </c>
    </row>
    <row r="109">
      <c r="A109" s="295" t="s">
        <v>1114</v>
      </c>
      <c r="B109" s="298">
        <v>1.0</v>
      </c>
      <c r="C109" s="298" t="s">
        <v>288</v>
      </c>
      <c r="D109" s="298" t="s">
        <v>289</v>
      </c>
      <c r="E109" s="298" t="s">
        <v>290</v>
      </c>
      <c r="F109" s="298" t="str">
        <f>'Character Sheet'!$N$9</f>
        <v/>
      </c>
      <c r="G109" s="298" t="s">
        <v>674</v>
      </c>
      <c r="H109" s="298" t="s">
        <v>295</v>
      </c>
      <c r="I109" s="298" t="s">
        <v>315</v>
      </c>
      <c r="J109" s="298" t="s">
        <v>336</v>
      </c>
      <c r="K109" s="298" t="s">
        <v>298</v>
      </c>
      <c r="L109" s="298" t="s">
        <v>493</v>
      </c>
      <c r="M109" s="301" t="s">
        <v>1115</v>
      </c>
      <c r="N109" s="301" t="s">
        <v>1116</v>
      </c>
      <c r="O109" s="301" t="s">
        <v>1117</v>
      </c>
      <c r="P109" s="301" t="s">
        <v>1118</v>
      </c>
      <c r="Q109" s="301" t="s">
        <v>1119</v>
      </c>
      <c r="R109" s="301" t="s">
        <v>1120</v>
      </c>
      <c r="S109" s="301" t="s">
        <v>1121</v>
      </c>
      <c r="T109" s="301" t="s">
        <v>1122</v>
      </c>
      <c r="U109" s="301" t="s">
        <v>1123</v>
      </c>
      <c r="V109" s="301" t="s">
        <v>1124</v>
      </c>
      <c r="W109" s="298" t="s">
        <v>429</v>
      </c>
      <c r="X109" s="298" t="s">
        <v>318</v>
      </c>
    </row>
    <row r="110">
      <c r="A110" s="295" t="s">
        <v>1125</v>
      </c>
      <c r="B110" s="298">
        <v>1.0</v>
      </c>
      <c r="C110" s="298" t="s">
        <v>288</v>
      </c>
      <c r="D110" s="298" t="s">
        <v>151</v>
      </c>
      <c r="E110" s="298" t="s">
        <v>311</v>
      </c>
      <c r="F110" s="298" t="str">
        <f>'Character Sheet'!$C$9</f>
        <v/>
      </c>
      <c r="G110" s="298" t="s">
        <v>294</v>
      </c>
      <c r="H110" s="298" t="s">
        <v>324</v>
      </c>
      <c r="I110" s="298" t="s">
        <v>315</v>
      </c>
      <c r="J110" s="298" t="s">
        <v>315</v>
      </c>
      <c r="K110" s="298" t="s">
        <v>298</v>
      </c>
      <c r="L110" s="298" t="s">
        <v>493</v>
      </c>
      <c r="M110" s="301" t="s">
        <v>1126</v>
      </c>
      <c r="N110" s="301" t="s">
        <v>1126</v>
      </c>
      <c r="O110" s="301" t="s">
        <v>1126</v>
      </c>
      <c r="P110" s="301" t="s">
        <v>1126</v>
      </c>
      <c r="Q110" s="301" t="s">
        <v>1126</v>
      </c>
      <c r="R110" s="301" t="s">
        <v>1126</v>
      </c>
      <c r="S110" s="301" t="s">
        <v>1126</v>
      </c>
      <c r="T110" s="301" t="s">
        <v>1126</v>
      </c>
      <c r="U110" s="301" t="s">
        <v>1126</v>
      </c>
      <c r="V110" s="301" t="s">
        <v>1126</v>
      </c>
      <c r="W110" s="298" t="s">
        <v>993</v>
      </c>
      <c r="X110" s="298" t="s">
        <v>306</v>
      </c>
    </row>
    <row r="111">
      <c r="A111" s="295" t="s">
        <v>1128</v>
      </c>
      <c r="B111" s="298">
        <v>1.0</v>
      </c>
      <c r="C111" s="298" t="s">
        <v>288</v>
      </c>
      <c r="D111" s="298" t="s">
        <v>359</v>
      </c>
      <c r="E111" s="298" t="s">
        <v>311</v>
      </c>
      <c r="F111" s="298" t="str">
        <f>'Character Sheet'!$C$9</f>
        <v/>
      </c>
      <c r="G111" s="298" t="s">
        <v>294</v>
      </c>
      <c r="H111" s="298" t="s">
        <v>708</v>
      </c>
      <c r="I111" s="298" t="s">
        <v>296</v>
      </c>
      <c r="J111" s="298" t="s">
        <v>192</v>
      </c>
      <c r="K111" s="298" t="s">
        <v>1129</v>
      </c>
      <c r="L111" s="298" t="s">
        <v>493</v>
      </c>
      <c r="M111" s="301" t="s">
        <v>1130</v>
      </c>
      <c r="N111" s="301" t="s">
        <v>1130</v>
      </c>
      <c r="O111" s="301" t="s">
        <v>1130</v>
      </c>
      <c r="P111" s="301" t="s">
        <v>1130</v>
      </c>
      <c r="Q111" s="301" t="s">
        <v>1130</v>
      </c>
      <c r="R111" s="301" t="s">
        <v>1130</v>
      </c>
      <c r="S111" s="301" t="s">
        <v>1130</v>
      </c>
      <c r="T111" s="301" t="s">
        <v>1130</v>
      </c>
      <c r="U111" s="301" t="s">
        <v>1130</v>
      </c>
      <c r="V111" s="301" t="s">
        <v>1130</v>
      </c>
      <c r="W111" s="298" t="s">
        <v>460</v>
      </c>
      <c r="X111" s="298" t="s">
        <v>678</v>
      </c>
    </row>
    <row r="112">
      <c r="A112" s="295" t="s">
        <v>1131</v>
      </c>
      <c r="B112" s="298">
        <v>1.0</v>
      </c>
      <c r="C112" s="298" t="s">
        <v>522</v>
      </c>
      <c r="D112" s="298" t="s">
        <v>310</v>
      </c>
      <c r="E112" s="298" t="s">
        <v>290</v>
      </c>
      <c r="F112" s="298" t="str">
        <f>'Character Sheet'!$C$9</f>
        <v/>
      </c>
      <c r="G112" s="298" t="s">
        <v>294</v>
      </c>
      <c r="H112" s="298" t="s">
        <v>324</v>
      </c>
      <c r="I112" s="298" t="s">
        <v>1132</v>
      </c>
      <c r="J112" s="298" t="s">
        <v>315</v>
      </c>
      <c r="K112" s="298" t="s">
        <v>298</v>
      </c>
      <c r="L112" s="298" t="s">
        <v>493</v>
      </c>
      <c r="M112" s="301" t="s">
        <v>1133</v>
      </c>
      <c r="N112" s="301" t="s">
        <v>1134</v>
      </c>
      <c r="O112" s="301" t="s">
        <v>1134</v>
      </c>
      <c r="P112" s="301" t="s">
        <v>1134</v>
      </c>
      <c r="Q112" s="301" t="s">
        <v>1134</v>
      </c>
      <c r="R112" s="301" t="s">
        <v>1134</v>
      </c>
      <c r="S112" s="301" t="s">
        <v>1134</v>
      </c>
      <c r="T112" s="301" t="s">
        <v>1134</v>
      </c>
      <c r="U112" s="301" t="s">
        <v>1134</v>
      </c>
      <c r="V112" s="301" t="s">
        <v>1134</v>
      </c>
      <c r="W112" s="298" t="s">
        <v>429</v>
      </c>
      <c r="X112" s="298" t="s">
        <v>306</v>
      </c>
    </row>
    <row r="113">
      <c r="A113" s="295" t="s">
        <v>1135</v>
      </c>
      <c r="B113" s="298">
        <v>1.0</v>
      </c>
      <c r="C113" s="298" t="s">
        <v>522</v>
      </c>
      <c r="D113" s="298" t="s">
        <v>310</v>
      </c>
      <c r="E113" s="298" t="s">
        <v>290</v>
      </c>
      <c r="F113" s="298" t="str">
        <f>'Character Sheet'!$C$9</f>
        <v/>
      </c>
      <c r="G113" s="298" t="s">
        <v>294</v>
      </c>
      <c r="H113" s="298" t="s">
        <v>295</v>
      </c>
      <c r="I113" s="298" t="s">
        <v>1136</v>
      </c>
      <c r="J113" s="298" t="s">
        <v>315</v>
      </c>
      <c r="K113" s="298" t="s">
        <v>298</v>
      </c>
      <c r="L113" s="298" t="s">
        <v>493</v>
      </c>
      <c r="M113" s="301" t="s">
        <v>1137</v>
      </c>
      <c r="N113" s="301" t="s">
        <v>1138</v>
      </c>
      <c r="O113" s="301" t="s">
        <v>1138</v>
      </c>
      <c r="P113" s="301" t="s">
        <v>1138</v>
      </c>
      <c r="Q113" s="301" t="s">
        <v>1138</v>
      </c>
      <c r="R113" s="301" t="s">
        <v>1138</v>
      </c>
      <c r="S113" s="301" t="s">
        <v>1138</v>
      </c>
      <c r="T113" s="301" t="s">
        <v>1138</v>
      </c>
      <c r="U113" s="301" t="s">
        <v>1138</v>
      </c>
      <c r="V113" s="301" t="s">
        <v>1138</v>
      </c>
      <c r="W113" s="298" t="s">
        <v>389</v>
      </c>
      <c r="X113" s="298" t="s">
        <v>306</v>
      </c>
    </row>
    <row r="114">
      <c r="A114" s="295" t="s">
        <v>1139</v>
      </c>
      <c r="B114" s="298">
        <v>1.0</v>
      </c>
      <c r="C114" s="298" t="s">
        <v>288</v>
      </c>
      <c r="D114" s="298" t="s">
        <v>334</v>
      </c>
      <c r="E114" s="298" t="s">
        <v>290</v>
      </c>
      <c r="F114" s="298" t="str">
        <f>'Character Sheet'!$C$9</f>
        <v/>
      </c>
      <c r="G114" s="298" t="s">
        <v>294</v>
      </c>
      <c r="H114" s="298" t="s">
        <v>335</v>
      </c>
      <c r="I114" s="298" t="s">
        <v>1140</v>
      </c>
      <c r="J114" s="298" t="s">
        <v>315</v>
      </c>
      <c r="K114" s="298" t="s">
        <v>632</v>
      </c>
      <c r="L114" s="298" t="s">
        <v>493</v>
      </c>
      <c r="M114" s="301" t="s">
        <v>1141</v>
      </c>
      <c r="N114" s="301" t="s">
        <v>1141</v>
      </c>
      <c r="O114" s="301" t="s">
        <v>1142</v>
      </c>
      <c r="P114" s="301" t="s">
        <v>1142</v>
      </c>
      <c r="Q114" s="301" t="s">
        <v>1143</v>
      </c>
      <c r="R114" s="301" t="s">
        <v>1143</v>
      </c>
      <c r="S114" s="301" t="s">
        <v>1143</v>
      </c>
      <c r="T114" s="301" t="s">
        <v>1143</v>
      </c>
      <c r="U114" s="301" t="s">
        <v>1143</v>
      </c>
      <c r="V114" s="301" t="s">
        <v>1143</v>
      </c>
      <c r="W114" s="298" t="s">
        <v>404</v>
      </c>
      <c r="X114" s="298" t="s">
        <v>306</v>
      </c>
    </row>
    <row r="115">
      <c r="A115" s="295" t="s">
        <v>1144</v>
      </c>
      <c r="B115" s="298">
        <v>1.0</v>
      </c>
      <c r="C115" s="298" t="s">
        <v>288</v>
      </c>
      <c r="D115" s="298" t="s">
        <v>359</v>
      </c>
      <c r="E115" s="298" t="s">
        <v>290</v>
      </c>
      <c r="F115" s="298" t="str">
        <f>'Character Sheet'!$C$9</f>
        <v/>
      </c>
      <c r="G115" s="298" t="s">
        <v>294</v>
      </c>
      <c r="H115" s="298" t="s">
        <v>352</v>
      </c>
      <c r="I115" s="298" t="s">
        <v>296</v>
      </c>
      <c r="J115" s="298" t="s">
        <v>192</v>
      </c>
      <c r="K115" s="298" t="s">
        <v>632</v>
      </c>
      <c r="L115" s="298" t="s">
        <v>493</v>
      </c>
      <c r="M115" s="301" t="s">
        <v>1145</v>
      </c>
      <c r="N115" s="301" t="s">
        <v>1146</v>
      </c>
      <c r="O115" s="301" t="s">
        <v>1147</v>
      </c>
      <c r="P115" s="301" t="s">
        <v>1148</v>
      </c>
      <c r="Q115" s="301" t="s">
        <v>1149</v>
      </c>
      <c r="R115" s="301" t="s">
        <v>1150</v>
      </c>
      <c r="S115" s="301" t="s">
        <v>1151</v>
      </c>
      <c r="T115" s="301" t="s">
        <v>1152</v>
      </c>
      <c r="U115" s="301" t="s">
        <v>1153</v>
      </c>
      <c r="V115" s="301" t="s">
        <v>1154</v>
      </c>
      <c r="W115" s="298" t="s">
        <v>460</v>
      </c>
      <c r="X115" s="298" t="s">
        <v>318</v>
      </c>
    </row>
    <row r="116">
      <c r="A116" s="295" t="s">
        <v>1155</v>
      </c>
      <c r="B116" s="298">
        <v>1.0</v>
      </c>
      <c r="C116" s="298" t="s">
        <v>288</v>
      </c>
      <c r="D116" s="298" t="s">
        <v>289</v>
      </c>
      <c r="E116" s="298" t="s">
        <v>290</v>
      </c>
      <c r="F116" s="298" t="str">
        <f>'Character Sheet'!$C$9</f>
        <v/>
      </c>
      <c r="G116" s="298" t="s">
        <v>294</v>
      </c>
      <c r="H116" s="298" t="s">
        <v>335</v>
      </c>
      <c r="I116" s="298" t="s">
        <v>1156</v>
      </c>
      <c r="J116" s="298" t="s">
        <v>315</v>
      </c>
      <c r="K116" s="298" t="s">
        <v>632</v>
      </c>
      <c r="L116" s="298" t="s">
        <v>493</v>
      </c>
      <c r="M116" s="301" t="s">
        <v>1157</v>
      </c>
      <c r="N116" s="301" t="s">
        <v>1157</v>
      </c>
      <c r="O116" s="301" t="s">
        <v>1158</v>
      </c>
      <c r="P116" s="301" t="s">
        <v>1158</v>
      </c>
      <c r="Q116" s="301" t="s">
        <v>1159</v>
      </c>
      <c r="R116" s="301" t="s">
        <v>1159</v>
      </c>
      <c r="S116" s="301" t="s">
        <v>1160</v>
      </c>
      <c r="T116" s="301" t="s">
        <v>1160</v>
      </c>
      <c r="U116" s="301" t="s">
        <v>1161</v>
      </c>
      <c r="V116" s="301" t="s">
        <v>1161</v>
      </c>
      <c r="W116" s="298" t="s">
        <v>331</v>
      </c>
      <c r="X116" s="298" t="s">
        <v>318</v>
      </c>
    </row>
    <row r="117">
      <c r="A117" s="295" t="s">
        <v>1162</v>
      </c>
      <c r="B117" s="298">
        <v>1.0</v>
      </c>
      <c r="C117" s="298" t="s">
        <v>288</v>
      </c>
      <c r="D117" s="298" t="s">
        <v>359</v>
      </c>
      <c r="E117" s="298" t="s">
        <v>290</v>
      </c>
      <c r="F117" s="298" t="str">
        <f>'Character Sheet'!$B$9</f>
        <v/>
      </c>
      <c r="G117" s="298" t="s">
        <v>493</v>
      </c>
      <c r="H117" s="298" t="s">
        <v>335</v>
      </c>
      <c r="I117" s="298" t="s">
        <v>296</v>
      </c>
      <c r="J117" s="298" t="s">
        <v>315</v>
      </c>
      <c r="K117" s="298" t="s">
        <v>478</v>
      </c>
      <c r="L117" s="298" t="s">
        <v>493</v>
      </c>
      <c r="M117" s="301" t="s">
        <v>1163</v>
      </c>
      <c r="N117" s="301" t="s">
        <v>1164</v>
      </c>
      <c r="O117" s="301" t="s">
        <v>1165</v>
      </c>
      <c r="P117" s="301" t="s">
        <v>1166</v>
      </c>
      <c r="Q117" s="301" t="s">
        <v>1167</v>
      </c>
      <c r="R117" s="301" t="s">
        <v>1168</v>
      </c>
      <c r="S117" s="301" t="s">
        <v>1169</v>
      </c>
      <c r="T117" s="301" t="s">
        <v>1170</v>
      </c>
      <c r="U117" s="301" t="s">
        <v>1171</v>
      </c>
      <c r="V117" s="301" t="s">
        <v>1172</v>
      </c>
      <c r="W117" s="298" t="s">
        <v>460</v>
      </c>
      <c r="X117" s="298" t="s">
        <v>966</v>
      </c>
    </row>
    <row r="118">
      <c r="A118" s="295" t="s">
        <v>1173</v>
      </c>
      <c r="B118" s="298">
        <v>1.0</v>
      </c>
      <c r="C118" s="298" t="s">
        <v>522</v>
      </c>
      <c r="D118" s="298" t="s">
        <v>321</v>
      </c>
      <c r="E118" s="298" t="s">
        <v>311</v>
      </c>
      <c r="F118" s="298" t="str">
        <f>'Character Sheet'!$C$9</f>
        <v/>
      </c>
      <c r="G118" s="298" t="s">
        <v>294</v>
      </c>
      <c r="H118" s="298" t="s">
        <v>335</v>
      </c>
      <c r="I118" s="298" t="s">
        <v>296</v>
      </c>
      <c r="J118" s="298" t="s">
        <v>192</v>
      </c>
      <c r="K118" s="298" t="s">
        <v>1174</v>
      </c>
      <c r="L118" s="298" t="s">
        <v>493</v>
      </c>
      <c r="M118" s="301" t="s">
        <v>1175</v>
      </c>
      <c r="N118" s="301" t="s">
        <v>1175</v>
      </c>
      <c r="O118" s="301" t="s">
        <v>1175</v>
      </c>
      <c r="P118" s="301" t="s">
        <v>1175</v>
      </c>
      <c r="Q118" s="301" t="s">
        <v>1175</v>
      </c>
      <c r="R118" s="301" t="s">
        <v>1175</v>
      </c>
      <c r="S118" s="301" t="s">
        <v>1175</v>
      </c>
      <c r="T118" s="301" t="s">
        <v>1175</v>
      </c>
      <c r="U118" s="301" t="s">
        <v>1175</v>
      </c>
      <c r="V118" s="301" t="s">
        <v>1175</v>
      </c>
      <c r="W118" s="298" t="s">
        <v>460</v>
      </c>
      <c r="X118" s="298" t="s">
        <v>799</v>
      </c>
    </row>
    <row r="119">
      <c r="A119" s="295" t="s">
        <v>1176</v>
      </c>
      <c r="B119" s="298">
        <v>1.0</v>
      </c>
      <c r="C119" s="298" t="s">
        <v>288</v>
      </c>
      <c r="D119" s="298" t="s">
        <v>359</v>
      </c>
      <c r="E119" s="298" t="s">
        <v>290</v>
      </c>
      <c r="F119" s="298" t="str">
        <f>'Character Sheet'!$C$9</f>
        <v/>
      </c>
      <c r="G119" s="298" t="s">
        <v>294</v>
      </c>
      <c r="H119" s="298" t="s">
        <v>295</v>
      </c>
      <c r="I119" s="298" t="s">
        <v>296</v>
      </c>
      <c r="J119" s="298" t="s">
        <v>192</v>
      </c>
      <c r="K119" s="298" t="s">
        <v>298</v>
      </c>
      <c r="L119" s="298" t="s">
        <v>493</v>
      </c>
      <c r="M119" s="301" t="s">
        <v>1177</v>
      </c>
      <c r="N119" s="301" t="s">
        <v>1177</v>
      </c>
      <c r="O119" s="301" t="s">
        <v>1178</v>
      </c>
      <c r="P119" s="301" t="s">
        <v>1178</v>
      </c>
      <c r="Q119" s="301" t="s">
        <v>1178</v>
      </c>
      <c r="R119" s="301" t="s">
        <v>1178</v>
      </c>
      <c r="S119" s="301" t="s">
        <v>1178</v>
      </c>
      <c r="T119" s="301" t="s">
        <v>1178</v>
      </c>
      <c r="U119" s="301" t="s">
        <v>1178</v>
      </c>
      <c r="V119" s="301" t="s">
        <v>1178</v>
      </c>
      <c r="W119" s="298" t="s">
        <v>317</v>
      </c>
      <c r="X119" s="298" t="s">
        <v>306</v>
      </c>
    </row>
    <row r="120">
      <c r="A120" s="295" t="s">
        <v>1179</v>
      </c>
      <c r="B120" s="298">
        <v>1.0</v>
      </c>
      <c r="C120" s="298" t="s">
        <v>288</v>
      </c>
      <c r="D120" s="298" t="s">
        <v>421</v>
      </c>
      <c r="E120" s="298" t="s">
        <v>311</v>
      </c>
      <c r="F120" s="298" t="str">
        <f>'Character Sheet'!$K$9</f>
        <v/>
      </c>
      <c r="G120" s="298" t="s">
        <v>477</v>
      </c>
      <c r="H120" s="298" t="s">
        <v>360</v>
      </c>
      <c r="I120" s="298" t="s">
        <v>296</v>
      </c>
      <c r="J120" s="298" t="s">
        <v>315</v>
      </c>
      <c r="K120" s="298" t="s">
        <v>632</v>
      </c>
      <c r="L120" s="298" t="s">
        <v>493</v>
      </c>
      <c r="M120" s="301" t="s">
        <v>1180</v>
      </c>
      <c r="N120" s="301" t="s">
        <v>1180</v>
      </c>
      <c r="O120" s="301" t="s">
        <v>1180</v>
      </c>
      <c r="P120" s="301" t="s">
        <v>1180</v>
      </c>
      <c r="Q120" s="301" t="s">
        <v>1180</v>
      </c>
      <c r="R120" s="301" t="s">
        <v>1180</v>
      </c>
      <c r="S120" s="301" t="s">
        <v>1180</v>
      </c>
      <c r="T120" s="301" t="s">
        <v>1180</v>
      </c>
      <c r="U120" s="301" t="s">
        <v>1180</v>
      </c>
      <c r="V120" s="301" t="s">
        <v>1180</v>
      </c>
      <c r="W120" s="298" t="s">
        <v>305</v>
      </c>
      <c r="X120" s="298" t="s">
        <v>306</v>
      </c>
    </row>
    <row r="121">
      <c r="A121" s="295" t="s">
        <v>1181</v>
      </c>
      <c r="B121" s="298">
        <v>1.0</v>
      </c>
      <c r="C121" s="298" t="s">
        <v>288</v>
      </c>
      <c r="D121" s="298" t="s">
        <v>462</v>
      </c>
      <c r="E121" s="298" t="s">
        <v>311</v>
      </c>
      <c r="F121" s="298" t="str">
        <f>'Character Sheet'!$C$9</f>
        <v/>
      </c>
      <c r="G121" s="298" t="s">
        <v>294</v>
      </c>
      <c r="H121" s="298" t="s">
        <v>324</v>
      </c>
      <c r="I121" s="298" t="s">
        <v>324</v>
      </c>
      <c r="J121" s="298" t="s">
        <v>315</v>
      </c>
      <c r="K121" s="298" t="s">
        <v>632</v>
      </c>
      <c r="L121" s="298" t="s">
        <v>493</v>
      </c>
      <c r="M121" s="301" t="s">
        <v>1182</v>
      </c>
      <c r="N121" s="301" t="s">
        <v>1182</v>
      </c>
      <c r="O121" s="301" t="s">
        <v>1182</v>
      </c>
      <c r="P121" s="301" t="s">
        <v>1182</v>
      </c>
      <c r="Q121" s="301" t="s">
        <v>1182</v>
      </c>
      <c r="R121" s="301" t="s">
        <v>1182</v>
      </c>
      <c r="S121" s="301" t="s">
        <v>1182</v>
      </c>
      <c r="T121" s="301" t="s">
        <v>1182</v>
      </c>
      <c r="U121" s="301" t="s">
        <v>1182</v>
      </c>
      <c r="V121" s="301" t="s">
        <v>1182</v>
      </c>
      <c r="W121" s="298" t="s">
        <v>305</v>
      </c>
      <c r="X121" s="298" t="s">
        <v>306</v>
      </c>
    </row>
    <row r="122">
      <c r="A122" s="295" t="s">
        <v>1183</v>
      </c>
      <c r="B122" s="298">
        <v>1.0</v>
      </c>
      <c r="C122" s="298" t="s">
        <v>288</v>
      </c>
      <c r="D122" s="298" t="s">
        <v>151</v>
      </c>
      <c r="E122" s="298" t="s">
        <v>311</v>
      </c>
      <c r="F122" s="298" t="str">
        <f>'Character Sheet'!$C$9</f>
        <v/>
      </c>
      <c r="G122" s="298" t="s">
        <v>294</v>
      </c>
      <c r="H122" s="298" t="s">
        <v>494</v>
      </c>
      <c r="I122" s="298" t="s">
        <v>315</v>
      </c>
      <c r="J122" s="298" t="s">
        <v>315</v>
      </c>
      <c r="K122" s="298" t="s">
        <v>1001</v>
      </c>
      <c r="L122" s="298" t="s">
        <v>493</v>
      </c>
      <c r="M122" s="301" t="s">
        <v>1184</v>
      </c>
      <c r="N122" s="301" t="s">
        <v>1184</v>
      </c>
      <c r="O122" s="301" t="s">
        <v>1184</v>
      </c>
      <c r="P122" s="301" t="s">
        <v>1184</v>
      </c>
      <c r="Q122" s="301" t="s">
        <v>1184</v>
      </c>
      <c r="R122" s="301" t="s">
        <v>1184</v>
      </c>
      <c r="S122" s="301" t="s">
        <v>1184</v>
      </c>
      <c r="T122" s="301" t="s">
        <v>1184</v>
      </c>
      <c r="U122" s="301" t="s">
        <v>1184</v>
      </c>
      <c r="V122" s="301" t="s">
        <v>1184</v>
      </c>
      <c r="W122" s="298" t="s">
        <v>460</v>
      </c>
      <c r="X122" s="298" t="s">
        <v>306</v>
      </c>
    </row>
    <row r="123">
      <c r="A123" s="295" t="s">
        <v>1185</v>
      </c>
      <c r="B123" s="298">
        <v>1.0</v>
      </c>
      <c r="C123" s="298" t="s">
        <v>522</v>
      </c>
      <c r="D123" s="298" t="s">
        <v>359</v>
      </c>
      <c r="E123" s="298" t="s">
        <v>290</v>
      </c>
      <c r="F123" s="298" t="str">
        <f>'Character Sheet'!$C$9</f>
        <v/>
      </c>
      <c r="G123" s="298" t="s">
        <v>294</v>
      </c>
      <c r="H123" s="298" t="s">
        <v>295</v>
      </c>
      <c r="I123" s="298" t="s">
        <v>296</v>
      </c>
      <c r="J123" s="298" t="s">
        <v>192</v>
      </c>
      <c r="K123" s="298" t="s">
        <v>1174</v>
      </c>
      <c r="L123" s="298" t="s">
        <v>493</v>
      </c>
      <c r="M123" s="301" t="s">
        <v>1186</v>
      </c>
      <c r="N123" s="301" t="s">
        <v>1186</v>
      </c>
      <c r="O123" s="301" t="s">
        <v>1186</v>
      </c>
      <c r="P123" s="301" t="s">
        <v>1187</v>
      </c>
      <c r="Q123" s="301" t="s">
        <v>1187</v>
      </c>
      <c r="R123" s="301" t="s">
        <v>1187</v>
      </c>
      <c r="S123" s="301" t="s">
        <v>1187</v>
      </c>
      <c r="T123" s="301" t="s">
        <v>1187</v>
      </c>
      <c r="U123" s="301" t="s">
        <v>1187</v>
      </c>
      <c r="V123" s="301" t="s">
        <v>1187</v>
      </c>
      <c r="W123" s="298" t="s">
        <v>429</v>
      </c>
      <c r="X123" s="298" t="s">
        <v>1082</v>
      </c>
    </row>
    <row r="124">
      <c r="A124" s="295" t="s">
        <v>1188</v>
      </c>
      <c r="B124" s="298">
        <v>1.0</v>
      </c>
      <c r="C124" s="298" t="s">
        <v>522</v>
      </c>
      <c r="D124" s="298" t="s">
        <v>289</v>
      </c>
      <c r="E124" s="298" t="s">
        <v>311</v>
      </c>
      <c r="F124" s="298" t="str">
        <f>'Character Sheet'!$C$9</f>
        <v/>
      </c>
      <c r="G124" s="298" t="s">
        <v>294</v>
      </c>
      <c r="H124" s="298" t="s">
        <v>295</v>
      </c>
      <c r="I124" s="298" t="s">
        <v>1189</v>
      </c>
      <c r="J124" s="298" t="s">
        <v>315</v>
      </c>
      <c r="K124" s="298" t="s">
        <v>298</v>
      </c>
      <c r="L124" s="298" t="s">
        <v>493</v>
      </c>
      <c r="M124" s="301" t="s">
        <v>1190</v>
      </c>
      <c r="N124" s="301" t="s">
        <v>1190</v>
      </c>
      <c r="O124" s="301" t="s">
        <v>1190</v>
      </c>
      <c r="P124" s="301" t="s">
        <v>1190</v>
      </c>
      <c r="Q124" s="301" t="s">
        <v>1190</v>
      </c>
      <c r="R124" s="301" t="s">
        <v>1190</v>
      </c>
      <c r="S124" s="301" t="s">
        <v>1190</v>
      </c>
      <c r="T124" s="301" t="s">
        <v>1190</v>
      </c>
      <c r="U124" s="301" t="s">
        <v>1190</v>
      </c>
      <c r="V124" s="301" t="s">
        <v>1190</v>
      </c>
      <c r="W124" s="298" t="s">
        <v>460</v>
      </c>
      <c r="X124" s="298" t="s">
        <v>997</v>
      </c>
    </row>
    <row r="125">
      <c r="A125" s="295" t="s">
        <v>1191</v>
      </c>
      <c r="B125" s="298">
        <v>1.0</v>
      </c>
      <c r="C125" s="298" t="s">
        <v>288</v>
      </c>
      <c r="D125" s="298" t="s">
        <v>334</v>
      </c>
      <c r="E125" s="298" t="s">
        <v>311</v>
      </c>
      <c r="F125" s="298" t="str">
        <f>'Character Sheet'!$C$9</f>
        <v/>
      </c>
      <c r="G125" s="298" t="s">
        <v>294</v>
      </c>
      <c r="H125" s="298" t="s">
        <v>335</v>
      </c>
      <c r="I125" s="298" t="s">
        <v>296</v>
      </c>
      <c r="J125" s="298" t="s">
        <v>336</v>
      </c>
      <c r="K125" s="298" t="s">
        <v>315</v>
      </c>
      <c r="L125" s="298" t="s">
        <v>493</v>
      </c>
      <c r="M125" s="301" t="s">
        <v>1192</v>
      </c>
      <c r="N125" s="301" t="s">
        <v>1192</v>
      </c>
      <c r="O125" s="301" t="s">
        <v>1192</v>
      </c>
      <c r="P125" s="301" t="s">
        <v>1192</v>
      </c>
      <c r="Q125" s="301" t="s">
        <v>1192</v>
      </c>
      <c r="R125" s="301" t="s">
        <v>1192</v>
      </c>
      <c r="S125" s="301" t="s">
        <v>1192</v>
      </c>
      <c r="T125" s="301" t="s">
        <v>1192</v>
      </c>
      <c r="U125" s="301" t="s">
        <v>1192</v>
      </c>
      <c r="V125" s="301" t="s">
        <v>1192</v>
      </c>
      <c r="W125" s="298" t="s">
        <v>305</v>
      </c>
      <c r="X125" s="298" t="s">
        <v>306</v>
      </c>
    </row>
    <row r="126">
      <c r="A126" s="295" t="s">
        <v>1193</v>
      </c>
      <c r="B126" s="298">
        <v>1.0</v>
      </c>
      <c r="C126" s="298" t="s">
        <v>288</v>
      </c>
      <c r="D126" s="298" t="s">
        <v>289</v>
      </c>
      <c r="E126" s="298" t="s">
        <v>311</v>
      </c>
      <c r="F126" s="298" t="str">
        <f>'Character Sheet'!$N$9</f>
        <v/>
      </c>
      <c r="G126" s="298" t="s">
        <v>674</v>
      </c>
      <c r="H126" s="298" t="s">
        <v>295</v>
      </c>
      <c r="I126" s="298" t="s">
        <v>296</v>
      </c>
      <c r="J126" s="298" t="s">
        <v>173</v>
      </c>
      <c r="K126" s="298" t="s">
        <v>298</v>
      </c>
      <c r="L126" s="298" t="s">
        <v>493</v>
      </c>
      <c r="M126" s="301" t="s">
        <v>1194</v>
      </c>
      <c r="N126" s="301" t="s">
        <v>1194</v>
      </c>
      <c r="O126" s="301" t="s">
        <v>1194</v>
      </c>
      <c r="P126" s="301" t="s">
        <v>1194</v>
      </c>
      <c r="Q126" s="301" t="s">
        <v>1194</v>
      </c>
      <c r="R126" s="301" t="s">
        <v>1194</v>
      </c>
      <c r="S126" s="301" t="s">
        <v>1194</v>
      </c>
      <c r="T126" s="301" t="s">
        <v>1194</v>
      </c>
      <c r="U126" s="301" t="s">
        <v>1194</v>
      </c>
      <c r="V126" s="301" t="s">
        <v>1194</v>
      </c>
      <c r="W126" s="298" t="s">
        <v>460</v>
      </c>
      <c r="X126" s="298" t="s">
        <v>318</v>
      </c>
    </row>
    <row r="127">
      <c r="A127" s="295" t="s">
        <v>1195</v>
      </c>
      <c r="B127" s="298">
        <v>1.0</v>
      </c>
      <c r="C127" s="298" t="s">
        <v>288</v>
      </c>
      <c r="D127" s="298" t="s">
        <v>151</v>
      </c>
      <c r="E127" s="298" t="s">
        <v>311</v>
      </c>
      <c r="F127" s="298" t="str">
        <f>'Character Sheet'!$C$9</f>
        <v/>
      </c>
      <c r="G127" s="298" t="s">
        <v>294</v>
      </c>
      <c r="H127" s="298" t="s">
        <v>295</v>
      </c>
      <c r="I127" s="298" t="s">
        <v>1196</v>
      </c>
      <c r="J127" s="298" t="s">
        <v>1197</v>
      </c>
      <c r="K127" s="298" t="s">
        <v>632</v>
      </c>
      <c r="L127" s="298" t="s">
        <v>493</v>
      </c>
      <c r="M127" s="301" t="s">
        <v>1198</v>
      </c>
      <c r="N127" s="301" t="s">
        <v>1198</v>
      </c>
      <c r="O127" s="301" t="s">
        <v>1198</v>
      </c>
      <c r="P127" s="301" t="s">
        <v>1198</v>
      </c>
      <c r="Q127" s="301" t="s">
        <v>1198</v>
      </c>
      <c r="R127" s="301" t="s">
        <v>1198</v>
      </c>
      <c r="S127" s="301" t="s">
        <v>1198</v>
      </c>
      <c r="T127" s="301" t="s">
        <v>1198</v>
      </c>
      <c r="U127" s="301" t="s">
        <v>1198</v>
      </c>
      <c r="V127" s="301" t="s">
        <v>1198</v>
      </c>
      <c r="W127" s="298" t="s">
        <v>305</v>
      </c>
      <c r="X127" s="298" t="s">
        <v>306</v>
      </c>
    </row>
    <row r="128">
      <c r="A128" s="295" t="s">
        <v>1199</v>
      </c>
      <c r="B128" s="298">
        <v>1.0</v>
      </c>
      <c r="C128" s="298" t="s">
        <v>288</v>
      </c>
      <c r="D128" s="298" t="s">
        <v>334</v>
      </c>
      <c r="E128" s="298" t="s">
        <v>290</v>
      </c>
      <c r="F128" s="298" t="str">
        <f>'Character Sheet'!$C$9</f>
        <v/>
      </c>
      <c r="G128" s="298" t="s">
        <v>294</v>
      </c>
      <c r="H128" s="298" t="s">
        <v>324</v>
      </c>
      <c r="I128" s="298" t="s">
        <v>1200</v>
      </c>
      <c r="J128" s="298" t="s">
        <v>336</v>
      </c>
      <c r="K128" s="298" t="s">
        <v>298</v>
      </c>
      <c r="L128" s="298" t="s">
        <v>493</v>
      </c>
      <c r="M128" s="301" t="s">
        <v>1201</v>
      </c>
      <c r="N128" s="301" t="s">
        <v>1202</v>
      </c>
      <c r="O128" s="301" t="s">
        <v>1203</v>
      </c>
      <c r="P128" s="301" t="s">
        <v>1204</v>
      </c>
      <c r="Q128" s="301" t="s">
        <v>1205</v>
      </c>
      <c r="R128" s="301" t="s">
        <v>1206</v>
      </c>
      <c r="S128" s="301" t="s">
        <v>1207</v>
      </c>
      <c r="T128" s="301" t="s">
        <v>1208</v>
      </c>
      <c r="U128" s="301" t="s">
        <v>1209</v>
      </c>
      <c r="V128" s="301" t="s">
        <v>1210</v>
      </c>
      <c r="W128" s="298" t="s">
        <v>460</v>
      </c>
      <c r="X128" s="298" t="s">
        <v>306</v>
      </c>
    </row>
    <row r="129">
      <c r="A129" s="295" t="s">
        <v>1211</v>
      </c>
      <c r="B129" s="298">
        <v>1.0</v>
      </c>
      <c r="C129" s="298" t="s">
        <v>522</v>
      </c>
      <c r="D129" s="298" t="s">
        <v>289</v>
      </c>
      <c r="E129" s="298" t="s">
        <v>290</v>
      </c>
      <c r="F129" s="298" t="str">
        <f>'Character Sheet'!$C$9</f>
        <v/>
      </c>
      <c r="G129" s="298" t="s">
        <v>294</v>
      </c>
      <c r="H129" s="298" t="s">
        <v>324</v>
      </c>
      <c r="I129" s="298" t="s">
        <v>884</v>
      </c>
      <c r="J129" s="298" t="s">
        <v>336</v>
      </c>
      <c r="K129" s="298" t="s">
        <v>1174</v>
      </c>
      <c r="L129" s="298" t="s">
        <v>493</v>
      </c>
      <c r="M129" s="301" t="s">
        <v>1212</v>
      </c>
      <c r="N129" s="301" t="s">
        <v>1213</v>
      </c>
      <c r="O129" s="301" t="s">
        <v>1214</v>
      </c>
      <c r="P129" s="301" t="s">
        <v>1215</v>
      </c>
      <c r="Q129" s="301" t="s">
        <v>1216</v>
      </c>
      <c r="R129" s="301" t="s">
        <v>1217</v>
      </c>
      <c r="S129" s="301" t="s">
        <v>1218</v>
      </c>
      <c r="T129" s="301" t="s">
        <v>1219</v>
      </c>
      <c r="U129" s="301" t="s">
        <v>1220</v>
      </c>
      <c r="V129" s="301" t="s">
        <v>1221</v>
      </c>
      <c r="W129" s="298" t="s">
        <v>305</v>
      </c>
      <c r="X129" s="298" t="s">
        <v>1222</v>
      </c>
    </row>
    <row r="130">
      <c r="A130" s="295" t="s">
        <v>1223</v>
      </c>
      <c r="B130" s="298">
        <v>1.0</v>
      </c>
      <c r="C130" s="298" t="s">
        <v>288</v>
      </c>
      <c r="D130" s="298" t="s">
        <v>289</v>
      </c>
      <c r="E130" s="298" t="s">
        <v>311</v>
      </c>
      <c r="F130" s="298" t="str">
        <f>'Character Sheet'!$C$9</f>
        <v/>
      </c>
      <c r="G130" s="298" t="s">
        <v>294</v>
      </c>
      <c r="H130" s="298" t="s">
        <v>324</v>
      </c>
      <c r="I130" s="298" t="s">
        <v>1225</v>
      </c>
      <c r="J130" s="298" t="s">
        <v>336</v>
      </c>
      <c r="K130" s="298" t="s">
        <v>478</v>
      </c>
      <c r="L130" s="298" t="s">
        <v>493</v>
      </c>
      <c r="M130" s="301" t="s">
        <v>1226</v>
      </c>
      <c r="N130" s="301" t="s">
        <v>1226</v>
      </c>
      <c r="O130" s="301" t="s">
        <v>1226</v>
      </c>
      <c r="P130" s="301" t="s">
        <v>1226</v>
      </c>
      <c r="Q130" s="301" t="s">
        <v>1226</v>
      </c>
      <c r="R130" s="301" t="s">
        <v>1226</v>
      </c>
      <c r="S130" s="301" t="s">
        <v>1226</v>
      </c>
      <c r="T130" s="301" t="s">
        <v>1226</v>
      </c>
      <c r="U130" s="301" t="s">
        <v>1226</v>
      </c>
      <c r="V130" s="301" t="s">
        <v>1226</v>
      </c>
      <c r="W130" s="298" t="s">
        <v>305</v>
      </c>
      <c r="X130" s="298" t="s">
        <v>306</v>
      </c>
    </row>
    <row r="131">
      <c r="A131" s="295" t="s">
        <v>1227</v>
      </c>
      <c r="B131" s="298">
        <v>1.0</v>
      </c>
      <c r="C131" s="298" t="s">
        <v>288</v>
      </c>
      <c r="D131" s="298" t="s">
        <v>334</v>
      </c>
      <c r="E131" s="298" t="s">
        <v>290</v>
      </c>
      <c r="F131" s="298" t="str">
        <f>'Character Sheet'!$N$9</f>
        <v/>
      </c>
      <c r="G131" s="298" t="s">
        <v>674</v>
      </c>
      <c r="H131" s="298" t="s">
        <v>335</v>
      </c>
      <c r="I131" s="298" t="s">
        <v>296</v>
      </c>
      <c r="J131" s="298" t="s">
        <v>336</v>
      </c>
      <c r="K131" s="298" t="s">
        <v>298</v>
      </c>
      <c r="L131" s="298" t="s">
        <v>493</v>
      </c>
      <c r="M131" s="301" t="s">
        <v>1228</v>
      </c>
      <c r="N131" s="301" t="s">
        <v>1229</v>
      </c>
      <c r="O131" s="301" t="s">
        <v>1230</v>
      </c>
      <c r="P131" s="301" t="s">
        <v>1231</v>
      </c>
      <c r="Q131" s="301" t="s">
        <v>1232</v>
      </c>
      <c r="R131" s="301" t="s">
        <v>1233</v>
      </c>
      <c r="S131" s="301" t="s">
        <v>1234</v>
      </c>
      <c r="T131" s="301" t="s">
        <v>1235</v>
      </c>
      <c r="U131" s="301" t="s">
        <v>1236</v>
      </c>
      <c r="V131" s="301" t="s">
        <v>1237</v>
      </c>
      <c r="W131" s="298" t="s">
        <v>404</v>
      </c>
      <c r="X131" s="298" t="s">
        <v>306</v>
      </c>
    </row>
    <row r="132">
      <c r="A132" s="295" t="s">
        <v>1238</v>
      </c>
      <c r="B132" s="298">
        <v>1.0</v>
      </c>
      <c r="C132" s="298" t="s">
        <v>288</v>
      </c>
      <c r="D132" s="298" t="s">
        <v>334</v>
      </c>
      <c r="E132" s="298" t="s">
        <v>290</v>
      </c>
      <c r="F132" s="298" t="str">
        <f>'Character Sheet'!$N$9</f>
        <v/>
      </c>
      <c r="G132" s="298" t="s">
        <v>674</v>
      </c>
      <c r="H132" s="298" t="s">
        <v>335</v>
      </c>
      <c r="I132" s="298" t="s">
        <v>296</v>
      </c>
      <c r="J132" s="298" t="s">
        <v>336</v>
      </c>
      <c r="K132" s="298" t="s">
        <v>298</v>
      </c>
      <c r="L132" s="298" t="s">
        <v>493</v>
      </c>
      <c r="M132" s="301" t="s">
        <v>1239</v>
      </c>
      <c r="N132" s="301" t="s">
        <v>1240</v>
      </c>
      <c r="O132" s="301" t="s">
        <v>1241</v>
      </c>
      <c r="P132" s="301" t="s">
        <v>1242</v>
      </c>
      <c r="Q132" s="301" t="s">
        <v>1243</v>
      </c>
      <c r="R132" s="301" t="s">
        <v>1244</v>
      </c>
      <c r="S132" s="301" t="s">
        <v>1245</v>
      </c>
      <c r="T132" s="301" t="s">
        <v>1246</v>
      </c>
      <c r="U132" s="301" t="s">
        <v>1247</v>
      </c>
      <c r="V132" s="301" t="s">
        <v>1248</v>
      </c>
      <c r="W132" s="298" t="s">
        <v>389</v>
      </c>
      <c r="X132" s="298" t="s">
        <v>306</v>
      </c>
    </row>
    <row r="133">
      <c r="A133" s="295" t="s">
        <v>1249</v>
      </c>
      <c r="B133" s="298">
        <v>1.0</v>
      </c>
      <c r="C133" s="298" t="s">
        <v>288</v>
      </c>
      <c r="D133" s="298" t="s">
        <v>289</v>
      </c>
      <c r="E133" s="298" t="s">
        <v>290</v>
      </c>
      <c r="F133" s="298" t="str">
        <f>'Character Sheet'!$N$9</f>
        <v/>
      </c>
      <c r="G133" s="298" t="s">
        <v>674</v>
      </c>
      <c r="H133" s="298" t="s">
        <v>1174</v>
      </c>
      <c r="I133" s="298" t="s">
        <v>296</v>
      </c>
      <c r="J133" s="298" t="s">
        <v>203</v>
      </c>
      <c r="K133" s="298" t="s">
        <v>298</v>
      </c>
      <c r="L133" s="298" t="s">
        <v>493</v>
      </c>
      <c r="M133" s="301" t="s">
        <v>1250</v>
      </c>
      <c r="N133" s="301" t="s">
        <v>1251</v>
      </c>
      <c r="O133" s="301" t="s">
        <v>1252</v>
      </c>
      <c r="P133" s="301" t="s">
        <v>1253</v>
      </c>
      <c r="Q133" s="301" t="s">
        <v>1254</v>
      </c>
      <c r="R133" s="301" t="s">
        <v>1255</v>
      </c>
      <c r="S133" s="301" t="s">
        <v>1256</v>
      </c>
      <c r="T133" s="301" t="s">
        <v>1257</v>
      </c>
      <c r="U133" s="301" t="s">
        <v>1258</v>
      </c>
      <c r="V133" s="301" t="s">
        <v>1259</v>
      </c>
      <c r="W133" s="298" t="s">
        <v>305</v>
      </c>
      <c r="X133" s="298" t="s">
        <v>318</v>
      </c>
    </row>
    <row r="134">
      <c r="A134" s="295" t="s">
        <v>1260</v>
      </c>
      <c r="B134" s="298">
        <v>1.0</v>
      </c>
      <c r="C134" s="298" t="s">
        <v>288</v>
      </c>
      <c r="D134" s="298" t="s">
        <v>289</v>
      </c>
      <c r="E134" s="298" t="s">
        <v>290</v>
      </c>
      <c r="F134" s="298" t="str">
        <f>'Character Sheet'!$C$9</f>
        <v/>
      </c>
      <c r="G134" s="298" t="s">
        <v>294</v>
      </c>
      <c r="H134" s="298" t="s">
        <v>360</v>
      </c>
      <c r="I134" s="298" t="s">
        <v>296</v>
      </c>
      <c r="J134" s="298" t="s">
        <v>203</v>
      </c>
      <c r="K134" s="298" t="s">
        <v>298</v>
      </c>
      <c r="L134" s="298" t="s">
        <v>493</v>
      </c>
      <c r="M134" s="301" t="s">
        <v>1261</v>
      </c>
      <c r="N134" s="301" t="s">
        <v>1262</v>
      </c>
      <c r="O134" s="301" t="s">
        <v>1263</v>
      </c>
      <c r="P134" s="301" t="s">
        <v>1264</v>
      </c>
      <c r="Q134" s="301" t="s">
        <v>1265</v>
      </c>
      <c r="R134" s="301" t="s">
        <v>1266</v>
      </c>
      <c r="S134" s="301" t="s">
        <v>1267</v>
      </c>
      <c r="T134" s="301" t="s">
        <v>1268</v>
      </c>
      <c r="U134" s="301" t="s">
        <v>1269</v>
      </c>
      <c r="V134" s="301" t="s">
        <v>1270</v>
      </c>
      <c r="W134" s="298" t="s">
        <v>305</v>
      </c>
      <c r="X134" s="298" t="s">
        <v>306</v>
      </c>
    </row>
    <row r="135">
      <c r="A135" s="295" t="s">
        <v>1271</v>
      </c>
      <c r="B135" s="298">
        <v>1.0</v>
      </c>
      <c r="C135" s="298" t="s">
        <v>288</v>
      </c>
      <c r="D135" s="298" t="s">
        <v>310</v>
      </c>
      <c r="E135" s="298" t="s">
        <v>311</v>
      </c>
      <c r="F135" s="298" t="str">
        <f>'Character Sheet'!$C$9</f>
        <v/>
      </c>
      <c r="G135" s="298" t="s">
        <v>294</v>
      </c>
      <c r="H135" s="298" t="s">
        <v>295</v>
      </c>
      <c r="I135" s="298" t="s">
        <v>296</v>
      </c>
      <c r="J135" s="298" t="s">
        <v>192</v>
      </c>
      <c r="K135" s="298" t="s">
        <v>478</v>
      </c>
      <c r="L135" s="298" t="s">
        <v>493</v>
      </c>
      <c r="M135" s="301" t="s">
        <v>1272</v>
      </c>
      <c r="N135" s="301" t="s">
        <v>1272</v>
      </c>
      <c r="O135" s="301" t="s">
        <v>1272</v>
      </c>
      <c r="P135" s="301" t="s">
        <v>1272</v>
      </c>
      <c r="Q135" s="301" t="s">
        <v>1272</v>
      </c>
      <c r="R135" s="301" t="s">
        <v>1272</v>
      </c>
      <c r="S135" s="301" t="s">
        <v>1272</v>
      </c>
      <c r="T135" s="301" t="s">
        <v>1272</v>
      </c>
      <c r="U135" s="301" t="s">
        <v>1272</v>
      </c>
      <c r="V135" s="301" t="s">
        <v>1272</v>
      </c>
      <c r="W135" s="298" t="s">
        <v>536</v>
      </c>
      <c r="X135" s="298" t="s">
        <v>678</v>
      </c>
    </row>
    <row r="136">
      <c r="A136" s="295" t="s">
        <v>1273</v>
      </c>
      <c r="B136" s="298">
        <v>1.0</v>
      </c>
      <c r="C136" s="298" t="s">
        <v>288</v>
      </c>
      <c r="D136" s="298" t="s">
        <v>321</v>
      </c>
      <c r="E136" s="298" t="s">
        <v>290</v>
      </c>
      <c r="F136" s="298" t="str">
        <f>'Character Sheet'!$C$9</f>
        <v/>
      </c>
      <c r="G136" s="298" t="s">
        <v>294</v>
      </c>
      <c r="H136" s="298" t="s">
        <v>324</v>
      </c>
      <c r="I136" s="298" t="s">
        <v>324</v>
      </c>
      <c r="J136" s="298" t="s">
        <v>315</v>
      </c>
      <c r="K136" s="298" t="s">
        <v>675</v>
      </c>
      <c r="L136" s="298" t="s">
        <v>493</v>
      </c>
      <c r="M136" s="301" t="s">
        <v>1274</v>
      </c>
      <c r="N136" s="301" t="s">
        <v>1275</v>
      </c>
      <c r="O136" s="301" t="s">
        <v>1276</v>
      </c>
      <c r="P136" s="301" t="s">
        <v>1276</v>
      </c>
      <c r="Q136" s="301" t="s">
        <v>1276</v>
      </c>
      <c r="R136" s="301" t="s">
        <v>1276</v>
      </c>
      <c r="S136" s="301" t="s">
        <v>1276</v>
      </c>
      <c r="T136" s="301" t="s">
        <v>1276</v>
      </c>
      <c r="U136" s="301" t="s">
        <v>1276</v>
      </c>
      <c r="V136" s="301" t="s">
        <v>1276</v>
      </c>
      <c r="W136" s="298" t="s">
        <v>460</v>
      </c>
      <c r="X136" s="298" t="s">
        <v>306</v>
      </c>
    </row>
    <row r="137">
      <c r="A137" s="295" t="s">
        <v>1277</v>
      </c>
      <c r="B137" s="298">
        <v>1.0</v>
      </c>
      <c r="C137" s="298" t="s">
        <v>288</v>
      </c>
      <c r="D137" s="298" t="s">
        <v>321</v>
      </c>
      <c r="E137" s="298" t="s">
        <v>290</v>
      </c>
      <c r="F137" s="298" t="str">
        <f>'Character Sheet'!$C$9</f>
        <v/>
      </c>
      <c r="G137" s="298" t="s">
        <v>294</v>
      </c>
      <c r="H137" s="298" t="s">
        <v>1278</v>
      </c>
      <c r="I137" s="298" t="s">
        <v>1000</v>
      </c>
      <c r="J137" s="298" t="s">
        <v>315</v>
      </c>
      <c r="K137" s="298" t="s">
        <v>325</v>
      </c>
      <c r="L137" s="298" t="s">
        <v>493</v>
      </c>
      <c r="M137" s="301" t="s">
        <v>1279</v>
      </c>
      <c r="N137" s="301" t="s">
        <v>1280</v>
      </c>
      <c r="O137" s="301" t="s">
        <v>1280</v>
      </c>
      <c r="P137" s="301" t="s">
        <v>1280</v>
      </c>
      <c r="Q137" s="301" t="s">
        <v>1281</v>
      </c>
      <c r="R137" s="301" t="s">
        <v>1281</v>
      </c>
      <c r="S137" s="301" t="s">
        <v>1281</v>
      </c>
      <c r="T137" s="301" t="s">
        <v>1281</v>
      </c>
      <c r="U137" s="301" t="s">
        <v>1281</v>
      </c>
      <c r="V137" s="301" t="s">
        <v>1281</v>
      </c>
      <c r="W137" s="298" t="s">
        <v>460</v>
      </c>
      <c r="X137" s="298" t="s">
        <v>306</v>
      </c>
    </row>
    <row r="138">
      <c r="A138" s="295" t="s">
        <v>1282</v>
      </c>
      <c r="B138" s="298">
        <v>1.0</v>
      </c>
      <c r="C138" s="298" t="s">
        <v>522</v>
      </c>
      <c r="D138" s="298" t="s">
        <v>310</v>
      </c>
      <c r="E138" s="298" t="s">
        <v>311</v>
      </c>
      <c r="F138" s="298" t="str">
        <f>'Character Sheet'!$C$9</f>
        <v/>
      </c>
      <c r="G138" s="298" t="s">
        <v>294</v>
      </c>
      <c r="H138" s="298" t="s">
        <v>335</v>
      </c>
      <c r="I138" s="298" t="s">
        <v>435</v>
      </c>
      <c r="J138" s="298" t="s">
        <v>315</v>
      </c>
      <c r="K138" s="298" t="s">
        <v>1283</v>
      </c>
      <c r="L138" s="298" t="s">
        <v>493</v>
      </c>
      <c r="M138" s="301" t="s">
        <v>1284</v>
      </c>
      <c r="N138" s="301" t="s">
        <v>1284</v>
      </c>
      <c r="O138" s="301" t="s">
        <v>1284</v>
      </c>
      <c r="P138" s="301" t="s">
        <v>1284</v>
      </c>
      <c r="Q138" s="301" t="s">
        <v>1284</v>
      </c>
      <c r="R138" s="301" t="s">
        <v>1284</v>
      </c>
      <c r="S138" s="301" t="s">
        <v>1284</v>
      </c>
      <c r="T138" s="301" t="s">
        <v>1284</v>
      </c>
      <c r="U138" s="301" t="s">
        <v>1284</v>
      </c>
      <c r="V138" s="301" t="s">
        <v>1284</v>
      </c>
      <c r="W138" s="298" t="s">
        <v>536</v>
      </c>
      <c r="X138" s="298" t="s">
        <v>306</v>
      </c>
    </row>
    <row r="139">
      <c r="A139" s="295" t="s">
        <v>1285</v>
      </c>
      <c r="B139" s="298">
        <v>1.0</v>
      </c>
      <c r="C139" s="298" t="s">
        <v>288</v>
      </c>
      <c r="D139" s="298" t="s">
        <v>321</v>
      </c>
      <c r="E139" s="298" t="s">
        <v>290</v>
      </c>
      <c r="F139" s="298" t="str">
        <f>'Character Sheet'!$C$9</f>
        <v/>
      </c>
      <c r="G139" s="298" t="s">
        <v>294</v>
      </c>
      <c r="H139" s="298" t="s">
        <v>335</v>
      </c>
      <c r="I139" s="298" t="s">
        <v>1286</v>
      </c>
      <c r="J139" s="298" t="s">
        <v>315</v>
      </c>
      <c r="K139" s="298" t="s">
        <v>675</v>
      </c>
      <c r="L139" s="298" t="s">
        <v>493</v>
      </c>
      <c r="M139" s="301" t="s">
        <v>1287</v>
      </c>
      <c r="N139" s="301" t="s">
        <v>1287</v>
      </c>
      <c r="O139" s="301" t="s">
        <v>1288</v>
      </c>
      <c r="P139" s="301" t="s">
        <v>1288</v>
      </c>
      <c r="Q139" s="301" t="s">
        <v>1289</v>
      </c>
      <c r="R139" s="301" t="s">
        <v>1289</v>
      </c>
      <c r="S139" s="301" t="s">
        <v>1289</v>
      </c>
      <c r="T139" s="301" t="s">
        <v>1289</v>
      </c>
      <c r="U139" s="301" t="s">
        <v>1289</v>
      </c>
      <c r="V139" s="301" t="s">
        <v>1289</v>
      </c>
      <c r="W139" s="298" t="s">
        <v>460</v>
      </c>
      <c r="X139" s="298" t="s">
        <v>678</v>
      </c>
    </row>
    <row r="140">
      <c r="A140" s="295" t="s">
        <v>1290</v>
      </c>
      <c r="B140" s="298">
        <v>1.0</v>
      </c>
      <c r="C140" s="298" t="s">
        <v>288</v>
      </c>
      <c r="D140" s="298" t="s">
        <v>321</v>
      </c>
      <c r="E140" s="298" t="s">
        <v>290</v>
      </c>
      <c r="F140" s="298" t="str">
        <f>'Character Sheet'!$C$9</f>
        <v/>
      </c>
      <c r="G140" s="298" t="s">
        <v>294</v>
      </c>
      <c r="H140" s="298" t="s">
        <v>335</v>
      </c>
      <c r="I140" s="298" t="s">
        <v>1291</v>
      </c>
      <c r="J140" s="298" t="s">
        <v>315</v>
      </c>
      <c r="K140" s="298" t="s">
        <v>675</v>
      </c>
      <c r="L140" s="298" t="s">
        <v>493</v>
      </c>
      <c r="M140" s="301" t="s">
        <v>1292</v>
      </c>
      <c r="N140" s="301" t="s">
        <v>1293</v>
      </c>
      <c r="O140" s="301" t="s">
        <v>1295</v>
      </c>
      <c r="P140" s="301" t="s">
        <v>1295</v>
      </c>
      <c r="Q140" s="301" t="s">
        <v>1295</v>
      </c>
      <c r="R140" s="301" t="s">
        <v>1295</v>
      </c>
      <c r="S140" s="301" t="s">
        <v>1295</v>
      </c>
      <c r="T140" s="301" t="s">
        <v>1295</v>
      </c>
      <c r="U140" s="301" t="s">
        <v>1295</v>
      </c>
      <c r="V140" s="301" t="s">
        <v>1295</v>
      </c>
      <c r="W140" s="298" t="s">
        <v>460</v>
      </c>
      <c r="X140" s="298" t="s">
        <v>306</v>
      </c>
    </row>
    <row r="141">
      <c r="A141" s="295" t="s">
        <v>1296</v>
      </c>
      <c r="B141" s="298">
        <v>1.0</v>
      </c>
      <c r="C141" s="298" t="s">
        <v>288</v>
      </c>
      <c r="D141" s="298" t="s">
        <v>462</v>
      </c>
      <c r="E141" s="298" t="s">
        <v>290</v>
      </c>
      <c r="F141" s="298" t="str">
        <f>'Character Sheet'!$B$9</f>
        <v/>
      </c>
      <c r="G141" s="298" t="s">
        <v>493</v>
      </c>
      <c r="H141" s="298" t="s">
        <v>295</v>
      </c>
      <c r="I141" s="298" t="s">
        <v>324</v>
      </c>
      <c r="J141" s="298" t="s">
        <v>315</v>
      </c>
      <c r="K141" s="298" t="s">
        <v>298</v>
      </c>
      <c r="L141" s="298" t="s">
        <v>493</v>
      </c>
      <c r="M141" s="301" t="s">
        <v>1297</v>
      </c>
      <c r="N141" s="301" t="s">
        <v>1297</v>
      </c>
      <c r="O141" s="301" t="s">
        <v>1298</v>
      </c>
      <c r="P141" s="301" t="s">
        <v>1298</v>
      </c>
      <c r="Q141" s="301" t="s">
        <v>1298</v>
      </c>
      <c r="R141" s="301" t="s">
        <v>1298</v>
      </c>
      <c r="S141" s="301" t="s">
        <v>1298</v>
      </c>
      <c r="T141" s="301" t="s">
        <v>1298</v>
      </c>
      <c r="U141" s="301" t="s">
        <v>1298</v>
      </c>
      <c r="V141" s="301" t="s">
        <v>1298</v>
      </c>
      <c r="W141" s="298" t="s">
        <v>305</v>
      </c>
      <c r="X141" s="298" t="s">
        <v>306</v>
      </c>
    </row>
    <row r="142">
      <c r="A142" s="295" t="s">
        <v>1299</v>
      </c>
      <c r="B142" s="298">
        <v>1.0</v>
      </c>
      <c r="C142" s="298" t="s">
        <v>288</v>
      </c>
      <c r="D142" s="298" t="s">
        <v>462</v>
      </c>
      <c r="E142" s="298" t="s">
        <v>290</v>
      </c>
      <c r="F142" s="298" t="str">
        <f>'Character Sheet'!$C$9</f>
        <v/>
      </c>
      <c r="G142" s="298" t="s">
        <v>294</v>
      </c>
      <c r="H142" s="298" t="s">
        <v>335</v>
      </c>
      <c r="I142" s="298" t="s">
        <v>1300</v>
      </c>
      <c r="J142" s="298" t="s">
        <v>315</v>
      </c>
      <c r="K142" s="298" t="s">
        <v>325</v>
      </c>
      <c r="L142" s="298" t="s">
        <v>493</v>
      </c>
      <c r="M142" s="301" t="s">
        <v>1301</v>
      </c>
      <c r="N142" s="301" t="s">
        <v>1302</v>
      </c>
      <c r="O142" s="301" t="s">
        <v>1302</v>
      </c>
      <c r="P142" s="301" t="s">
        <v>1302</v>
      </c>
      <c r="Q142" s="301" t="s">
        <v>1302</v>
      </c>
      <c r="R142" s="301" t="s">
        <v>1302</v>
      </c>
      <c r="S142" s="301" t="s">
        <v>1302</v>
      </c>
      <c r="T142" s="301" t="s">
        <v>1302</v>
      </c>
      <c r="U142" s="301" t="s">
        <v>1302</v>
      </c>
      <c r="V142" s="301" t="s">
        <v>1302</v>
      </c>
      <c r="W142" s="298" t="s">
        <v>499</v>
      </c>
      <c r="X142" s="298" t="s">
        <v>318</v>
      </c>
    </row>
    <row r="143">
      <c r="A143" s="295" t="s">
        <v>1303</v>
      </c>
      <c r="B143" s="298">
        <v>1.0</v>
      </c>
      <c r="C143" s="298" t="s">
        <v>288</v>
      </c>
      <c r="D143" s="298" t="s">
        <v>289</v>
      </c>
      <c r="E143" s="298" t="s">
        <v>311</v>
      </c>
      <c r="F143" s="298" t="str">
        <f>'Character Sheet'!$N$9</f>
        <v/>
      </c>
      <c r="G143" s="298" t="s">
        <v>477</v>
      </c>
      <c r="H143" s="298" t="s">
        <v>1174</v>
      </c>
      <c r="I143" s="298" t="s">
        <v>1304</v>
      </c>
      <c r="J143" s="298" t="s">
        <v>173</v>
      </c>
      <c r="K143" s="298" t="s">
        <v>298</v>
      </c>
      <c r="L143" s="298" t="s">
        <v>493</v>
      </c>
      <c r="M143" s="301" t="s">
        <v>1305</v>
      </c>
      <c r="N143" s="301" t="s">
        <v>1305</v>
      </c>
      <c r="O143" s="301" t="s">
        <v>1305</v>
      </c>
      <c r="P143" s="301" t="s">
        <v>1305</v>
      </c>
      <c r="Q143" s="301" t="s">
        <v>1305</v>
      </c>
      <c r="R143" s="301" t="s">
        <v>1305</v>
      </c>
      <c r="S143" s="301" t="s">
        <v>1305</v>
      </c>
      <c r="T143" s="301" t="s">
        <v>1305</v>
      </c>
      <c r="U143" s="301" t="s">
        <v>1305</v>
      </c>
      <c r="V143" s="301" t="s">
        <v>1305</v>
      </c>
      <c r="W143" s="298" t="s">
        <v>460</v>
      </c>
      <c r="X143" s="298" t="s">
        <v>569</v>
      </c>
    </row>
    <row r="144">
      <c r="A144" s="295" t="s">
        <v>1306</v>
      </c>
      <c r="B144" s="298">
        <v>1.0</v>
      </c>
      <c r="C144" s="298" t="s">
        <v>288</v>
      </c>
      <c r="D144" s="298" t="s">
        <v>359</v>
      </c>
      <c r="E144" s="298" t="s">
        <v>311</v>
      </c>
      <c r="F144" s="298" t="str">
        <f>'Character Sheet'!$B$9</f>
        <v/>
      </c>
      <c r="G144" s="298" t="s">
        <v>477</v>
      </c>
      <c r="H144" s="298" t="s">
        <v>360</v>
      </c>
      <c r="I144" s="298" t="s">
        <v>296</v>
      </c>
      <c r="J144" s="298" t="s">
        <v>315</v>
      </c>
      <c r="K144" s="298" t="s">
        <v>298</v>
      </c>
      <c r="L144" s="298" t="s">
        <v>493</v>
      </c>
      <c r="M144" s="301" t="s">
        <v>1307</v>
      </c>
      <c r="N144" s="301" t="s">
        <v>1307</v>
      </c>
      <c r="O144" s="301" t="s">
        <v>1307</v>
      </c>
      <c r="P144" s="301" t="s">
        <v>1307</v>
      </c>
      <c r="Q144" s="301" t="s">
        <v>1307</v>
      </c>
      <c r="R144" s="301" t="s">
        <v>1307</v>
      </c>
      <c r="S144" s="301" t="s">
        <v>1307</v>
      </c>
      <c r="T144" s="301" t="s">
        <v>1307</v>
      </c>
      <c r="U144" s="301" t="s">
        <v>1307</v>
      </c>
      <c r="V144" s="301" t="s">
        <v>1307</v>
      </c>
      <c r="W144" s="298" t="s">
        <v>536</v>
      </c>
      <c r="X144" s="298" t="s">
        <v>966</v>
      </c>
    </row>
    <row r="145">
      <c r="A145" s="295" t="s">
        <v>1308</v>
      </c>
      <c r="B145" s="298">
        <v>1.0</v>
      </c>
      <c r="C145" s="298" t="s">
        <v>288</v>
      </c>
      <c r="D145" s="298" t="s">
        <v>421</v>
      </c>
      <c r="E145" s="298" t="s">
        <v>290</v>
      </c>
      <c r="F145" s="298" t="str">
        <f>'Character Sheet'!$C$9</f>
        <v/>
      </c>
      <c r="G145" s="298" t="s">
        <v>294</v>
      </c>
      <c r="H145" s="298" t="s">
        <v>335</v>
      </c>
      <c r="I145" s="298" t="s">
        <v>1310</v>
      </c>
      <c r="J145" s="298" t="s">
        <v>315</v>
      </c>
      <c r="K145" s="298" t="s">
        <v>545</v>
      </c>
      <c r="L145" s="298" t="s">
        <v>493</v>
      </c>
      <c r="M145" s="301" t="s">
        <v>1311</v>
      </c>
      <c r="N145" s="301" t="s">
        <v>1312</v>
      </c>
      <c r="O145" s="301" t="s">
        <v>1312</v>
      </c>
      <c r="P145" s="301" t="s">
        <v>1312</v>
      </c>
      <c r="Q145" s="301" t="s">
        <v>1312</v>
      </c>
      <c r="R145" s="301" t="s">
        <v>1312</v>
      </c>
      <c r="S145" s="301" t="s">
        <v>1312</v>
      </c>
      <c r="T145" s="301" t="s">
        <v>1312</v>
      </c>
      <c r="U145" s="301" t="s">
        <v>1312</v>
      </c>
      <c r="V145" s="301" t="s">
        <v>1312</v>
      </c>
      <c r="W145" s="298" t="s">
        <v>331</v>
      </c>
      <c r="X145" s="298" t="s">
        <v>306</v>
      </c>
    </row>
    <row r="146">
      <c r="A146" s="295" t="s">
        <v>1313</v>
      </c>
      <c r="B146" s="298">
        <v>1.0</v>
      </c>
      <c r="C146" s="298" t="s">
        <v>288</v>
      </c>
      <c r="D146" s="298" t="s">
        <v>462</v>
      </c>
      <c r="E146" s="298" t="s">
        <v>290</v>
      </c>
      <c r="F146" s="298" t="str">
        <f>'Character Sheet'!$C$9</f>
        <v/>
      </c>
      <c r="G146" s="298" t="s">
        <v>294</v>
      </c>
      <c r="H146" s="298" t="s">
        <v>324</v>
      </c>
      <c r="I146" s="298" t="s">
        <v>324</v>
      </c>
      <c r="J146" s="298" t="s">
        <v>315</v>
      </c>
      <c r="K146" s="298" t="s">
        <v>675</v>
      </c>
      <c r="L146" s="298" t="s">
        <v>493</v>
      </c>
      <c r="M146" s="301" t="s">
        <v>1314</v>
      </c>
      <c r="N146" s="301" t="s">
        <v>1315</v>
      </c>
      <c r="O146" s="301" t="s">
        <v>1315</v>
      </c>
      <c r="P146" s="301" t="s">
        <v>1315</v>
      </c>
      <c r="Q146" s="301" t="s">
        <v>1315</v>
      </c>
      <c r="R146" s="301" t="s">
        <v>1315</v>
      </c>
      <c r="S146" s="301" t="s">
        <v>1315</v>
      </c>
      <c r="T146" s="301" t="s">
        <v>1315</v>
      </c>
      <c r="U146" s="301" t="s">
        <v>1315</v>
      </c>
      <c r="V146" s="301" t="s">
        <v>1315</v>
      </c>
      <c r="W146" s="298" t="s">
        <v>305</v>
      </c>
      <c r="X146" s="298" t="s">
        <v>306</v>
      </c>
    </row>
    <row r="147">
      <c r="A147" s="295" t="s">
        <v>1317</v>
      </c>
      <c r="B147" s="298">
        <v>1.0</v>
      </c>
      <c r="C147" s="298" t="s">
        <v>288</v>
      </c>
      <c r="D147" s="298" t="s">
        <v>321</v>
      </c>
      <c r="E147" s="298" t="s">
        <v>311</v>
      </c>
      <c r="F147" s="298" t="str">
        <f>'Character Sheet'!$K$9</f>
        <v/>
      </c>
      <c r="G147" s="298" t="s">
        <v>493</v>
      </c>
      <c r="H147" s="298" t="s">
        <v>360</v>
      </c>
      <c r="I147" s="298" t="s">
        <v>1318</v>
      </c>
      <c r="J147" s="298" t="s">
        <v>192</v>
      </c>
      <c r="K147" s="298" t="s">
        <v>298</v>
      </c>
      <c r="L147" s="298" t="s">
        <v>493</v>
      </c>
      <c r="M147" s="301" t="s">
        <v>1319</v>
      </c>
      <c r="N147" s="301" t="s">
        <v>1319</v>
      </c>
      <c r="O147" s="301" t="s">
        <v>1319</v>
      </c>
      <c r="P147" s="301" t="s">
        <v>1319</v>
      </c>
      <c r="Q147" s="301" t="s">
        <v>1319</v>
      </c>
      <c r="R147" s="301" t="s">
        <v>1319</v>
      </c>
      <c r="S147" s="301" t="s">
        <v>1319</v>
      </c>
      <c r="T147" s="301" t="s">
        <v>1319</v>
      </c>
      <c r="U147" s="301" t="s">
        <v>1319</v>
      </c>
      <c r="V147" s="301" t="s">
        <v>1319</v>
      </c>
      <c r="W147" s="298" t="s">
        <v>684</v>
      </c>
      <c r="X147" s="298" t="s">
        <v>318</v>
      </c>
    </row>
    <row r="148">
      <c r="A148" s="295" t="s">
        <v>1320</v>
      </c>
      <c r="B148" s="298">
        <v>1.0</v>
      </c>
      <c r="C148" s="298" t="s">
        <v>288</v>
      </c>
      <c r="D148" s="298" t="s">
        <v>421</v>
      </c>
      <c r="E148" s="298" t="s">
        <v>290</v>
      </c>
      <c r="F148" s="298" t="str">
        <f>'Character Sheet'!$C$9</f>
        <v/>
      </c>
      <c r="G148" s="298" t="s">
        <v>294</v>
      </c>
      <c r="H148" s="298" t="s">
        <v>324</v>
      </c>
      <c r="I148" s="298" t="s">
        <v>324</v>
      </c>
      <c r="J148" s="298" t="s">
        <v>315</v>
      </c>
      <c r="K148" s="298" t="s">
        <v>545</v>
      </c>
      <c r="L148" s="298" t="s">
        <v>493</v>
      </c>
      <c r="M148" s="301" t="s">
        <v>1321</v>
      </c>
      <c r="N148" s="301" t="s">
        <v>1321</v>
      </c>
      <c r="O148" s="301" t="s">
        <v>1321</v>
      </c>
      <c r="P148" s="301" t="s">
        <v>1322</v>
      </c>
      <c r="Q148" s="301" t="s">
        <v>1322</v>
      </c>
      <c r="R148" s="301" t="s">
        <v>1323</v>
      </c>
      <c r="S148" s="301" t="s">
        <v>1323</v>
      </c>
      <c r="T148" s="301" t="s">
        <v>1324</v>
      </c>
      <c r="U148" s="301" t="s">
        <v>1324</v>
      </c>
      <c r="V148" s="301" t="s">
        <v>1325</v>
      </c>
      <c r="W148" s="298" t="s">
        <v>460</v>
      </c>
      <c r="X148" s="298" t="s">
        <v>306</v>
      </c>
    </row>
    <row r="149">
      <c r="A149" s="295" t="s">
        <v>1326</v>
      </c>
      <c r="B149" s="298">
        <v>1.0</v>
      </c>
      <c r="C149" s="298" t="s">
        <v>522</v>
      </c>
      <c r="D149" s="298" t="s">
        <v>321</v>
      </c>
      <c r="E149" s="298" t="s">
        <v>290</v>
      </c>
      <c r="F149" s="298" t="s">
        <v>625</v>
      </c>
      <c r="G149" s="298" t="s">
        <v>674</v>
      </c>
      <c r="H149" s="298" t="s">
        <v>335</v>
      </c>
      <c r="I149" s="298" t="s">
        <v>1328</v>
      </c>
      <c r="J149" s="298" t="s">
        <v>315</v>
      </c>
      <c r="K149" s="298" t="s">
        <v>545</v>
      </c>
      <c r="L149" s="298" t="s">
        <v>493</v>
      </c>
      <c r="M149" s="301" t="s">
        <v>1329</v>
      </c>
      <c r="N149" s="301" t="s">
        <v>1329</v>
      </c>
      <c r="O149" s="301" t="s">
        <v>1330</v>
      </c>
      <c r="P149" s="301" t="s">
        <v>1330</v>
      </c>
      <c r="Q149" s="301" t="s">
        <v>1330</v>
      </c>
      <c r="R149" s="301" t="s">
        <v>1330</v>
      </c>
      <c r="S149" s="301" t="s">
        <v>1330</v>
      </c>
      <c r="T149" s="301" t="s">
        <v>1330</v>
      </c>
      <c r="U149" s="301" t="s">
        <v>1330</v>
      </c>
      <c r="V149" s="301" t="s">
        <v>1330</v>
      </c>
      <c r="W149" s="298" t="s">
        <v>460</v>
      </c>
      <c r="X149" s="298" t="s">
        <v>306</v>
      </c>
    </row>
    <row r="150">
      <c r="A150" s="295" t="s">
        <v>1331</v>
      </c>
      <c r="B150" s="298">
        <v>1.0</v>
      </c>
      <c r="C150" s="298" t="s">
        <v>288</v>
      </c>
      <c r="D150" s="298" t="s">
        <v>462</v>
      </c>
      <c r="E150" s="298" t="s">
        <v>311</v>
      </c>
      <c r="F150" s="298" t="str">
        <f>'Character Sheet'!$C$9</f>
        <v/>
      </c>
      <c r="G150" s="298" t="s">
        <v>294</v>
      </c>
      <c r="H150" s="298" t="s">
        <v>335</v>
      </c>
      <c r="I150" s="298" t="s">
        <v>780</v>
      </c>
      <c r="J150" s="298" t="s">
        <v>315</v>
      </c>
      <c r="K150" s="298" t="s">
        <v>632</v>
      </c>
      <c r="L150" s="298" t="s">
        <v>493</v>
      </c>
      <c r="M150" s="301" t="s">
        <v>1333</v>
      </c>
      <c r="N150" s="301" t="s">
        <v>1333</v>
      </c>
      <c r="O150" s="301" t="s">
        <v>1333</v>
      </c>
      <c r="P150" s="301" t="s">
        <v>1333</v>
      </c>
      <c r="Q150" s="301" t="s">
        <v>1333</v>
      </c>
      <c r="R150" s="301" t="s">
        <v>1333</v>
      </c>
      <c r="S150" s="301" t="s">
        <v>1333</v>
      </c>
      <c r="T150" s="301" t="s">
        <v>1333</v>
      </c>
      <c r="U150" s="301" t="s">
        <v>1333</v>
      </c>
      <c r="V150" s="301" t="s">
        <v>1333</v>
      </c>
      <c r="W150" s="298" t="s">
        <v>499</v>
      </c>
      <c r="X150" s="298" t="s">
        <v>306</v>
      </c>
    </row>
    <row r="151">
      <c r="A151" s="295" t="s">
        <v>1334</v>
      </c>
      <c r="B151" s="298">
        <v>1.0</v>
      </c>
      <c r="C151" s="298" t="s">
        <v>288</v>
      </c>
      <c r="D151" s="298" t="s">
        <v>289</v>
      </c>
      <c r="E151" s="298" t="s">
        <v>290</v>
      </c>
      <c r="F151" s="298" t="str">
        <f>'Character Sheet'!$N$9</f>
        <v/>
      </c>
      <c r="G151" s="298" t="s">
        <v>294</v>
      </c>
      <c r="H151" s="298" t="s">
        <v>352</v>
      </c>
      <c r="I151" s="298" t="s">
        <v>1335</v>
      </c>
      <c r="J151" s="298" t="s">
        <v>315</v>
      </c>
      <c r="K151" s="298" t="s">
        <v>298</v>
      </c>
      <c r="L151" s="298" t="s">
        <v>493</v>
      </c>
      <c r="M151" s="301" t="s">
        <v>1336</v>
      </c>
      <c r="N151" s="301" t="s">
        <v>1337</v>
      </c>
      <c r="O151" s="301" t="s">
        <v>1338</v>
      </c>
      <c r="P151" s="301" t="s">
        <v>1339</v>
      </c>
      <c r="Q151" s="301" t="s">
        <v>1340</v>
      </c>
      <c r="R151" s="301" t="s">
        <v>1341</v>
      </c>
      <c r="S151" s="301" t="s">
        <v>1342</v>
      </c>
      <c r="T151" s="301" t="s">
        <v>1343</v>
      </c>
      <c r="U151" s="301" t="s">
        <v>1344</v>
      </c>
      <c r="V151" s="301" t="s">
        <v>1345</v>
      </c>
      <c r="W151" s="298" t="s">
        <v>460</v>
      </c>
      <c r="X151" s="298" t="s">
        <v>306</v>
      </c>
    </row>
    <row r="152">
      <c r="A152" s="295" t="s">
        <v>1346</v>
      </c>
      <c r="B152" s="298">
        <v>1.0</v>
      </c>
      <c r="C152" s="298" t="s">
        <v>288</v>
      </c>
      <c r="D152" s="298" t="s">
        <v>334</v>
      </c>
      <c r="E152" s="298" t="s">
        <v>311</v>
      </c>
      <c r="F152" s="298" t="str">
        <f>'Character Sheet'!$N$9</f>
        <v/>
      </c>
      <c r="G152" s="298" t="s">
        <v>294</v>
      </c>
      <c r="H152" s="298" t="s">
        <v>335</v>
      </c>
      <c r="I152" s="298" t="s">
        <v>1349</v>
      </c>
      <c r="J152" s="298" t="s">
        <v>315</v>
      </c>
      <c r="K152" s="298" t="s">
        <v>632</v>
      </c>
      <c r="L152" s="298" t="s">
        <v>493</v>
      </c>
      <c r="M152" s="301" t="s">
        <v>1350</v>
      </c>
      <c r="N152" s="301" t="s">
        <v>1350</v>
      </c>
      <c r="O152" s="301" t="s">
        <v>1350</v>
      </c>
      <c r="P152" s="301" t="s">
        <v>1350</v>
      </c>
      <c r="Q152" s="301" t="s">
        <v>1350</v>
      </c>
      <c r="R152" s="301" t="s">
        <v>1350</v>
      </c>
      <c r="S152" s="301" t="s">
        <v>1350</v>
      </c>
      <c r="T152" s="301" t="s">
        <v>1350</v>
      </c>
      <c r="U152" s="301" t="s">
        <v>1350</v>
      </c>
      <c r="V152" s="301" t="s">
        <v>1350</v>
      </c>
      <c r="W152" s="298" t="s">
        <v>389</v>
      </c>
      <c r="X152" s="298" t="s">
        <v>678</v>
      </c>
    </row>
    <row r="153">
      <c r="A153" s="295" t="s">
        <v>1352</v>
      </c>
      <c r="B153" s="298">
        <v>1.0</v>
      </c>
      <c r="C153" s="298" t="s">
        <v>288</v>
      </c>
      <c r="D153" s="298" t="s">
        <v>462</v>
      </c>
      <c r="E153" s="298" t="s">
        <v>311</v>
      </c>
      <c r="F153" s="298" t="str">
        <f>'Character Sheet'!$C$9</f>
        <v/>
      </c>
      <c r="G153" s="298" t="s">
        <v>294</v>
      </c>
      <c r="H153" s="298" t="s">
        <v>335</v>
      </c>
      <c r="I153" s="298" t="s">
        <v>1353</v>
      </c>
      <c r="J153" s="298" t="s">
        <v>315</v>
      </c>
      <c r="K153" s="298" t="s">
        <v>632</v>
      </c>
      <c r="L153" s="298" t="s">
        <v>493</v>
      </c>
      <c r="M153" s="301" t="s">
        <v>1354</v>
      </c>
      <c r="N153" s="301" t="s">
        <v>1354</v>
      </c>
      <c r="O153" s="301" t="s">
        <v>1354</v>
      </c>
      <c r="P153" s="301" t="s">
        <v>1354</v>
      </c>
      <c r="Q153" s="301" t="s">
        <v>1354</v>
      </c>
      <c r="R153" s="301" t="s">
        <v>1354</v>
      </c>
      <c r="S153" s="301" t="s">
        <v>1354</v>
      </c>
      <c r="T153" s="301" t="s">
        <v>1354</v>
      </c>
      <c r="U153" s="301" t="s">
        <v>1354</v>
      </c>
      <c r="V153" s="301" t="s">
        <v>1354</v>
      </c>
      <c r="W153" s="298" t="s">
        <v>331</v>
      </c>
      <c r="X153" s="298" t="s">
        <v>306</v>
      </c>
    </row>
    <row r="154">
      <c r="A154" s="295" t="s">
        <v>1356</v>
      </c>
      <c r="B154" s="298">
        <v>1.0</v>
      </c>
      <c r="C154" s="298" t="s">
        <v>288</v>
      </c>
      <c r="D154" s="298" t="s">
        <v>462</v>
      </c>
      <c r="E154" s="298" t="s">
        <v>290</v>
      </c>
      <c r="F154" s="298" t="s">
        <v>999</v>
      </c>
      <c r="G154" s="298" t="s">
        <v>294</v>
      </c>
      <c r="H154" s="298" t="s">
        <v>335</v>
      </c>
      <c r="I154" s="298" t="s">
        <v>1358</v>
      </c>
      <c r="J154" s="298" t="s">
        <v>315</v>
      </c>
      <c r="K154" s="298" t="s">
        <v>298</v>
      </c>
      <c r="L154" s="298" t="s">
        <v>493</v>
      </c>
      <c r="M154" s="301" t="s">
        <v>1359</v>
      </c>
      <c r="N154" s="301" t="s">
        <v>1361</v>
      </c>
      <c r="O154" s="301" t="s">
        <v>1362</v>
      </c>
      <c r="P154" s="301" t="s">
        <v>1363</v>
      </c>
      <c r="Q154" s="301" t="s">
        <v>1364</v>
      </c>
      <c r="R154" s="301" t="s">
        <v>1365</v>
      </c>
      <c r="S154" s="301" t="s">
        <v>1366</v>
      </c>
      <c r="T154" s="301" t="s">
        <v>1367</v>
      </c>
      <c r="U154" s="301" t="s">
        <v>1368</v>
      </c>
      <c r="V154" s="301" t="s">
        <v>1369</v>
      </c>
      <c r="W154" s="298" t="s">
        <v>317</v>
      </c>
      <c r="X154" s="298" t="s">
        <v>306</v>
      </c>
    </row>
    <row r="155">
      <c r="A155" s="295" t="s">
        <v>1370</v>
      </c>
      <c r="B155" s="298">
        <v>1.0</v>
      </c>
      <c r="C155" s="298" t="s">
        <v>288</v>
      </c>
      <c r="D155" s="298" t="s">
        <v>310</v>
      </c>
      <c r="E155" s="298" t="s">
        <v>311</v>
      </c>
      <c r="F155" s="298" t="s">
        <v>1371</v>
      </c>
      <c r="G155" s="298" t="s">
        <v>674</v>
      </c>
      <c r="H155" s="298" t="s">
        <v>335</v>
      </c>
      <c r="I155" s="298" t="s">
        <v>1372</v>
      </c>
      <c r="J155" s="298" t="s">
        <v>315</v>
      </c>
      <c r="K155" s="298" t="s">
        <v>545</v>
      </c>
      <c r="L155" s="298" t="s">
        <v>493</v>
      </c>
      <c r="M155" s="301" t="s">
        <v>1373</v>
      </c>
      <c r="N155" s="301" t="s">
        <v>1373</v>
      </c>
      <c r="O155" s="301" t="s">
        <v>1373</v>
      </c>
      <c r="P155" s="301" t="s">
        <v>1373</v>
      </c>
      <c r="Q155" s="301" t="s">
        <v>1373</v>
      </c>
      <c r="R155" s="301" t="s">
        <v>1373</v>
      </c>
      <c r="S155" s="301" t="s">
        <v>1373</v>
      </c>
      <c r="T155" s="301" t="s">
        <v>1373</v>
      </c>
      <c r="U155" s="301" t="s">
        <v>1373</v>
      </c>
      <c r="V155" s="301" t="s">
        <v>1373</v>
      </c>
      <c r="W155" s="298" t="s">
        <v>460</v>
      </c>
      <c r="X155" s="298" t="s">
        <v>966</v>
      </c>
    </row>
    <row r="156">
      <c r="A156" s="295" t="s">
        <v>1374</v>
      </c>
      <c r="B156" s="298">
        <v>1.0</v>
      </c>
      <c r="C156" s="298" t="s">
        <v>288</v>
      </c>
      <c r="D156" s="298" t="s">
        <v>310</v>
      </c>
      <c r="E156" s="298" t="s">
        <v>311</v>
      </c>
      <c r="F156" s="298" t="str">
        <f>'Character Sheet'!$C$9</f>
        <v/>
      </c>
      <c r="G156" s="298" t="s">
        <v>294</v>
      </c>
      <c r="H156" s="298" t="s">
        <v>335</v>
      </c>
      <c r="I156" s="298" t="s">
        <v>780</v>
      </c>
      <c r="J156" s="298" t="s">
        <v>315</v>
      </c>
      <c r="K156" s="298" t="s">
        <v>298</v>
      </c>
      <c r="L156" s="298" t="s">
        <v>493</v>
      </c>
      <c r="M156" s="301" t="s">
        <v>1376</v>
      </c>
      <c r="N156" s="301" t="s">
        <v>1376</v>
      </c>
      <c r="O156" s="301" t="s">
        <v>1376</v>
      </c>
      <c r="P156" s="301" t="s">
        <v>1376</v>
      </c>
      <c r="Q156" s="301" t="s">
        <v>1376</v>
      </c>
      <c r="R156" s="301" t="s">
        <v>1376</v>
      </c>
      <c r="S156" s="301" t="s">
        <v>1376</v>
      </c>
      <c r="T156" s="301" t="s">
        <v>1376</v>
      </c>
      <c r="U156" s="301" t="s">
        <v>1376</v>
      </c>
      <c r="V156" s="301" t="s">
        <v>1376</v>
      </c>
      <c r="W156" s="298" t="s">
        <v>536</v>
      </c>
      <c r="X156" s="298" t="s">
        <v>306</v>
      </c>
    </row>
    <row r="157">
      <c r="A157" s="295" t="s">
        <v>1377</v>
      </c>
      <c r="B157" s="298">
        <v>1.0</v>
      </c>
      <c r="C157" s="298" t="s">
        <v>288</v>
      </c>
      <c r="D157" s="298" t="s">
        <v>151</v>
      </c>
      <c r="E157" s="298" t="s">
        <v>311</v>
      </c>
      <c r="F157" s="298" t="str">
        <f>'Character Sheet'!$E$9</f>
        <v/>
      </c>
      <c r="G157" s="298" t="s">
        <v>674</v>
      </c>
      <c r="H157" s="298" t="s">
        <v>360</v>
      </c>
      <c r="I157" s="298" t="s">
        <v>1379</v>
      </c>
      <c r="J157" s="298" t="s">
        <v>315</v>
      </c>
      <c r="K157" s="298" t="s">
        <v>632</v>
      </c>
      <c r="L157" s="298" t="s">
        <v>493</v>
      </c>
      <c r="M157" s="301" t="s">
        <v>1381</v>
      </c>
      <c r="N157" s="301" t="s">
        <v>1381</v>
      </c>
      <c r="O157" s="301" t="s">
        <v>1381</v>
      </c>
      <c r="P157" s="301" t="s">
        <v>1381</v>
      </c>
      <c r="Q157" s="301" t="s">
        <v>1381</v>
      </c>
      <c r="R157" s="301" t="s">
        <v>1381</v>
      </c>
      <c r="S157" s="301" t="s">
        <v>1381</v>
      </c>
      <c r="T157" s="301" t="s">
        <v>1381</v>
      </c>
      <c r="U157" s="301" t="s">
        <v>1381</v>
      </c>
      <c r="V157" s="301" t="s">
        <v>1381</v>
      </c>
      <c r="W157" s="298" t="s">
        <v>305</v>
      </c>
      <c r="X157" s="298" t="s">
        <v>318</v>
      </c>
    </row>
    <row r="158">
      <c r="A158" s="295" t="s">
        <v>1382</v>
      </c>
      <c r="B158" s="298">
        <v>1.0</v>
      </c>
      <c r="C158" s="298" t="s">
        <v>288</v>
      </c>
      <c r="D158" s="298" t="s">
        <v>334</v>
      </c>
      <c r="E158" s="298" t="s">
        <v>290</v>
      </c>
      <c r="F158" s="298" t="str">
        <f>'Character Sheet'!$C$9</f>
        <v/>
      </c>
      <c r="G158" s="298" t="s">
        <v>294</v>
      </c>
      <c r="H158" s="298" t="s">
        <v>295</v>
      </c>
      <c r="I158" s="298" t="s">
        <v>1383</v>
      </c>
      <c r="J158" s="298" t="s">
        <v>315</v>
      </c>
      <c r="K158" s="298" t="s">
        <v>632</v>
      </c>
      <c r="L158" s="298" t="s">
        <v>493</v>
      </c>
      <c r="M158" s="301" t="s">
        <v>1384</v>
      </c>
      <c r="N158" s="301" t="s">
        <v>1385</v>
      </c>
      <c r="O158" s="301" t="s">
        <v>1386</v>
      </c>
      <c r="P158" s="301" t="s">
        <v>1387</v>
      </c>
      <c r="Q158" s="301" t="s">
        <v>1389</v>
      </c>
      <c r="R158" s="301" t="s">
        <v>1390</v>
      </c>
      <c r="S158" s="301" t="s">
        <v>1391</v>
      </c>
      <c r="T158" s="301" t="s">
        <v>1392</v>
      </c>
      <c r="U158" s="301" t="s">
        <v>1393</v>
      </c>
      <c r="V158" s="301" t="s">
        <v>1394</v>
      </c>
      <c r="W158" s="298" t="s">
        <v>978</v>
      </c>
      <c r="X158" s="298" t="s">
        <v>318</v>
      </c>
    </row>
    <row r="159">
      <c r="A159" s="295" t="s">
        <v>1395</v>
      </c>
      <c r="B159" s="298">
        <v>1.0</v>
      </c>
      <c r="C159" s="298" t="s">
        <v>288</v>
      </c>
      <c r="D159" s="298" t="s">
        <v>421</v>
      </c>
      <c r="E159" s="298" t="s">
        <v>290</v>
      </c>
      <c r="F159" s="298" t="str">
        <f>'Character Sheet'!$C$9</f>
        <v/>
      </c>
      <c r="G159" s="298" t="s">
        <v>294</v>
      </c>
      <c r="H159" s="298" t="s">
        <v>335</v>
      </c>
      <c r="I159" s="298" t="s">
        <v>780</v>
      </c>
      <c r="J159" s="298" t="s">
        <v>315</v>
      </c>
      <c r="K159" s="298" t="s">
        <v>675</v>
      </c>
      <c r="L159" s="298" t="s">
        <v>493</v>
      </c>
      <c r="M159" s="301" t="s">
        <v>1397</v>
      </c>
      <c r="N159" s="301" t="s">
        <v>1397</v>
      </c>
      <c r="O159" s="301" t="s">
        <v>1397</v>
      </c>
      <c r="P159" s="301" t="s">
        <v>1397</v>
      </c>
      <c r="Q159" s="301" t="s">
        <v>1398</v>
      </c>
      <c r="R159" s="301" t="s">
        <v>1398</v>
      </c>
      <c r="S159" s="301" t="s">
        <v>1398</v>
      </c>
      <c r="T159" s="301" t="s">
        <v>1399</v>
      </c>
      <c r="U159" s="301" t="s">
        <v>1398</v>
      </c>
      <c r="V159" s="301" t="s">
        <v>1398</v>
      </c>
      <c r="W159" s="298" t="s">
        <v>305</v>
      </c>
      <c r="X159" s="298" t="s">
        <v>306</v>
      </c>
    </row>
    <row r="160">
      <c r="A160" s="295" t="s">
        <v>1400</v>
      </c>
      <c r="B160" s="298">
        <v>1.0</v>
      </c>
      <c r="C160" s="298" t="s">
        <v>522</v>
      </c>
      <c r="D160" s="298" t="s">
        <v>462</v>
      </c>
      <c r="E160" s="298" t="s">
        <v>290</v>
      </c>
      <c r="F160" s="298" t="str">
        <f>'Character Sheet'!$C$9</f>
        <v/>
      </c>
      <c r="G160" s="298" t="s">
        <v>294</v>
      </c>
      <c r="H160" s="298" t="s">
        <v>324</v>
      </c>
      <c r="I160" s="298" t="s">
        <v>324</v>
      </c>
      <c r="J160" s="298" t="s">
        <v>315</v>
      </c>
      <c r="K160" s="298" t="s">
        <v>632</v>
      </c>
      <c r="L160" s="298" t="s">
        <v>493</v>
      </c>
      <c r="M160" s="301" t="s">
        <v>1402</v>
      </c>
      <c r="N160" s="301" t="s">
        <v>1403</v>
      </c>
      <c r="O160" s="301" t="s">
        <v>1404</v>
      </c>
      <c r="P160" s="301" t="s">
        <v>1405</v>
      </c>
      <c r="Q160" s="301" t="s">
        <v>1406</v>
      </c>
      <c r="R160" s="301" t="s">
        <v>1407</v>
      </c>
      <c r="S160" s="301" t="s">
        <v>1408</v>
      </c>
      <c r="T160" s="301" t="s">
        <v>1409</v>
      </c>
      <c r="U160" s="301" t="s">
        <v>1410</v>
      </c>
      <c r="V160" s="301" t="s">
        <v>1411</v>
      </c>
      <c r="W160" s="298" t="s">
        <v>499</v>
      </c>
      <c r="X160" s="298" t="s">
        <v>1222</v>
      </c>
    </row>
    <row r="161">
      <c r="A161" s="295" t="s">
        <v>1412</v>
      </c>
      <c r="B161" s="298">
        <v>1.0</v>
      </c>
      <c r="C161" s="298" t="s">
        <v>288</v>
      </c>
      <c r="D161" s="298" t="s">
        <v>289</v>
      </c>
      <c r="E161" s="298" t="s">
        <v>290</v>
      </c>
      <c r="F161" s="298" t="str">
        <f>'Character Sheet'!$C$9</f>
        <v/>
      </c>
      <c r="G161" s="298" t="s">
        <v>294</v>
      </c>
      <c r="H161" s="298" t="s">
        <v>324</v>
      </c>
      <c r="I161" s="298" t="s">
        <v>1413</v>
      </c>
      <c r="J161" s="298" t="s">
        <v>336</v>
      </c>
      <c r="K161" s="298" t="s">
        <v>478</v>
      </c>
      <c r="L161" s="298" t="s">
        <v>493</v>
      </c>
      <c r="M161" s="301" t="s">
        <v>1414</v>
      </c>
      <c r="N161" s="301" t="s">
        <v>1415</v>
      </c>
      <c r="O161" s="301" t="s">
        <v>1416</v>
      </c>
      <c r="P161" s="301" t="s">
        <v>1418</v>
      </c>
      <c r="Q161" s="301" t="s">
        <v>1419</v>
      </c>
      <c r="R161" s="301" t="s">
        <v>1420</v>
      </c>
      <c r="S161" s="301" t="s">
        <v>1421</v>
      </c>
      <c r="T161" s="301" t="s">
        <v>1422</v>
      </c>
      <c r="U161" s="301" t="s">
        <v>1423</v>
      </c>
      <c r="V161" s="301" t="s">
        <v>1424</v>
      </c>
      <c r="W161" s="298" t="s">
        <v>305</v>
      </c>
      <c r="X161" s="298" t="s">
        <v>678</v>
      </c>
    </row>
    <row r="162">
      <c r="A162" s="295" t="s">
        <v>1425</v>
      </c>
      <c r="B162" s="298">
        <v>1.0</v>
      </c>
      <c r="C162" s="298" t="s">
        <v>522</v>
      </c>
      <c r="D162" s="298" t="s">
        <v>310</v>
      </c>
      <c r="E162" s="298" t="s">
        <v>290</v>
      </c>
      <c r="F162" s="298" t="str">
        <f>'Character Sheet'!$C$9</f>
        <v/>
      </c>
      <c r="G162" s="298" t="s">
        <v>294</v>
      </c>
      <c r="H162" s="298" t="s">
        <v>324</v>
      </c>
      <c r="I162" s="298" t="s">
        <v>324</v>
      </c>
      <c r="J162" s="298" t="s">
        <v>315</v>
      </c>
      <c r="K162" s="298" t="s">
        <v>675</v>
      </c>
      <c r="L162" s="298" t="s">
        <v>493</v>
      </c>
      <c r="M162" s="301" t="s">
        <v>1426</v>
      </c>
      <c r="N162" s="301" t="s">
        <v>1426</v>
      </c>
      <c r="O162" s="301" t="s">
        <v>1426</v>
      </c>
      <c r="P162" s="301" t="s">
        <v>1426</v>
      </c>
      <c r="Q162" s="301" t="s">
        <v>1428</v>
      </c>
      <c r="R162" s="301" t="s">
        <v>1428</v>
      </c>
      <c r="S162" s="301" t="s">
        <v>1428</v>
      </c>
      <c r="T162" s="301" t="s">
        <v>1428</v>
      </c>
      <c r="U162" s="301" t="s">
        <v>1428</v>
      </c>
      <c r="V162" s="301" t="s">
        <v>1428</v>
      </c>
      <c r="W162" s="298" t="s">
        <v>331</v>
      </c>
      <c r="X162" s="298" t="s">
        <v>318</v>
      </c>
    </row>
    <row r="163">
      <c r="A163" s="295" t="s">
        <v>1429</v>
      </c>
      <c r="B163" s="298">
        <v>1.0</v>
      </c>
      <c r="C163" s="298" t="s">
        <v>522</v>
      </c>
      <c r="D163" s="298" t="s">
        <v>310</v>
      </c>
      <c r="E163" s="298" t="s">
        <v>290</v>
      </c>
      <c r="F163" s="298" t="str">
        <f>'Character Sheet'!$C$9</f>
        <v/>
      </c>
      <c r="G163" s="298" t="s">
        <v>294</v>
      </c>
      <c r="H163" s="298" t="s">
        <v>335</v>
      </c>
      <c r="I163" s="298" t="s">
        <v>435</v>
      </c>
      <c r="J163" s="298" t="s">
        <v>315</v>
      </c>
      <c r="K163" s="298" t="s">
        <v>298</v>
      </c>
      <c r="L163" s="298" t="s">
        <v>493</v>
      </c>
      <c r="M163" s="301" t="s">
        <v>1430</v>
      </c>
      <c r="N163" s="301" t="s">
        <v>1431</v>
      </c>
      <c r="O163" s="301" t="s">
        <v>1431</v>
      </c>
      <c r="P163" s="301" t="s">
        <v>1432</v>
      </c>
      <c r="Q163" s="301" t="s">
        <v>1432</v>
      </c>
      <c r="R163" s="301" t="s">
        <v>1433</v>
      </c>
      <c r="S163" s="301" t="s">
        <v>1433</v>
      </c>
      <c r="T163" s="301" t="s">
        <v>1435</v>
      </c>
      <c r="U163" s="301" t="s">
        <v>1436</v>
      </c>
      <c r="V163" s="301" t="s">
        <v>1436</v>
      </c>
      <c r="W163" s="298" t="s">
        <v>536</v>
      </c>
      <c r="X163" s="298" t="s">
        <v>306</v>
      </c>
    </row>
    <row r="164">
      <c r="A164" s="295" t="s">
        <v>1437</v>
      </c>
      <c r="B164" s="298">
        <v>1.0</v>
      </c>
      <c r="C164" s="298" t="s">
        <v>288</v>
      </c>
      <c r="D164" s="298" t="s">
        <v>421</v>
      </c>
      <c r="E164" s="298" t="s">
        <v>290</v>
      </c>
      <c r="F164" s="298" t="str">
        <f>'Character Sheet'!$C$9</f>
        <v/>
      </c>
      <c r="G164" s="298" t="s">
        <v>294</v>
      </c>
      <c r="H164" s="298" t="s">
        <v>324</v>
      </c>
      <c r="I164" s="298" t="s">
        <v>324</v>
      </c>
      <c r="J164" s="298" t="s">
        <v>315</v>
      </c>
      <c r="K164" s="298" t="s">
        <v>675</v>
      </c>
      <c r="L164" s="298" t="s">
        <v>493</v>
      </c>
      <c r="M164" s="301" t="s">
        <v>1438</v>
      </c>
      <c r="N164" s="301" t="s">
        <v>1439</v>
      </c>
      <c r="O164" s="301" t="s">
        <v>1439</v>
      </c>
      <c r="P164" s="301" t="s">
        <v>1440</v>
      </c>
      <c r="Q164" s="301" t="s">
        <v>1440</v>
      </c>
      <c r="R164" s="301" t="s">
        <v>1440</v>
      </c>
      <c r="S164" s="301" t="s">
        <v>1440</v>
      </c>
      <c r="T164" s="301" t="s">
        <v>1440</v>
      </c>
      <c r="U164" s="301" t="s">
        <v>1440</v>
      </c>
      <c r="V164" s="301" t="s">
        <v>1440</v>
      </c>
      <c r="W164" s="298" t="s">
        <v>499</v>
      </c>
      <c r="X164" s="298" t="s">
        <v>306</v>
      </c>
    </row>
    <row r="165">
      <c r="A165" s="295" t="s">
        <v>1441</v>
      </c>
      <c r="B165" s="298">
        <v>1.0</v>
      </c>
      <c r="C165" s="298" t="s">
        <v>288</v>
      </c>
      <c r="D165" s="298" t="s">
        <v>289</v>
      </c>
      <c r="E165" s="298" t="s">
        <v>311</v>
      </c>
      <c r="F165" s="298" t="str">
        <f>'Character Sheet'!$C$9</f>
        <v/>
      </c>
      <c r="G165" s="298" t="s">
        <v>294</v>
      </c>
      <c r="H165" s="298" t="s">
        <v>295</v>
      </c>
      <c r="I165" s="298" t="s">
        <v>296</v>
      </c>
      <c r="J165" s="298" t="s">
        <v>180</v>
      </c>
      <c r="K165" s="298" t="s">
        <v>325</v>
      </c>
      <c r="L165" s="298" t="s">
        <v>493</v>
      </c>
      <c r="M165" s="301" t="s">
        <v>1443</v>
      </c>
      <c r="N165" s="301" t="s">
        <v>1443</v>
      </c>
      <c r="O165" s="301" t="s">
        <v>1443</v>
      </c>
      <c r="P165" s="301" t="s">
        <v>1443</v>
      </c>
      <c r="Q165" s="301" t="s">
        <v>1443</v>
      </c>
      <c r="R165" s="301" t="s">
        <v>1443</v>
      </c>
      <c r="S165" s="301" t="s">
        <v>1443</v>
      </c>
      <c r="T165" s="301" t="s">
        <v>1443</v>
      </c>
      <c r="U165" s="301" t="s">
        <v>1443</v>
      </c>
      <c r="V165" s="301" t="s">
        <v>1443</v>
      </c>
      <c r="W165" s="298" t="s">
        <v>460</v>
      </c>
      <c r="X165" s="298" t="s">
        <v>966</v>
      </c>
    </row>
    <row r="166">
      <c r="A166" s="295" t="s">
        <v>1445</v>
      </c>
      <c r="B166" s="298">
        <v>1.0</v>
      </c>
      <c r="C166" s="298" t="s">
        <v>522</v>
      </c>
      <c r="D166" s="298" t="s">
        <v>289</v>
      </c>
      <c r="E166" s="298" t="s">
        <v>290</v>
      </c>
      <c r="F166" s="298" t="str">
        <f>'Character Sheet'!$C$9</f>
        <v/>
      </c>
      <c r="G166" s="298" t="s">
        <v>294</v>
      </c>
      <c r="H166" s="298" t="s">
        <v>360</v>
      </c>
      <c r="I166" s="298" t="s">
        <v>296</v>
      </c>
      <c r="J166" s="298" t="s">
        <v>180</v>
      </c>
      <c r="K166" s="298" t="s">
        <v>632</v>
      </c>
      <c r="L166" s="298" t="s">
        <v>493</v>
      </c>
      <c r="M166" s="301" t="s">
        <v>1446</v>
      </c>
      <c r="N166" s="301" t="s">
        <v>1447</v>
      </c>
      <c r="O166" s="301" t="s">
        <v>1448</v>
      </c>
      <c r="P166" s="301" t="s">
        <v>1450</v>
      </c>
      <c r="Q166" s="301" t="s">
        <v>1451</v>
      </c>
      <c r="R166" s="301" t="s">
        <v>1452</v>
      </c>
      <c r="S166" s="301" t="s">
        <v>1453</v>
      </c>
      <c r="T166" s="301" t="s">
        <v>1454</v>
      </c>
      <c r="U166" s="301" t="s">
        <v>1455</v>
      </c>
      <c r="V166" s="301" t="s">
        <v>1456</v>
      </c>
      <c r="W166" s="298" t="s">
        <v>305</v>
      </c>
      <c r="X166" s="298" t="s">
        <v>1457</v>
      </c>
    </row>
    <row r="167">
      <c r="A167" s="295" t="s">
        <v>1458</v>
      </c>
      <c r="B167" s="298">
        <v>1.0</v>
      </c>
      <c r="C167" s="298" t="s">
        <v>288</v>
      </c>
      <c r="D167" s="298" t="s">
        <v>462</v>
      </c>
      <c r="E167" s="298" t="s">
        <v>290</v>
      </c>
      <c r="F167" s="298" t="str">
        <f>'Character Sheet'!$C$9</f>
        <v/>
      </c>
      <c r="G167" s="298" t="s">
        <v>294</v>
      </c>
      <c r="H167" s="298" t="s">
        <v>324</v>
      </c>
      <c r="I167" s="298" t="s">
        <v>324</v>
      </c>
      <c r="J167" s="298" t="s">
        <v>315</v>
      </c>
      <c r="K167" s="298" t="s">
        <v>325</v>
      </c>
      <c r="L167" s="298" t="s">
        <v>493</v>
      </c>
      <c r="M167" s="301" t="s">
        <v>1459</v>
      </c>
      <c r="N167" s="301" t="s">
        <v>1460</v>
      </c>
      <c r="O167" s="301" t="s">
        <v>1461</v>
      </c>
      <c r="P167" s="301" t="s">
        <v>1463</v>
      </c>
      <c r="Q167" s="301" t="s">
        <v>1464</v>
      </c>
      <c r="R167" s="301" t="s">
        <v>1465</v>
      </c>
      <c r="S167" s="301" t="s">
        <v>1466</v>
      </c>
      <c r="T167" s="301" t="s">
        <v>1467</v>
      </c>
      <c r="U167" s="301" t="s">
        <v>1468</v>
      </c>
      <c r="V167" s="301" t="s">
        <v>1469</v>
      </c>
      <c r="W167" s="298" t="s">
        <v>305</v>
      </c>
      <c r="X167" s="298" t="s">
        <v>306</v>
      </c>
    </row>
    <row r="168">
      <c r="A168" s="295" t="s">
        <v>1470</v>
      </c>
      <c r="B168" s="298">
        <v>1.0</v>
      </c>
      <c r="C168" s="298" t="s">
        <v>288</v>
      </c>
      <c r="D168" s="298" t="s">
        <v>151</v>
      </c>
      <c r="E168" s="298" t="s">
        <v>311</v>
      </c>
      <c r="F168" s="298" t="str">
        <f>'Character Sheet'!$B$9</f>
        <v/>
      </c>
      <c r="G168" s="298" t="s">
        <v>493</v>
      </c>
      <c r="H168" s="298" t="s">
        <v>335</v>
      </c>
      <c r="I168" s="298" t="s">
        <v>1472</v>
      </c>
      <c r="J168" s="298" t="s">
        <v>315</v>
      </c>
      <c r="K168" s="298" t="s">
        <v>1001</v>
      </c>
      <c r="L168" s="298" t="s">
        <v>493</v>
      </c>
      <c r="M168" s="301" t="s">
        <v>1473</v>
      </c>
      <c r="N168" s="301" t="s">
        <v>1473</v>
      </c>
      <c r="O168" s="301" t="s">
        <v>1473</v>
      </c>
      <c r="P168" s="301" t="s">
        <v>1473</v>
      </c>
      <c r="Q168" s="301" t="s">
        <v>1473</v>
      </c>
      <c r="R168" s="301" t="s">
        <v>1473</v>
      </c>
      <c r="S168" s="301" t="s">
        <v>1473</v>
      </c>
      <c r="T168" s="301" t="s">
        <v>1473</v>
      </c>
      <c r="U168" s="301" t="s">
        <v>1473</v>
      </c>
      <c r="V168" s="301" t="s">
        <v>1473</v>
      </c>
      <c r="W168" s="298" t="s">
        <v>317</v>
      </c>
      <c r="X168" s="298" t="s">
        <v>678</v>
      </c>
    </row>
    <row r="169">
      <c r="A169" s="295" t="s">
        <v>1474</v>
      </c>
      <c r="B169" s="298">
        <v>1.0</v>
      </c>
      <c r="C169" s="298" t="s">
        <v>288</v>
      </c>
      <c r="D169" s="298" t="s">
        <v>321</v>
      </c>
      <c r="E169" s="298" t="s">
        <v>290</v>
      </c>
      <c r="F169" s="298" t="str">
        <f>'Character Sheet'!$C$9</f>
        <v/>
      </c>
      <c r="G169" s="298" t="s">
        <v>294</v>
      </c>
      <c r="H169" s="298" t="s">
        <v>295</v>
      </c>
      <c r="I169" s="298" t="s">
        <v>296</v>
      </c>
      <c r="J169" s="298" t="s">
        <v>192</v>
      </c>
      <c r="K169" s="298" t="s">
        <v>632</v>
      </c>
      <c r="L169" s="298" t="s">
        <v>493</v>
      </c>
      <c r="M169" s="301" t="s">
        <v>1476</v>
      </c>
      <c r="N169" s="301" t="s">
        <v>1477</v>
      </c>
      <c r="O169" s="301" t="s">
        <v>1478</v>
      </c>
      <c r="P169" s="301" t="s">
        <v>1479</v>
      </c>
      <c r="Q169" s="301" t="s">
        <v>1480</v>
      </c>
      <c r="R169" s="301" t="s">
        <v>1481</v>
      </c>
      <c r="S169" s="301" t="s">
        <v>1482</v>
      </c>
      <c r="T169" s="301" t="s">
        <v>1483</v>
      </c>
      <c r="U169" s="301" t="s">
        <v>1484</v>
      </c>
      <c r="V169" s="301" t="s">
        <v>1485</v>
      </c>
      <c r="W169" s="298" t="s">
        <v>536</v>
      </c>
      <c r="X169" s="298" t="s">
        <v>306</v>
      </c>
    </row>
    <row r="170">
      <c r="A170" s="295" t="s">
        <v>1487</v>
      </c>
      <c r="B170" s="298">
        <v>1.0</v>
      </c>
      <c r="C170" s="298" t="s">
        <v>288</v>
      </c>
      <c r="D170" s="298" t="s">
        <v>310</v>
      </c>
      <c r="E170" s="298" t="s">
        <v>290</v>
      </c>
      <c r="F170" s="298" t="str">
        <f>'Character Sheet'!$E$9</f>
        <v/>
      </c>
      <c r="G170" s="298" t="s">
        <v>674</v>
      </c>
      <c r="H170" s="298" t="s">
        <v>324</v>
      </c>
      <c r="I170" s="298" t="s">
        <v>324</v>
      </c>
      <c r="J170" s="298" t="s">
        <v>315</v>
      </c>
      <c r="K170" s="298" t="s">
        <v>1489</v>
      </c>
      <c r="L170" s="298" t="s">
        <v>493</v>
      </c>
      <c r="M170" s="301" t="s">
        <v>1490</v>
      </c>
      <c r="N170" s="301" t="s">
        <v>1490</v>
      </c>
      <c r="O170" s="301" t="s">
        <v>1492</v>
      </c>
      <c r="P170" s="301" t="s">
        <v>1492</v>
      </c>
      <c r="Q170" s="301" t="s">
        <v>1492</v>
      </c>
      <c r="R170" s="301" t="s">
        <v>1493</v>
      </c>
      <c r="S170" s="301" t="s">
        <v>1493</v>
      </c>
      <c r="T170" s="301" t="s">
        <v>1493</v>
      </c>
      <c r="U170" s="301" t="s">
        <v>1494</v>
      </c>
      <c r="V170" s="301" t="s">
        <v>1494</v>
      </c>
      <c r="W170" s="298" t="s">
        <v>460</v>
      </c>
      <c r="X170" s="298" t="s">
        <v>318</v>
      </c>
    </row>
    <row r="171">
      <c r="A171" s="295" t="s">
        <v>1496</v>
      </c>
      <c r="B171" s="298">
        <v>1.0</v>
      </c>
      <c r="C171" s="298" t="s">
        <v>522</v>
      </c>
      <c r="D171" s="298" t="s">
        <v>421</v>
      </c>
      <c r="E171" s="298" t="s">
        <v>311</v>
      </c>
      <c r="F171" s="298" t="str">
        <f>'Character Sheet'!$C$9</f>
        <v/>
      </c>
      <c r="G171" s="298" t="s">
        <v>294</v>
      </c>
      <c r="H171" s="298" t="s">
        <v>335</v>
      </c>
      <c r="I171" s="298" t="s">
        <v>296</v>
      </c>
      <c r="J171" s="298" t="s">
        <v>315</v>
      </c>
      <c r="K171" s="298" t="s">
        <v>632</v>
      </c>
      <c r="L171" s="298" t="s">
        <v>493</v>
      </c>
      <c r="M171" s="301" t="s">
        <v>1498</v>
      </c>
      <c r="N171" s="301" t="s">
        <v>1498</v>
      </c>
      <c r="O171" s="301" t="s">
        <v>1498</v>
      </c>
      <c r="P171" s="301" t="s">
        <v>1498</v>
      </c>
      <c r="Q171" s="301" t="s">
        <v>1498</v>
      </c>
      <c r="R171" s="301" t="s">
        <v>1498</v>
      </c>
      <c r="S171" s="301" t="s">
        <v>1498</v>
      </c>
      <c r="T171" s="301" t="s">
        <v>1498</v>
      </c>
      <c r="U171" s="301" t="s">
        <v>1498</v>
      </c>
      <c r="V171" s="301" t="s">
        <v>1498</v>
      </c>
      <c r="W171" s="298" t="s">
        <v>429</v>
      </c>
      <c r="X171" s="298" t="s">
        <v>306</v>
      </c>
    </row>
    <row r="172">
      <c r="A172" s="295" t="s">
        <v>1499</v>
      </c>
      <c r="B172" s="298">
        <v>1.0</v>
      </c>
      <c r="C172" s="298" t="s">
        <v>288</v>
      </c>
      <c r="D172" s="298" t="s">
        <v>151</v>
      </c>
      <c r="E172" s="298" t="s">
        <v>290</v>
      </c>
      <c r="F172" s="298" t="str">
        <f>'Character Sheet'!$C$9</f>
        <v/>
      </c>
      <c r="G172" s="298" t="s">
        <v>294</v>
      </c>
      <c r="H172" s="298" t="s">
        <v>295</v>
      </c>
      <c r="I172" s="298" t="s">
        <v>315</v>
      </c>
      <c r="J172" s="298" t="s">
        <v>315</v>
      </c>
      <c r="K172" s="298" t="s">
        <v>632</v>
      </c>
      <c r="L172" s="298" t="s">
        <v>493</v>
      </c>
      <c r="M172" s="301" t="s">
        <v>1500</v>
      </c>
      <c r="N172" s="301" t="s">
        <v>1501</v>
      </c>
      <c r="O172" s="301" t="s">
        <v>1502</v>
      </c>
      <c r="P172" s="301" t="s">
        <v>1503</v>
      </c>
      <c r="Q172" s="301" t="s">
        <v>1504</v>
      </c>
      <c r="R172" s="301" t="s">
        <v>1505</v>
      </c>
      <c r="S172" s="301" t="s">
        <v>1506</v>
      </c>
      <c r="T172" s="301" t="s">
        <v>1507</v>
      </c>
      <c r="U172" s="301" t="s">
        <v>1508</v>
      </c>
      <c r="V172" s="301" t="s">
        <v>1509</v>
      </c>
      <c r="W172" s="298" t="s">
        <v>499</v>
      </c>
      <c r="X172" s="298" t="s">
        <v>318</v>
      </c>
    </row>
    <row r="173">
      <c r="A173" s="295" t="s">
        <v>1510</v>
      </c>
      <c r="B173" s="298">
        <v>1.0</v>
      </c>
      <c r="C173" s="298" t="s">
        <v>288</v>
      </c>
      <c r="D173" s="298" t="s">
        <v>289</v>
      </c>
      <c r="E173" s="298" t="s">
        <v>290</v>
      </c>
      <c r="F173" s="298" t="str">
        <f>'Character Sheet'!$C$9</f>
        <v/>
      </c>
      <c r="G173" s="298" t="s">
        <v>294</v>
      </c>
      <c r="H173" s="298" t="s">
        <v>324</v>
      </c>
      <c r="I173" s="298" t="s">
        <v>884</v>
      </c>
      <c r="J173" s="298" t="s">
        <v>407</v>
      </c>
      <c r="K173" s="298" t="s">
        <v>298</v>
      </c>
      <c r="L173" s="298" t="s">
        <v>493</v>
      </c>
      <c r="M173" s="301" t="s">
        <v>1511</v>
      </c>
      <c r="N173" s="301" t="s">
        <v>1512</v>
      </c>
      <c r="O173" s="301" t="s">
        <v>1513</v>
      </c>
      <c r="P173" s="301" t="s">
        <v>1514</v>
      </c>
      <c r="Q173" s="301" t="s">
        <v>1515</v>
      </c>
      <c r="R173" s="301" t="s">
        <v>1516</v>
      </c>
      <c r="S173" s="301" t="s">
        <v>1517</v>
      </c>
      <c r="T173" s="301" t="s">
        <v>1518</v>
      </c>
      <c r="U173" s="301" t="s">
        <v>1519</v>
      </c>
      <c r="V173" s="301" t="s">
        <v>1520</v>
      </c>
      <c r="W173" s="298" t="s">
        <v>305</v>
      </c>
      <c r="X173" s="298" t="s">
        <v>678</v>
      </c>
    </row>
    <row r="174">
      <c r="A174" s="295" t="s">
        <v>1521</v>
      </c>
      <c r="B174" s="298">
        <v>1.0</v>
      </c>
      <c r="C174" s="298" t="s">
        <v>288</v>
      </c>
      <c r="D174" s="298" t="s">
        <v>334</v>
      </c>
      <c r="E174" s="298" t="s">
        <v>311</v>
      </c>
      <c r="F174" s="298" t="str">
        <f>'Character Sheet'!$C$9</f>
        <v/>
      </c>
      <c r="G174" s="298" t="s">
        <v>294</v>
      </c>
      <c r="H174" s="298" t="s">
        <v>335</v>
      </c>
      <c r="I174" s="298" t="s">
        <v>1522</v>
      </c>
      <c r="J174" s="298" t="s">
        <v>315</v>
      </c>
      <c r="K174" s="298" t="s">
        <v>298</v>
      </c>
      <c r="L174" s="298" t="s">
        <v>493</v>
      </c>
      <c r="M174" s="301" t="s">
        <v>1523</v>
      </c>
      <c r="N174" s="301" t="s">
        <v>1523</v>
      </c>
      <c r="O174" s="301" t="s">
        <v>1523</v>
      </c>
      <c r="P174" s="301" t="s">
        <v>1523</v>
      </c>
      <c r="Q174" s="301" t="s">
        <v>1523</v>
      </c>
      <c r="R174" s="301" t="s">
        <v>1523</v>
      </c>
      <c r="S174" s="301" t="s">
        <v>1523</v>
      </c>
      <c r="T174" s="301" t="s">
        <v>1523</v>
      </c>
      <c r="U174" s="301" t="s">
        <v>1523</v>
      </c>
      <c r="V174" s="301" t="s">
        <v>1523</v>
      </c>
      <c r="W174" s="298" t="s">
        <v>389</v>
      </c>
      <c r="X174" s="298" t="s">
        <v>306</v>
      </c>
    </row>
    <row r="175">
      <c r="A175" s="295" t="s">
        <v>1524</v>
      </c>
      <c r="B175" s="298">
        <v>1.0</v>
      </c>
      <c r="C175" s="298" t="s">
        <v>522</v>
      </c>
      <c r="D175" s="298" t="s">
        <v>289</v>
      </c>
      <c r="E175" s="298" t="s">
        <v>290</v>
      </c>
      <c r="F175" s="298" t="str">
        <f>'Character Sheet'!$C$9</f>
        <v/>
      </c>
      <c r="G175" s="298" t="s">
        <v>294</v>
      </c>
      <c r="H175" s="298" t="s">
        <v>360</v>
      </c>
      <c r="I175" s="298" t="s">
        <v>296</v>
      </c>
      <c r="J175" s="298" t="s">
        <v>203</v>
      </c>
      <c r="K175" s="298" t="s">
        <v>298</v>
      </c>
      <c r="L175" s="298" t="s">
        <v>493</v>
      </c>
      <c r="M175" s="301" t="s">
        <v>1525</v>
      </c>
      <c r="N175" s="301" t="s">
        <v>1527</v>
      </c>
      <c r="O175" s="301" t="s">
        <v>1528</v>
      </c>
      <c r="P175" s="301" t="s">
        <v>1529</v>
      </c>
      <c r="Q175" s="301" t="s">
        <v>1530</v>
      </c>
      <c r="R175" s="301" t="s">
        <v>1531</v>
      </c>
      <c r="S175" s="301" t="s">
        <v>1532</v>
      </c>
      <c r="T175" s="301" t="s">
        <v>1533</v>
      </c>
      <c r="U175" s="301" t="s">
        <v>1534</v>
      </c>
      <c r="V175" s="301" t="s">
        <v>1535</v>
      </c>
      <c r="W175" s="298" t="s">
        <v>389</v>
      </c>
      <c r="X175" s="298" t="s">
        <v>1082</v>
      </c>
    </row>
    <row r="176">
      <c r="A176" s="295" t="s">
        <v>1536</v>
      </c>
      <c r="B176" s="298">
        <v>1.0</v>
      </c>
      <c r="C176" s="298" t="s">
        <v>288</v>
      </c>
      <c r="D176" s="298" t="s">
        <v>334</v>
      </c>
      <c r="E176" s="298" t="s">
        <v>290</v>
      </c>
      <c r="F176" s="298" t="str">
        <f>'Character Sheet'!$C$9</f>
        <v/>
      </c>
      <c r="G176" s="298" t="s">
        <v>294</v>
      </c>
      <c r="H176" s="298" t="s">
        <v>335</v>
      </c>
      <c r="I176" s="298" t="s">
        <v>1522</v>
      </c>
      <c r="J176" s="298" t="s">
        <v>315</v>
      </c>
      <c r="K176" s="298" t="s">
        <v>298</v>
      </c>
      <c r="L176" s="298" t="s">
        <v>493</v>
      </c>
      <c r="M176" s="301" t="s">
        <v>1537</v>
      </c>
      <c r="N176" s="301" t="s">
        <v>1538</v>
      </c>
      <c r="O176" s="301" t="s">
        <v>1539</v>
      </c>
      <c r="P176" s="301" t="s">
        <v>1539</v>
      </c>
      <c r="Q176" s="301" t="s">
        <v>1539</v>
      </c>
      <c r="R176" s="301" t="s">
        <v>1539</v>
      </c>
      <c r="S176" s="301" t="s">
        <v>1539</v>
      </c>
      <c r="T176" s="301" t="s">
        <v>1539</v>
      </c>
      <c r="U176" s="301" t="s">
        <v>1539</v>
      </c>
      <c r="V176" s="301" t="s">
        <v>1539</v>
      </c>
      <c r="W176" s="298" t="s">
        <v>389</v>
      </c>
      <c r="X176" s="298" t="s">
        <v>979</v>
      </c>
    </row>
    <row r="177">
      <c r="A177" s="295" t="s">
        <v>1541</v>
      </c>
      <c r="B177" s="298">
        <v>1.0</v>
      </c>
      <c r="C177" s="298" t="s">
        <v>288</v>
      </c>
      <c r="D177" s="298" t="s">
        <v>462</v>
      </c>
      <c r="E177" s="298" t="s">
        <v>290</v>
      </c>
      <c r="F177" s="298" t="str">
        <f>'Character Sheet'!$E$9</f>
        <v/>
      </c>
      <c r="G177" s="298" t="s">
        <v>674</v>
      </c>
      <c r="H177" s="298" t="s">
        <v>313</v>
      </c>
      <c r="I177" s="298" t="s">
        <v>1542</v>
      </c>
      <c r="J177" s="298" t="s">
        <v>315</v>
      </c>
      <c r="K177" s="298" t="s">
        <v>632</v>
      </c>
      <c r="L177" s="298" t="s">
        <v>493</v>
      </c>
      <c r="M177" s="301" t="s">
        <v>1543</v>
      </c>
      <c r="N177" s="301" t="s">
        <v>1543</v>
      </c>
      <c r="O177" s="301" t="s">
        <v>1544</v>
      </c>
      <c r="P177" s="301" t="s">
        <v>1544</v>
      </c>
      <c r="Q177" s="301" t="s">
        <v>1545</v>
      </c>
      <c r="R177" s="301" t="s">
        <v>1545</v>
      </c>
      <c r="S177" s="301" t="s">
        <v>1545</v>
      </c>
      <c r="T177" s="301" t="s">
        <v>1545</v>
      </c>
      <c r="U177" s="301" t="s">
        <v>1545</v>
      </c>
      <c r="V177" s="301" t="s">
        <v>1545</v>
      </c>
      <c r="W177" s="298" t="s">
        <v>317</v>
      </c>
      <c r="X177" s="298" t="s">
        <v>318</v>
      </c>
    </row>
    <row r="178">
      <c r="A178" s="295" t="s">
        <v>1547</v>
      </c>
      <c r="B178" s="298">
        <v>1.0</v>
      </c>
      <c r="C178" s="298" t="s">
        <v>288</v>
      </c>
      <c r="D178" s="298" t="s">
        <v>334</v>
      </c>
      <c r="E178" s="298" t="s">
        <v>311</v>
      </c>
      <c r="F178" s="298" t="str">
        <f>'Character Sheet'!$C$9</f>
        <v/>
      </c>
      <c r="G178" s="298" t="s">
        <v>294</v>
      </c>
      <c r="H178" s="298" t="s">
        <v>295</v>
      </c>
      <c r="I178" s="298" t="s">
        <v>296</v>
      </c>
      <c r="J178" s="298" t="s">
        <v>1548</v>
      </c>
      <c r="K178" s="298" t="s">
        <v>632</v>
      </c>
      <c r="L178" s="298" t="s">
        <v>493</v>
      </c>
      <c r="M178" s="301" t="s">
        <v>1549</v>
      </c>
      <c r="N178" s="301" t="s">
        <v>1549</v>
      </c>
      <c r="O178" s="301" t="s">
        <v>1549</v>
      </c>
      <c r="P178" s="301" t="s">
        <v>1549</v>
      </c>
      <c r="Q178" s="301" t="s">
        <v>1549</v>
      </c>
      <c r="R178" s="301" t="s">
        <v>1549</v>
      </c>
      <c r="S178" s="301" t="s">
        <v>1549</v>
      </c>
      <c r="T178" s="301" t="s">
        <v>1549</v>
      </c>
      <c r="U178" s="301" t="s">
        <v>1549</v>
      </c>
      <c r="V178" s="301" t="s">
        <v>1549</v>
      </c>
      <c r="W178" s="298" t="s">
        <v>331</v>
      </c>
      <c r="X178" s="298" t="s">
        <v>306</v>
      </c>
    </row>
    <row r="179">
      <c r="A179" s="295" t="s">
        <v>1550</v>
      </c>
      <c r="B179" s="298">
        <v>1.0</v>
      </c>
      <c r="C179" s="298" t="s">
        <v>288</v>
      </c>
      <c r="D179" s="298" t="s">
        <v>462</v>
      </c>
      <c r="E179" s="298" t="s">
        <v>311</v>
      </c>
      <c r="F179" s="298" t="s">
        <v>625</v>
      </c>
      <c r="G179" s="298" t="s">
        <v>674</v>
      </c>
      <c r="H179" s="298" t="s">
        <v>335</v>
      </c>
      <c r="I179" s="298" t="s">
        <v>1552</v>
      </c>
      <c r="J179" s="298" t="s">
        <v>315</v>
      </c>
      <c r="K179" s="298" t="s">
        <v>1283</v>
      </c>
      <c r="L179" s="298" t="s">
        <v>493</v>
      </c>
      <c r="M179" s="301" t="s">
        <v>1553</v>
      </c>
      <c r="N179" s="301" t="s">
        <v>1553</v>
      </c>
      <c r="O179" s="301" t="s">
        <v>1553</v>
      </c>
      <c r="P179" s="301" t="s">
        <v>1553</v>
      </c>
      <c r="Q179" s="301" t="s">
        <v>1553</v>
      </c>
      <c r="R179" s="301" t="s">
        <v>1553</v>
      </c>
      <c r="S179" s="301" t="s">
        <v>1553</v>
      </c>
      <c r="T179" s="301" t="s">
        <v>1553</v>
      </c>
      <c r="U179" s="301" t="s">
        <v>1553</v>
      </c>
      <c r="V179" s="301" t="s">
        <v>1553</v>
      </c>
      <c r="W179" s="298" t="s">
        <v>317</v>
      </c>
      <c r="X179" s="298" t="s">
        <v>318</v>
      </c>
    </row>
    <row r="180">
      <c r="A180" s="295" t="s">
        <v>1554</v>
      </c>
      <c r="B180" s="298">
        <v>1.0</v>
      </c>
      <c r="C180" s="298" t="s">
        <v>288</v>
      </c>
      <c r="D180" s="298" t="s">
        <v>421</v>
      </c>
      <c r="E180" s="298" t="s">
        <v>311</v>
      </c>
      <c r="F180" s="298" t="str">
        <f>'Character Sheet'!$C$9</f>
        <v/>
      </c>
      <c r="G180" s="298" t="s">
        <v>294</v>
      </c>
      <c r="H180" s="298" t="s">
        <v>335</v>
      </c>
      <c r="I180" s="298" t="s">
        <v>296</v>
      </c>
      <c r="J180" s="298" t="s">
        <v>192</v>
      </c>
      <c r="K180" s="298" t="s">
        <v>632</v>
      </c>
      <c r="L180" s="298" t="s">
        <v>493</v>
      </c>
      <c r="M180" s="301" t="s">
        <v>1556</v>
      </c>
      <c r="N180" s="301" t="s">
        <v>1556</v>
      </c>
      <c r="O180" s="301" t="s">
        <v>1556</v>
      </c>
      <c r="P180" s="301" t="s">
        <v>1556</v>
      </c>
      <c r="Q180" s="301" t="s">
        <v>1556</v>
      </c>
      <c r="R180" s="301" t="s">
        <v>1556</v>
      </c>
      <c r="S180" s="301" t="s">
        <v>1556</v>
      </c>
      <c r="T180" s="301" t="s">
        <v>1556</v>
      </c>
      <c r="U180" s="301" t="s">
        <v>1556</v>
      </c>
      <c r="V180" s="301" t="s">
        <v>1556</v>
      </c>
      <c r="W180" s="298" t="s">
        <v>429</v>
      </c>
      <c r="X180" s="298" t="s">
        <v>306</v>
      </c>
    </row>
    <row r="181">
      <c r="A181" s="295" t="s">
        <v>1557</v>
      </c>
      <c r="B181" s="298">
        <v>1.0</v>
      </c>
      <c r="C181" s="298" t="s">
        <v>288</v>
      </c>
      <c r="D181" s="298" t="s">
        <v>359</v>
      </c>
      <c r="E181" s="298" t="s">
        <v>311</v>
      </c>
      <c r="F181" s="298" t="str">
        <f>'Character Sheet'!$K$9</f>
        <v/>
      </c>
      <c r="G181" s="298" t="s">
        <v>477</v>
      </c>
      <c r="H181" s="298" t="s">
        <v>295</v>
      </c>
      <c r="I181" s="298" t="s">
        <v>296</v>
      </c>
      <c r="J181" s="298" t="s">
        <v>192</v>
      </c>
      <c r="K181" s="298" t="s">
        <v>298</v>
      </c>
      <c r="L181" s="298" t="s">
        <v>493</v>
      </c>
      <c r="M181" s="301" t="s">
        <v>1558</v>
      </c>
      <c r="N181" s="301" t="s">
        <v>1558</v>
      </c>
      <c r="O181" s="301" t="s">
        <v>1558</v>
      </c>
      <c r="P181" s="301" t="s">
        <v>1558</v>
      </c>
      <c r="Q181" s="301" t="s">
        <v>1558</v>
      </c>
      <c r="R181" s="301" t="s">
        <v>1558</v>
      </c>
      <c r="S181" s="301" t="s">
        <v>1558</v>
      </c>
      <c r="T181" s="301" t="s">
        <v>1558</v>
      </c>
      <c r="U181" s="301" t="s">
        <v>1558</v>
      </c>
      <c r="V181" s="301" t="s">
        <v>1558</v>
      </c>
      <c r="W181" s="298" t="s">
        <v>331</v>
      </c>
      <c r="X181" s="298" t="s">
        <v>318</v>
      </c>
    </row>
    <row r="182">
      <c r="A182" s="295" t="s">
        <v>1560</v>
      </c>
      <c r="B182" s="298">
        <v>1.0</v>
      </c>
      <c r="C182" s="298" t="s">
        <v>522</v>
      </c>
      <c r="D182" s="298" t="s">
        <v>289</v>
      </c>
      <c r="E182" s="298" t="s">
        <v>290</v>
      </c>
      <c r="F182" s="298" t="str">
        <f>'Character Sheet'!$C$9</f>
        <v/>
      </c>
      <c r="G182" s="298" t="s">
        <v>294</v>
      </c>
      <c r="H182" s="298" t="s">
        <v>360</v>
      </c>
      <c r="I182" s="298" t="s">
        <v>1413</v>
      </c>
      <c r="J182" s="298" t="s">
        <v>180</v>
      </c>
      <c r="K182" s="298" t="s">
        <v>424</v>
      </c>
      <c r="L182" s="298" t="s">
        <v>493</v>
      </c>
      <c r="M182" s="301" t="s">
        <v>1561</v>
      </c>
      <c r="N182" s="301" t="s">
        <v>1561</v>
      </c>
      <c r="O182" s="301" t="s">
        <v>1562</v>
      </c>
      <c r="P182" s="301" t="s">
        <v>1562</v>
      </c>
      <c r="Q182" s="301" t="s">
        <v>1562</v>
      </c>
      <c r="R182" s="301" t="s">
        <v>1563</v>
      </c>
      <c r="S182" s="301" t="s">
        <v>1563</v>
      </c>
      <c r="T182" s="301" t="s">
        <v>1563</v>
      </c>
      <c r="U182" s="301" t="s">
        <v>1563</v>
      </c>
      <c r="V182" s="301" t="s">
        <v>1563</v>
      </c>
      <c r="W182" s="298" t="s">
        <v>305</v>
      </c>
      <c r="X182" s="298" t="s">
        <v>1457</v>
      </c>
    </row>
    <row r="183">
      <c r="A183" s="295" t="s">
        <v>1565</v>
      </c>
      <c r="B183" s="298">
        <v>1.0</v>
      </c>
      <c r="C183" s="298" t="s">
        <v>288</v>
      </c>
      <c r="D183" s="298" t="s">
        <v>310</v>
      </c>
      <c r="E183" s="298" t="s">
        <v>311</v>
      </c>
      <c r="F183" s="298" t="str">
        <f>'Character Sheet'!$K$9</f>
        <v/>
      </c>
      <c r="G183" s="298" t="s">
        <v>1567</v>
      </c>
      <c r="H183" s="298" t="s">
        <v>295</v>
      </c>
      <c r="I183" s="298" t="s">
        <v>1568</v>
      </c>
      <c r="J183" s="298" t="s">
        <v>315</v>
      </c>
      <c r="K183" s="298" t="s">
        <v>545</v>
      </c>
      <c r="L183" s="298" t="s">
        <v>493</v>
      </c>
      <c r="M183" s="301" t="s">
        <v>1569</v>
      </c>
      <c r="N183" s="301" t="s">
        <v>1569</v>
      </c>
      <c r="O183" s="301" t="s">
        <v>1569</v>
      </c>
      <c r="P183" s="301" t="s">
        <v>1569</v>
      </c>
      <c r="Q183" s="301" t="s">
        <v>1569</v>
      </c>
      <c r="R183" s="301" t="s">
        <v>1569</v>
      </c>
      <c r="S183" s="301" t="s">
        <v>1569</v>
      </c>
      <c r="T183" s="301" t="s">
        <v>1569</v>
      </c>
      <c r="U183" s="301" t="s">
        <v>1569</v>
      </c>
      <c r="V183" s="301" t="s">
        <v>1569</v>
      </c>
      <c r="W183" s="298" t="s">
        <v>357</v>
      </c>
      <c r="X183" s="298" t="s">
        <v>318</v>
      </c>
    </row>
    <row r="184">
      <c r="A184" s="295" t="s">
        <v>1570</v>
      </c>
      <c r="B184" s="298">
        <v>1.0</v>
      </c>
      <c r="C184" s="298" t="s">
        <v>288</v>
      </c>
      <c r="D184" s="298" t="s">
        <v>310</v>
      </c>
      <c r="E184" s="298" t="s">
        <v>290</v>
      </c>
      <c r="F184" s="298" t="s">
        <v>1572</v>
      </c>
      <c r="G184" s="298" t="s">
        <v>1573</v>
      </c>
      <c r="H184" s="298" t="s">
        <v>335</v>
      </c>
      <c r="I184" s="298" t="s">
        <v>1574</v>
      </c>
      <c r="J184" s="298" t="s">
        <v>315</v>
      </c>
      <c r="K184" s="298" t="s">
        <v>325</v>
      </c>
      <c r="L184" s="298" t="s">
        <v>493</v>
      </c>
      <c r="M184" s="301" t="s">
        <v>1575</v>
      </c>
      <c r="N184" s="301" t="s">
        <v>1575</v>
      </c>
      <c r="O184" s="301" t="s">
        <v>1576</v>
      </c>
      <c r="P184" s="301" t="s">
        <v>1576</v>
      </c>
      <c r="Q184" s="301" t="s">
        <v>1577</v>
      </c>
      <c r="R184" s="301" t="s">
        <v>1577</v>
      </c>
      <c r="S184" s="301" t="s">
        <v>1577</v>
      </c>
      <c r="T184" s="301" t="s">
        <v>1577</v>
      </c>
      <c r="U184" s="301" t="s">
        <v>1577</v>
      </c>
      <c r="V184" s="301" t="s">
        <v>1577</v>
      </c>
      <c r="W184" s="298" t="s">
        <v>460</v>
      </c>
      <c r="X184" s="298" t="s">
        <v>966</v>
      </c>
    </row>
    <row r="185">
      <c r="A185" s="295" t="s">
        <v>1578</v>
      </c>
      <c r="B185" s="298">
        <v>1.0</v>
      </c>
      <c r="C185" s="298" t="s">
        <v>288</v>
      </c>
      <c r="D185" s="298" t="s">
        <v>421</v>
      </c>
      <c r="E185" s="298" t="s">
        <v>290</v>
      </c>
      <c r="F185" s="298" t="str">
        <f>'Character Sheet'!$C$9</f>
        <v/>
      </c>
      <c r="G185" s="298" t="s">
        <v>294</v>
      </c>
      <c r="H185" s="298" t="s">
        <v>335</v>
      </c>
      <c r="I185" s="298" t="s">
        <v>296</v>
      </c>
      <c r="J185" s="298" t="s">
        <v>315</v>
      </c>
      <c r="K185" s="298" t="s">
        <v>632</v>
      </c>
      <c r="L185" s="298" t="s">
        <v>493</v>
      </c>
      <c r="M185" s="301" t="s">
        <v>1581</v>
      </c>
      <c r="N185" s="301" t="s">
        <v>1582</v>
      </c>
      <c r="O185" s="301" t="s">
        <v>1583</v>
      </c>
      <c r="P185" s="301" t="s">
        <v>1584</v>
      </c>
      <c r="Q185" s="301" t="s">
        <v>1585</v>
      </c>
      <c r="R185" s="301" t="s">
        <v>1586</v>
      </c>
      <c r="S185" s="301" t="s">
        <v>1587</v>
      </c>
      <c r="T185" s="301" t="s">
        <v>1588</v>
      </c>
      <c r="U185" s="301" t="s">
        <v>1589</v>
      </c>
      <c r="V185" s="301" t="s">
        <v>1590</v>
      </c>
      <c r="W185" s="298" t="s">
        <v>305</v>
      </c>
      <c r="X185" s="298" t="s">
        <v>966</v>
      </c>
    </row>
    <row r="186">
      <c r="A186" s="295" t="s">
        <v>1591</v>
      </c>
      <c r="B186" s="298">
        <v>1.0</v>
      </c>
      <c r="C186" s="298" t="s">
        <v>288</v>
      </c>
      <c r="D186" s="298" t="s">
        <v>462</v>
      </c>
      <c r="E186" s="298" t="s">
        <v>311</v>
      </c>
      <c r="F186" s="298" t="str">
        <f>'Character Sheet'!$C$9</f>
        <v/>
      </c>
      <c r="G186" s="298" t="s">
        <v>294</v>
      </c>
      <c r="H186" s="298" t="s">
        <v>335</v>
      </c>
      <c r="I186" s="298" t="s">
        <v>1592</v>
      </c>
      <c r="J186" s="298" t="s">
        <v>315</v>
      </c>
      <c r="K186" s="298" t="s">
        <v>632</v>
      </c>
      <c r="L186" s="298" t="s">
        <v>493</v>
      </c>
      <c r="M186" s="301" t="s">
        <v>1593</v>
      </c>
      <c r="N186" s="301" t="s">
        <v>1593</v>
      </c>
      <c r="O186" s="301" t="s">
        <v>1593</v>
      </c>
      <c r="P186" s="301" t="s">
        <v>1593</v>
      </c>
      <c r="Q186" s="301" t="s">
        <v>1593</v>
      </c>
      <c r="R186" s="301" t="s">
        <v>1593</v>
      </c>
      <c r="S186" s="301" t="s">
        <v>1593</v>
      </c>
      <c r="T186" s="301" t="s">
        <v>1593</v>
      </c>
      <c r="U186" s="301" t="s">
        <v>1593</v>
      </c>
      <c r="V186" s="301" t="s">
        <v>1593</v>
      </c>
      <c r="W186" s="298" t="s">
        <v>499</v>
      </c>
      <c r="X186" s="298" t="s">
        <v>306</v>
      </c>
    </row>
    <row r="187">
      <c r="A187" s="295" t="s">
        <v>1595</v>
      </c>
      <c r="B187" s="298">
        <v>1.0</v>
      </c>
      <c r="C187" s="298" t="s">
        <v>288</v>
      </c>
      <c r="D187" s="298" t="s">
        <v>289</v>
      </c>
      <c r="E187" s="298" t="s">
        <v>290</v>
      </c>
      <c r="F187" s="298" t="str">
        <f>'Character Sheet'!$C$9</f>
        <v/>
      </c>
      <c r="G187" s="298" t="s">
        <v>294</v>
      </c>
      <c r="H187" s="298" t="s">
        <v>335</v>
      </c>
      <c r="I187" s="298" t="s">
        <v>296</v>
      </c>
      <c r="J187" s="298" t="s">
        <v>203</v>
      </c>
      <c r="K187" s="298" t="s">
        <v>298</v>
      </c>
      <c r="L187" s="298" t="s">
        <v>493</v>
      </c>
      <c r="M187" s="301" t="s">
        <v>1597</v>
      </c>
      <c r="N187" s="301" t="s">
        <v>1598</v>
      </c>
      <c r="O187" s="301" t="s">
        <v>1599</v>
      </c>
      <c r="P187" s="301" t="s">
        <v>1600</v>
      </c>
      <c r="Q187" s="301" t="s">
        <v>1601</v>
      </c>
      <c r="R187" s="301" t="s">
        <v>1602</v>
      </c>
      <c r="S187" s="301" t="s">
        <v>1603</v>
      </c>
      <c r="T187" s="301" t="s">
        <v>1604</v>
      </c>
      <c r="U187" s="301" t="s">
        <v>1605</v>
      </c>
      <c r="V187" s="301" t="s">
        <v>1606</v>
      </c>
      <c r="W187" s="298" t="s">
        <v>305</v>
      </c>
      <c r="X187" s="298" t="s">
        <v>306</v>
      </c>
    </row>
    <row r="188">
      <c r="A188" s="295" t="s">
        <v>1608</v>
      </c>
      <c r="B188" s="298">
        <v>1.0</v>
      </c>
      <c r="C188" s="298" t="s">
        <v>288</v>
      </c>
      <c r="D188" s="298" t="s">
        <v>289</v>
      </c>
      <c r="E188" s="298" t="s">
        <v>290</v>
      </c>
      <c r="F188" s="298" t="str">
        <f>'Character Sheet'!$C$9</f>
        <v/>
      </c>
      <c r="G188" s="298" t="s">
        <v>294</v>
      </c>
      <c r="H188" s="298" t="s">
        <v>324</v>
      </c>
      <c r="I188" s="298" t="s">
        <v>884</v>
      </c>
      <c r="J188" s="298" t="s">
        <v>407</v>
      </c>
      <c r="K188" s="298" t="s">
        <v>298</v>
      </c>
      <c r="L188" s="298" t="s">
        <v>493</v>
      </c>
      <c r="M188" s="301" t="s">
        <v>1609</v>
      </c>
      <c r="N188" s="301" t="s">
        <v>1610</v>
      </c>
      <c r="O188" s="301" t="s">
        <v>1611</v>
      </c>
      <c r="P188" s="301" t="s">
        <v>1612</v>
      </c>
      <c r="Q188" s="301" t="s">
        <v>1613</v>
      </c>
      <c r="R188" s="301" t="s">
        <v>1614</v>
      </c>
      <c r="S188" s="301" t="s">
        <v>1615</v>
      </c>
      <c r="T188" s="301" t="s">
        <v>1616</v>
      </c>
      <c r="U188" s="301" t="s">
        <v>1617</v>
      </c>
      <c r="V188" s="301" t="s">
        <v>1619</v>
      </c>
      <c r="W188" s="298" t="s">
        <v>305</v>
      </c>
      <c r="X188" s="298" t="s">
        <v>966</v>
      </c>
    </row>
    <row r="189">
      <c r="A189" s="295" t="s">
        <v>1620</v>
      </c>
      <c r="B189" s="298">
        <v>1.0</v>
      </c>
      <c r="C189" s="298" t="s">
        <v>288</v>
      </c>
      <c r="D189" s="298" t="s">
        <v>359</v>
      </c>
      <c r="E189" s="298" t="s">
        <v>290</v>
      </c>
      <c r="F189" s="298" t="str">
        <f>'Character Sheet'!$C$9</f>
        <v/>
      </c>
      <c r="G189" s="298" t="s">
        <v>294</v>
      </c>
      <c r="H189" s="298" t="s">
        <v>295</v>
      </c>
      <c r="I189" s="298" t="s">
        <v>955</v>
      </c>
      <c r="J189" s="298" t="s">
        <v>192</v>
      </c>
      <c r="K189" s="298" t="s">
        <v>1174</v>
      </c>
      <c r="L189" s="298" t="s">
        <v>493</v>
      </c>
      <c r="M189" s="301" t="s">
        <v>1622</v>
      </c>
      <c r="N189" s="301" t="s">
        <v>1622</v>
      </c>
      <c r="O189" s="301" t="s">
        <v>1622</v>
      </c>
      <c r="P189" s="301" t="s">
        <v>1623</v>
      </c>
      <c r="Q189" s="301" t="s">
        <v>1623</v>
      </c>
      <c r="R189" s="301" t="s">
        <v>1623</v>
      </c>
      <c r="S189" s="301" t="s">
        <v>1623</v>
      </c>
      <c r="T189" s="301" t="s">
        <v>1623</v>
      </c>
      <c r="U189" s="301" t="s">
        <v>1623</v>
      </c>
      <c r="V189" s="301" t="s">
        <v>1623</v>
      </c>
      <c r="W189" s="298" t="s">
        <v>460</v>
      </c>
      <c r="X189" s="298" t="s">
        <v>306</v>
      </c>
    </row>
    <row r="190">
      <c r="A190" s="295" t="s">
        <v>1624</v>
      </c>
      <c r="B190" s="298">
        <v>1.0</v>
      </c>
      <c r="C190" s="298" t="s">
        <v>288</v>
      </c>
      <c r="D190" s="298" t="s">
        <v>289</v>
      </c>
      <c r="E190" s="298" t="s">
        <v>290</v>
      </c>
      <c r="F190" s="298" t="str">
        <f>'Character Sheet'!$C$9</f>
        <v/>
      </c>
      <c r="G190" s="298" t="s">
        <v>294</v>
      </c>
      <c r="H190" s="298" t="s">
        <v>295</v>
      </c>
      <c r="I190" s="298" t="s">
        <v>296</v>
      </c>
      <c r="J190" s="298" t="s">
        <v>203</v>
      </c>
      <c r="K190" s="298" t="s">
        <v>478</v>
      </c>
      <c r="L190" s="298" t="s">
        <v>493</v>
      </c>
      <c r="M190" s="301" t="s">
        <v>1626</v>
      </c>
      <c r="N190" s="301" t="s">
        <v>1627</v>
      </c>
      <c r="O190" s="301" t="s">
        <v>1628</v>
      </c>
      <c r="P190" s="301" t="s">
        <v>1629</v>
      </c>
      <c r="Q190" s="301" t="s">
        <v>1630</v>
      </c>
      <c r="R190" s="301" t="s">
        <v>1631</v>
      </c>
      <c r="S190" s="301" t="s">
        <v>1632</v>
      </c>
      <c r="T190" s="301" t="s">
        <v>1633</v>
      </c>
      <c r="U190" s="301" t="s">
        <v>1634</v>
      </c>
      <c r="V190" s="301" t="s">
        <v>1635</v>
      </c>
      <c r="W190" s="298" t="s">
        <v>305</v>
      </c>
      <c r="X190" s="298" t="s">
        <v>306</v>
      </c>
    </row>
    <row r="191">
      <c r="A191" s="295" t="s">
        <v>1636</v>
      </c>
      <c r="B191" s="298">
        <v>1.0</v>
      </c>
      <c r="C191" s="298" t="s">
        <v>288</v>
      </c>
      <c r="D191" s="298" t="s">
        <v>359</v>
      </c>
      <c r="E191" s="298" t="s">
        <v>290</v>
      </c>
      <c r="F191" s="298" t="str">
        <f>'Character Sheet'!$C$9</f>
        <v/>
      </c>
      <c r="G191" s="298" t="s">
        <v>294</v>
      </c>
      <c r="H191" s="298" t="s">
        <v>295</v>
      </c>
      <c r="I191" s="298" t="s">
        <v>780</v>
      </c>
      <c r="J191" s="298" t="s">
        <v>315</v>
      </c>
      <c r="K191" s="298" t="s">
        <v>632</v>
      </c>
      <c r="L191" s="298" t="s">
        <v>493</v>
      </c>
      <c r="M191" s="301" t="s">
        <v>1638</v>
      </c>
      <c r="N191" s="301" t="s">
        <v>1639</v>
      </c>
      <c r="O191" s="301" t="s">
        <v>1640</v>
      </c>
      <c r="P191" s="301" t="s">
        <v>1641</v>
      </c>
      <c r="Q191" s="301" t="s">
        <v>1642</v>
      </c>
      <c r="R191" s="301" t="s">
        <v>1643</v>
      </c>
      <c r="S191" s="301" t="s">
        <v>1644</v>
      </c>
      <c r="T191" s="301" t="s">
        <v>1645</v>
      </c>
      <c r="U191" s="301" t="s">
        <v>1646</v>
      </c>
      <c r="V191" s="301" t="s">
        <v>1647</v>
      </c>
      <c r="W191" s="298" t="s">
        <v>536</v>
      </c>
      <c r="X191" s="298" t="s">
        <v>306</v>
      </c>
    </row>
    <row r="192">
      <c r="A192" s="295" t="s">
        <v>1648</v>
      </c>
      <c r="B192" s="298">
        <v>1.0</v>
      </c>
      <c r="C192" s="298" t="s">
        <v>288</v>
      </c>
      <c r="D192" s="298" t="s">
        <v>334</v>
      </c>
      <c r="E192" s="298" t="s">
        <v>311</v>
      </c>
      <c r="F192" s="298" t="str">
        <f>'Character Sheet'!$C$9</f>
        <v/>
      </c>
      <c r="G192" s="298" t="s">
        <v>294</v>
      </c>
      <c r="H192" s="298" t="s">
        <v>335</v>
      </c>
      <c r="I192" s="298" t="s">
        <v>296</v>
      </c>
      <c r="J192" s="298" t="s">
        <v>173</v>
      </c>
      <c r="K192" s="298" t="s">
        <v>1649</v>
      </c>
      <c r="L192" s="298" t="s">
        <v>493</v>
      </c>
      <c r="M192" s="301" t="s">
        <v>1650</v>
      </c>
      <c r="N192" s="301" t="s">
        <v>1650</v>
      </c>
      <c r="O192" s="301" t="s">
        <v>1650</v>
      </c>
      <c r="P192" s="301" t="s">
        <v>1650</v>
      </c>
      <c r="Q192" s="301" t="s">
        <v>1650</v>
      </c>
      <c r="R192" s="301" t="s">
        <v>1650</v>
      </c>
      <c r="S192" s="301" t="s">
        <v>1650</v>
      </c>
      <c r="T192" s="301" t="s">
        <v>1650</v>
      </c>
      <c r="U192" s="301" t="s">
        <v>1650</v>
      </c>
      <c r="V192" s="301" t="s">
        <v>1650</v>
      </c>
      <c r="W192" s="298" t="s">
        <v>305</v>
      </c>
      <c r="X192" s="298" t="s">
        <v>306</v>
      </c>
    </row>
    <row r="193">
      <c r="A193" s="295" t="s">
        <v>1651</v>
      </c>
      <c r="B193" s="298">
        <v>1.0</v>
      </c>
      <c r="C193" s="298" t="s">
        <v>288</v>
      </c>
      <c r="D193" s="298" t="s">
        <v>334</v>
      </c>
      <c r="E193" s="298" t="s">
        <v>290</v>
      </c>
      <c r="F193" s="298" t="str">
        <f>'Character Sheet'!$C$9</f>
        <v/>
      </c>
      <c r="G193" s="298" t="s">
        <v>294</v>
      </c>
      <c r="H193" s="298" t="s">
        <v>295</v>
      </c>
      <c r="I193" s="298" t="s">
        <v>780</v>
      </c>
      <c r="J193" s="298" t="s">
        <v>315</v>
      </c>
      <c r="K193" s="298" t="s">
        <v>325</v>
      </c>
      <c r="L193" s="298" t="s">
        <v>493</v>
      </c>
      <c r="M193" s="301" t="s">
        <v>1652</v>
      </c>
      <c r="N193" s="301" t="s">
        <v>1653</v>
      </c>
      <c r="O193" s="301" t="s">
        <v>1654</v>
      </c>
      <c r="P193" s="301" t="s">
        <v>1655</v>
      </c>
      <c r="Q193" s="301" t="s">
        <v>1656</v>
      </c>
      <c r="R193" s="301" t="s">
        <v>1657</v>
      </c>
      <c r="S193" s="301" t="s">
        <v>1658</v>
      </c>
      <c r="T193" s="301" t="s">
        <v>1659</v>
      </c>
      <c r="U193" s="301" t="s">
        <v>1660</v>
      </c>
      <c r="V193" s="301" t="s">
        <v>1661</v>
      </c>
      <c r="W193" s="298" t="s">
        <v>429</v>
      </c>
      <c r="X193" s="298" t="s">
        <v>306</v>
      </c>
    </row>
    <row r="194">
      <c r="A194" s="295" t="s">
        <v>1662</v>
      </c>
      <c r="B194" s="298">
        <v>1.0</v>
      </c>
      <c r="C194" s="298" t="s">
        <v>288</v>
      </c>
      <c r="D194" s="298" t="s">
        <v>151</v>
      </c>
      <c r="E194" s="298" t="s">
        <v>290</v>
      </c>
      <c r="F194" s="298" t="str">
        <f>'Character Sheet'!$E$9</f>
        <v/>
      </c>
      <c r="G194" s="298" t="s">
        <v>674</v>
      </c>
      <c r="H194" s="298" t="s">
        <v>295</v>
      </c>
      <c r="I194" s="298" t="s">
        <v>315</v>
      </c>
      <c r="J194" s="298" t="s">
        <v>315</v>
      </c>
      <c r="K194" s="298" t="s">
        <v>424</v>
      </c>
      <c r="L194" s="298" t="s">
        <v>493</v>
      </c>
      <c r="M194" s="301" t="s">
        <v>1663</v>
      </c>
      <c r="N194" s="301" t="s">
        <v>1664</v>
      </c>
      <c r="O194" s="301" t="s">
        <v>1665</v>
      </c>
      <c r="P194" s="301" t="s">
        <v>1666</v>
      </c>
      <c r="Q194" s="301" t="s">
        <v>1667</v>
      </c>
      <c r="R194" s="301" t="s">
        <v>1668</v>
      </c>
      <c r="S194" s="301" t="s">
        <v>1669</v>
      </c>
      <c r="T194" s="301" t="s">
        <v>1670</v>
      </c>
      <c r="U194" s="301" t="s">
        <v>1671</v>
      </c>
      <c r="V194" s="301" t="s">
        <v>1672</v>
      </c>
      <c r="W194" s="298" t="s">
        <v>305</v>
      </c>
      <c r="X194" s="298" t="s">
        <v>306</v>
      </c>
    </row>
    <row r="195">
      <c r="A195" s="295" t="s">
        <v>1673</v>
      </c>
      <c r="B195" s="298">
        <v>1.0</v>
      </c>
      <c r="C195" s="298" t="s">
        <v>288</v>
      </c>
      <c r="D195" s="298" t="s">
        <v>151</v>
      </c>
      <c r="E195" s="298" t="s">
        <v>290</v>
      </c>
      <c r="F195" s="298" t="str">
        <f>'Character Sheet'!$E$9</f>
        <v/>
      </c>
      <c r="G195" s="298" t="s">
        <v>674</v>
      </c>
      <c r="H195" s="298" t="s">
        <v>295</v>
      </c>
      <c r="I195" s="298" t="s">
        <v>315</v>
      </c>
      <c r="J195" s="298" t="s">
        <v>315</v>
      </c>
      <c r="K195" s="298" t="s">
        <v>424</v>
      </c>
      <c r="L195" s="298" t="s">
        <v>493</v>
      </c>
      <c r="M195" s="301" t="s">
        <v>1674</v>
      </c>
      <c r="N195" s="301" t="s">
        <v>1675</v>
      </c>
      <c r="O195" s="301" t="s">
        <v>1676</v>
      </c>
      <c r="P195" s="301" t="s">
        <v>1677</v>
      </c>
      <c r="Q195" s="301" t="s">
        <v>1678</v>
      </c>
      <c r="R195" s="301" t="s">
        <v>1679</v>
      </c>
      <c r="S195" s="301" t="s">
        <v>1680</v>
      </c>
      <c r="T195" s="301" t="s">
        <v>1681</v>
      </c>
      <c r="U195" s="301" t="s">
        <v>1682</v>
      </c>
      <c r="V195" s="301" t="s">
        <v>1683</v>
      </c>
      <c r="W195" s="298" t="s">
        <v>442</v>
      </c>
      <c r="X195" s="298" t="s">
        <v>306</v>
      </c>
    </row>
    <row r="196">
      <c r="A196" s="295" t="s">
        <v>1684</v>
      </c>
      <c r="B196" s="298">
        <v>1.0</v>
      </c>
      <c r="C196" s="298" t="s">
        <v>288</v>
      </c>
      <c r="D196" s="298" t="s">
        <v>151</v>
      </c>
      <c r="E196" s="298" t="s">
        <v>290</v>
      </c>
      <c r="F196" s="298" t="str">
        <f>'Character Sheet'!$E$9</f>
        <v/>
      </c>
      <c r="G196" s="298" t="s">
        <v>674</v>
      </c>
      <c r="H196" s="298" t="s">
        <v>295</v>
      </c>
      <c r="I196" s="298" t="s">
        <v>315</v>
      </c>
      <c r="J196" s="298" t="s">
        <v>315</v>
      </c>
      <c r="K196" s="298" t="s">
        <v>424</v>
      </c>
      <c r="L196" s="298" t="s">
        <v>493</v>
      </c>
      <c r="M196" s="301" t="s">
        <v>1685</v>
      </c>
      <c r="N196" s="301" t="s">
        <v>1686</v>
      </c>
      <c r="O196" s="301" t="s">
        <v>1687</v>
      </c>
      <c r="P196" s="301" t="s">
        <v>1689</v>
      </c>
      <c r="Q196" s="301" t="s">
        <v>1690</v>
      </c>
      <c r="R196" s="301" t="s">
        <v>1691</v>
      </c>
      <c r="S196" s="301" t="s">
        <v>1692</v>
      </c>
      <c r="T196" s="301" t="s">
        <v>1693</v>
      </c>
      <c r="U196" s="301" t="s">
        <v>1694</v>
      </c>
      <c r="V196" s="301" t="s">
        <v>1695</v>
      </c>
      <c r="W196" s="298" t="s">
        <v>684</v>
      </c>
      <c r="X196" s="298" t="s">
        <v>306</v>
      </c>
    </row>
    <row r="197">
      <c r="A197" s="295" t="s">
        <v>1696</v>
      </c>
      <c r="B197" s="298">
        <v>1.0</v>
      </c>
      <c r="C197" s="298" t="s">
        <v>288</v>
      </c>
      <c r="D197" s="298" t="s">
        <v>151</v>
      </c>
      <c r="E197" s="298" t="s">
        <v>290</v>
      </c>
      <c r="F197" s="298" t="str">
        <f>'Character Sheet'!$E$9</f>
        <v/>
      </c>
      <c r="G197" s="298" t="s">
        <v>674</v>
      </c>
      <c r="H197" s="298" t="s">
        <v>295</v>
      </c>
      <c r="I197" s="298" t="s">
        <v>315</v>
      </c>
      <c r="J197" s="298" t="s">
        <v>315</v>
      </c>
      <c r="K197" s="298" t="s">
        <v>424</v>
      </c>
      <c r="L197" s="298" t="s">
        <v>493</v>
      </c>
      <c r="M197" s="301" t="s">
        <v>1697</v>
      </c>
      <c r="N197" s="301" t="s">
        <v>1698</v>
      </c>
      <c r="O197" s="301" t="s">
        <v>1699</v>
      </c>
      <c r="P197" s="301" t="s">
        <v>1700</v>
      </c>
      <c r="Q197" s="301" t="s">
        <v>1700</v>
      </c>
      <c r="R197" s="301" t="s">
        <v>1700</v>
      </c>
      <c r="S197" s="301" t="s">
        <v>1700</v>
      </c>
      <c r="T197" s="301" t="s">
        <v>1700</v>
      </c>
      <c r="U197" s="301" t="s">
        <v>1700</v>
      </c>
      <c r="V197" s="301" t="s">
        <v>1700</v>
      </c>
      <c r="W197" s="298" t="s">
        <v>404</v>
      </c>
      <c r="X197" s="298" t="s">
        <v>318</v>
      </c>
    </row>
    <row r="198">
      <c r="A198" s="295" t="s">
        <v>1701</v>
      </c>
      <c r="B198" s="298">
        <v>1.0</v>
      </c>
      <c r="C198" s="298" t="s">
        <v>288</v>
      </c>
      <c r="D198" s="298" t="s">
        <v>151</v>
      </c>
      <c r="E198" s="298" t="s">
        <v>290</v>
      </c>
      <c r="F198" s="298" t="str">
        <f>'Character Sheet'!$E$9</f>
        <v/>
      </c>
      <c r="G198" s="298" t="s">
        <v>674</v>
      </c>
      <c r="H198" s="298" t="s">
        <v>295</v>
      </c>
      <c r="I198" s="298" t="s">
        <v>315</v>
      </c>
      <c r="J198" s="298" t="s">
        <v>315</v>
      </c>
      <c r="K198" s="298" t="s">
        <v>424</v>
      </c>
      <c r="L198" s="298" t="s">
        <v>493</v>
      </c>
      <c r="M198" s="301" t="s">
        <v>1702</v>
      </c>
      <c r="N198" s="301" t="s">
        <v>1703</v>
      </c>
      <c r="O198" s="301" t="s">
        <v>1704</v>
      </c>
      <c r="P198" s="301" t="s">
        <v>1705</v>
      </c>
      <c r="Q198" s="301" t="s">
        <v>1706</v>
      </c>
      <c r="R198" s="301" t="s">
        <v>1707</v>
      </c>
      <c r="S198" s="301" t="s">
        <v>1708</v>
      </c>
      <c r="T198" s="301" t="s">
        <v>1709</v>
      </c>
      <c r="U198" s="301" t="s">
        <v>1710</v>
      </c>
      <c r="V198" s="301" t="s">
        <v>1672</v>
      </c>
      <c r="W198" s="298" t="s">
        <v>499</v>
      </c>
      <c r="X198" s="298" t="s">
        <v>306</v>
      </c>
    </row>
    <row r="199">
      <c r="A199" s="295" t="s">
        <v>1711</v>
      </c>
      <c r="B199" s="298">
        <v>1.0</v>
      </c>
      <c r="C199" s="298" t="s">
        <v>522</v>
      </c>
      <c r="D199" s="298" t="s">
        <v>462</v>
      </c>
      <c r="E199" s="298" t="s">
        <v>290</v>
      </c>
      <c r="F199" s="298" t="str">
        <f>'Character Sheet'!$C$9</f>
        <v/>
      </c>
      <c r="G199" s="298" t="s">
        <v>294</v>
      </c>
      <c r="H199" s="298" t="s">
        <v>295</v>
      </c>
      <c r="I199" s="298" t="s">
        <v>1413</v>
      </c>
      <c r="J199" s="298" t="s">
        <v>180</v>
      </c>
      <c r="K199" s="298" t="s">
        <v>632</v>
      </c>
      <c r="L199" s="298" t="s">
        <v>493</v>
      </c>
      <c r="M199" s="301" t="s">
        <v>1712</v>
      </c>
      <c r="N199" s="301" t="s">
        <v>1712</v>
      </c>
      <c r="O199" s="301" t="s">
        <v>1713</v>
      </c>
      <c r="P199" s="301" t="s">
        <v>1713</v>
      </c>
      <c r="Q199" s="301" t="s">
        <v>1713</v>
      </c>
      <c r="R199" s="301" t="s">
        <v>1713</v>
      </c>
      <c r="S199" s="301" t="s">
        <v>1713</v>
      </c>
      <c r="T199" s="301" t="s">
        <v>1713</v>
      </c>
      <c r="U199" s="301" t="s">
        <v>1713</v>
      </c>
      <c r="V199" s="301" t="s">
        <v>1713</v>
      </c>
      <c r="W199" s="298" t="s">
        <v>499</v>
      </c>
      <c r="X199" s="298" t="s">
        <v>1714</v>
      </c>
    </row>
    <row r="200">
      <c r="A200" s="295" t="s">
        <v>1715</v>
      </c>
      <c r="B200" s="298">
        <v>1.0</v>
      </c>
      <c r="C200" s="298" t="s">
        <v>288</v>
      </c>
      <c r="D200" s="298" t="s">
        <v>310</v>
      </c>
      <c r="E200" s="298" t="s">
        <v>290</v>
      </c>
      <c r="F200" s="298" t="str">
        <f>'Character Sheet'!$C$9</f>
        <v/>
      </c>
      <c r="G200" s="298" t="s">
        <v>294</v>
      </c>
      <c r="H200" s="298" t="s">
        <v>335</v>
      </c>
      <c r="I200" s="298" t="s">
        <v>1717</v>
      </c>
      <c r="J200" s="298" t="s">
        <v>315</v>
      </c>
      <c r="K200" s="298" t="s">
        <v>545</v>
      </c>
      <c r="L200" s="298" t="s">
        <v>493</v>
      </c>
      <c r="M200" s="301" t="s">
        <v>1718</v>
      </c>
      <c r="N200" s="301" t="s">
        <v>1719</v>
      </c>
      <c r="O200" s="301" t="s">
        <v>1719</v>
      </c>
      <c r="P200" s="301" t="s">
        <v>1719</v>
      </c>
      <c r="Q200" s="301" t="s">
        <v>1719</v>
      </c>
      <c r="R200" s="301" t="s">
        <v>1719</v>
      </c>
      <c r="S200" s="301" t="s">
        <v>1719</v>
      </c>
      <c r="T200" s="301" t="s">
        <v>1719</v>
      </c>
      <c r="U200" s="301" t="s">
        <v>1719</v>
      </c>
      <c r="V200" s="301" t="s">
        <v>1719</v>
      </c>
      <c r="W200" s="298" t="s">
        <v>317</v>
      </c>
      <c r="X200" s="298" t="s">
        <v>318</v>
      </c>
    </row>
    <row r="201">
      <c r="A201" s="295" t="s">
        <v>1720</v>
      </c>
      <c r="B201" s="298">
        <v>1.0</v>
      </c>
      <c r="C201" s="298" t="s">
        <v>522</v>
      </c>
      <c r="D201" s="298" t="s">
        <v>359</v>
      </c>
      <c r="E201" s="298" t="s">
        <v>290</v>
      </c>
      <c r="F201" s="298" t="str">
        <f>'Character Sheet'!$C$9</f>
        <v/>
      </c>
      <c r="G201" s="298" t="s">
        <v>294</v>
      </c>
      <c r="H201" s="298" t="s">
        <v>295</v>
      </c>
      <c r="I201" s="298" t="s">
        <v>1721</v>
      </c>
      <c r="J201" s="298" t="s">
        <v>315</v>
      </c>
      <c r="K201" s="298" t="s">
        <v>424</v>
      </c>
      <c r="L201" s="298" t="s">
        <v>493</v>
      </c>
      <c r="M201" s="301" t="s">
        <v>1722</v>
      </c>
      <c r="N201" s="301" t="s">
        <v>1722</v>
      </c>
      <c r="O201" s="301" t="s">
        <v>1722</v>
      </c>
      <c r="P201" s="301" t="s">
        <v>1722</v>
      </c>
      <c r="Q201" s="301" t="s">
        <v>1723</v>
      </c>
      <c r="R201" s="301" t="s">
        <v>1723</v>
      </c>
      <c r="S201" s="301" t="s">
        <v>1723</v>
      </c>
      <c r="T201" s="301" t="s">
        <v>1723</v>
      </c>
      <c r="U201" s="301" t="s">
        <v>1723</v>
      </c>
      <c r="V201" s="301" t="s">
        <v>1723</v>
      </c>
      <c r="W201" s="298" t="s">
        <v>460</v>
      </c>
      <c r="X201" s="298" t="s">
        <v>1082</v>
      </c>
    </row>
    <row r="202">
      <c r="A202" s="295" t="s">
        <v>1724</v>
      </c>
      <c r="B202" s="298">
        <v>1.0</v>
      </c>
      <c r="C202" s="298" t="s">
        <v>288</v>
      </c>
      <c r="D202" s="298" t="s">
        <v>151</v>
      </c>
      <c r="E202" s="298" t="s">
        <v>311</v>
      </c>
      <c r="F202" s="298" t="s">
        <v>625</v>
      </c>
      <c r="G202" s="298" t="s">
        <v>1573</v>
      </c>
      <c r="H202" s="298" t="s">
        <v>335</v>
      </c>
      <c r="I202" s="298" t="s">
        <v>315</v>
      </c>
      <c r="J202" s="298" t="s">
        <v>315</v>
      </c>
      <c r="K202" s="298" t="s">
        <v>632</v>
      </c>
      <c r="L202" s="298" t="s">
        <v>493</v>
      </c>
      <c r="M202" s="301" t="s">
        <v>1726</v>
      </c>
      <c r="N202" s="301" t="s">
        <v>1726</v>
      </c>
      <c r="O202" s="301" t="s">
        <v>1726</v>
      </c>
      <c r="P202" s="301" t="s">
        <v>1726</v>
      </c>
      <c r="Q202" s="301" t="s">
        <v>1726</v>
      </c>
      <c r="R202" s="301" t="s">
        <v>1726</v>
      </c>
      <c r="S202" s="301" t="s">
        <v>1726</v>
      </c>
      <c r="T202" s="301" t="s">
        <v>1726</v>
      </c>
      <c r="U202" s="301" t="s">
        <v>1726</v>
      </c>
      <c r="V202" s="301" t="s">
        <v>1726</v>
      </c>
      <c r="W202" s="298" t="s">
        <v>442</v>
      </c>
      <c r="X202" s="298" t="s">
        <v>966</v>
      </c>
    </row>
    <row r="203">
      <c r="A203" s="295" t="s">
        <v>1728</v>
      </c>
      <c r="B203" s="298">
        <v>1.0</v>
      </c>
      <c r="C203" s="298" t="s">
        <v>288</v>
      </c>
      <c r="D203" s="298" t="s">
        <v>421</v>
      </c>
      <c r="E203" s="298" t="s">
        <v>290</v>
      </c>
      <c r="F203" s="298" t="str">
        <f>'Character Sheet'!$C$9</f>
        <v/>
      </c>
      <c r="G203" s="298" t="s">
        <v>294</v>
      </c>
      <c r="H203" s="298" t="s">
        <v>295</v>
      </c>
      <c r="I203" s="298" t="s">
        <v>296</v>
      </c>
      <c r="J203" s="298" t="s">
        <v>180</v>
      </c>
      <c r="K203" s="298" t="s">
        <v>632</v>
      </c>
      <c r="L203" s="298" t="s">
        <v>493</v>
      </c>
      <c r="M203" s="301" t="s">
        <v>1730</v>
      </c>
      <c r="N203" s="301" t="s">
        <v>1731</v>
      </c>
      <c r="O203" s="301" t="s">
        <v>1733</v>
      </c>
      <c r="P203" s="301" t="s">
        <v>1734</v>
      </c>
      <c r="Q203" s="301" t="s">
        <v>1735</v>
      </c>
      <c r="R203" s="301" t="s">
        <v>1736</v>
      </c>
      <c r="S203" s="301" t="s">
        <v>1737</v>
      </c>
      <c r="T203" s="301" t="s">
        <v>1738</v>
      </c>
      <c r="U203" s="301" t="s">
        <v>1739</v>
      </c>
      <c r="V203" s="301" t="s">
        <v>1740</v>
      </c>
      <c r="W203" s="298" t="s">
        <v>305</v>
      </c>
      <c r="X203" s="298" t="s">
        <v>966</v>
      </c>
    </row>
    <row r="204">
      <c r="A204" s="295" t="s">
        <v>1741</v>
      </c>
      <c r="B204" s="298">
        <v>1.0</v>
      </c>
      <c r="C204" s="298" t="s">
        <v>288</v>
      </c>
      <c r="D204" s="298" t="s">
        <v>321</v>
      </c>
      <c r="E204" s="298" t="s">
        <v>311</v>
      </c>
      <c r="F204" s="298" t="str">
        <f>'Character Sheet'!$C$9</f>
        <v/>
      </c>
      <c r="G204" s="298" t="s">
        <v>294</v>
      </c>
      <c r="H204" s="298" t="s">
        <v>324</v>
      </c>
      <c r="I204" s="298" t="s">
        <v>324</v>
      </c>
      <c r="J204" s="298" t="s">
        <v>315</v>
      </c>
      <c r="K204" s="298" t="s">
        <v>632</v>
      </c>
      <c r="L204" s="298" t="s">
        <v>493</v>
      </c>
      <c r="M204" s="301" t="s">
        <v>1743</v>
      </c>
      <c r="N204" s="301" t="s">
        <v>1743</v>
      </c>
      <c r="O204" s="301" t="s">
        <v>1743</v>
      </c>
      <c r="P204" s="301" t="s">
        <v>1743</v>
      </c>
      <c r="Q204" s="301" t="s">
        <v>1743</v>
      </c>
      <c r="R204" s="301" t="s">
        <v>1743</v>
      </c>
      <c r="S204" s="301" t="s">
        <v>1743</v>
      </c>
      <c r="T204" s="301" t="s">
        <v>1743</v>
      </c>
      <c r="U204" s="301" t="s">
        <v>1743</v>
      </c>
      <c r="V204" s="301" t="s">
        <v>1743</v>
      </c>
      <c r="W204" s="298" t="s">
        <v>460</v>
      </c>
      <c r="X204" s="298" t="s">
        <v>318</v>
      </c>
    </row>
    <row r="205">
      <c r="A205" s="295" t="s">
        <v>1744</v>
      </c>
      <c r="B205" s="298">
        <v>1.0</v>
      </c>
      <c r="C205" s="298" t="s">
        <v>288</v>
      </c>
      <c r="D205" s="298" t="s">
        <v>151</v>
      </c>
      <c r="E205" s="298" t="s">
        <v>290</v>
      </c>
      <c r="F205" s="298" t="str">
        <f>'Character Sheet'!$B$9</f>
        <v/>
      </c>
      <c r="G205" s="298" t="s">
        <v>493</v>
      </c>
      <c r="H205" s="298" t="s">
        <v>352</v>
      </c>
      <c r="I205" s="298" t="s">
        <v>780</v>
      </c>
      <c r="J205" s="298" t="s">
        <v>315</v>
      </c>
      <c r="K205" s="298" t="s">
        <v>298</v>
      </c>
      <c r="L205" s="298" t="s">
        <v>493</v>
      </c>
      <c r="M205" s="301" t="s">
        <v>1745</v>
      </c>
      <c r="N205" s="301" t="s">
        <v>1745</v>
      </c>
      <c r="O205" s="301" t="s">
        <v>1746</v>
      </c>
      <c r="P205" s="301" t="s">
        <v>1746</v>
      </c>
      <c r="Q205" s="301" t="s">
        <v>1747</v>
      </c>
      <c r="R205" s="301" t="s">
        <v>1747</v>
      </c>
      <c r="S205" s="301" t="s">
        <v>1747</v>
      </c>
      <c r="T205" s="301" t="s">
        <v>1747</v>
      </c>
      <c r="U205" s="301" t="s">
        <v>1747</v>
      </c>
      <c r="V205" s="301" t="s">
        <v>1747</v>
      </c>
      <c r="W205" s="298" t="s">
        <v>331</v>
      </c>
      <c r="X205" s="298" t="s">
        <v>678</v>
      </c>
    </row>
    <row r="206">
      <c r="A206" s="295" t="s">
        <v>1748</v>
      </c>
      <c r="B206" s="298">
        <v>1.0</v>
      </c>
      <c r="C206" s="298" t="s">
        <v>288</v>
      </c>
      <c r="D206" s="298" t="s">
        <v>310</v>
      </c>
      <c r="E206" s="298" t="s">
        <v>311</v>
      </c>
      <c r="F206" s="298" t="str">
        <f>'Character Sheet'!$B$9</f>
        <v/>
      </c>
      <c r="G206" s="298" t="s">
        <v>477</v>
      </c>
      <c r="H206" s="298" t="s">
        <v>324</v>
      </c>
      <c r="I206" s="298" t="s">
        <v>324</v>
      </c>
      <c r="J206" s="298" t="s">
        <v>315</v>
      </c>
      <c r="K206" s="298" t="s">
        <v>507</v>
      </c>
      <c r="L206" s="298" t="s">
        <v>493</v>
      </c>
      <c r="M206" s="301" t="s">
        <v>1749</v>
      </c>
      <c r="N206" s="301" t="s">
        <v>1749</v>
      </c>
      <c r="O206" s="301" t="s">
        <v>1749</v>
      </c>
      <c r="P206" s="301" t="s">
        <v>1749</v>
      </c>
      <c r="Q206" s="301" t="s">
        <v>1749</v>
      </c>
      <c r="R206" s="301" t="s">
        <v>1749</v>
      </c>
      <c r="S206" s="301" t="s">
        <v>1749</v>
      </c>
      <c r="T206" s="301" t="s">
        <v>1749</v>
      </c>
      <c r="U206" s="301" t="s">
        <v>1749</v>
      </c>
      <c r="V206" s="301" t="s">
        <v>1749</v>
      </c>
      <c r="W206" s="298" t="s">
        <v>460</v>
      </c>
      <c r="X206" s="298" t="s">
        <v>306</v>
      </c>
    </row>
    <row r="207">
      <c r="A207" s="295" t="s">
        <v>1752</v>
      </c>
      <c r="B207" s="298">
        <v>1.0</v>
      </c>
      <c r="C207" s="298" t="s">
        <v>288</v>
      </c>
      <c r="D207" s="298" t="s">
        <v>151</v>
      </c>
      <c r="E207" s="298" t="s">
        <v>311</v>
      </c>
      <c r="F207" s="298" t="str">
        <f>'Character Sheet'!$E$9</f>
        <v/>
      </c>
      <c r="G207" s="298" t="s">
        <v>674</v>
      </c>
      <c r="H207" s="298" t="s">
        <v>360</v>
      </c>
      <c r="I207" s="298" t="s">
        <v>315</v>
      </c>
      <c r="J207" s="298" t="s">
        <v>315</v>
      </c>
      <c r="K207" s="298" t="s">
        <v>1753</v>
      </c>
      <c r="L207" s="298" t="s">
        <v>493</v>
      </c>
      <c r="M207" s="301" t="s">
        <v>1754</v>
      </c>
      <c r="N207" s="301" t="s">
        <v>1754</v>
      </c>
      <c r="O207" s="301" t="s">
        <v>1754</v>
      </c>
      <c r="P207" s="301" t="s">
        <v>1754</v>
      </c>
      <c r="Q207" s="301" t="s">
        <v>1754</v>
      </c>
      <c r="R207" s="301" t="s">
        <v>1754</v>
      </c>
      <c r="S207" s="301" t="s">
        <v>1754</v>
      </c>
      <c r="T207" s="301" t="s">
        <v>1754</v>
      </c>
      <c r="U207" s="301" t="s">
        <v>1754</v>
      </c>
      <c r="V207" s="301" t="s">
        <v>1754</v>
      </c>
      <c r="W207" s="298" t="s">
        <v>460</v>
      </c>
      <c r="X207" s="298" t="s">
        <v>306</v>
      </c>
    </row>
    <row r="208">
      <c r="A208" s="295" t="s">
        <v>1756</v>
      </c>
      <c r="B208" s="298">
        <v>1.0</v>
      </c>
      <c r="C208" s="298" t="s">
        <v>288</v>
      </c>
      <c r="D208" s="298" t="s">
        <v>321</v>
      </c>
      <c r="E208" s="298" t="s">
        <v>290</v>
      </c>
      <c r="F208" s="298" t="str">
        <f>'Character Sheet'!$C$9</f>
        <v/>
      </c>
      <c r="G208" s="298" t="s">
        <v>294</v>
      </c>
      <c r="H208" s="298" t="s">
        <v>360</v>
      </c>
      <c r="I208" s="298" t="s">
        <v>324</v>
      </c>
      <c r="J208" s="298" t="s">
        <v>315</v>
      </c>
      <c r="K208" s="298" t="s">
        <v>325</v>
      </c>
      <c r="L208" s="298" t="s">
        <v>493</v>
      </c>
      <c r="M208" s="301" t="s">
        <v>1758</v>
      </c>
      <c r="N208" s="301" t="s">
        <v>1759</v>
      </c>
      <c r="O208" s="301" t="s">
        <v>1759</v>
      </c>
      <c r="P208" s="301" t="s">
        <v>1759</v>
      </c>
      <c r="Q208" s="301" t="s">
        <v>1759</v>
      </c>
      <c r="R208" s="301" t="s">
        <v>1759</v>
      </c>
      <c r="S208" s="301" t="s">
        <v>1759</v>
      </c>
      <c r="T208" s="301" t="s">
        <v>1759</v>
      </c>
      <c r="U208" s="301" t="s">
        <v>1759</v>
      </c>
      <c r="V208" s="301" t="s">
        <v>1759</v>
      </c>
      <c r="W208" s="298" t="s">
        <v>317</v>
      </c>
      <c r="X208" s="298" t="s">
        <v>306</v>
      </c>
    </row>
    <row r="209">
      <c r="A209" s="295" t="s">
        <v>1760</v>
      </c>
      <c r="B209" s="298">
        <v>1.0</v>
      </c>
      <c r="C209" s="298" t="s">
        <v>522</v>
      </c>
      <c r="D209" s="298" t="s">
        <v>151</v>
      </c>
      <c r="E209" s="298" t="s">
        <v>290</v>
      </c>
      <c r="F209" s="298" t="str">
        <f>'Character Sheet'!$E$9</f>
        <v/>
      </c>
      <c r="G209" s="298" t="s">
        <v>674</v>
      </c>
      <c r="H209" s="298" t="s">
        <v>295</v>
      </c>
      <c r="I209" s="298" t="s">
        <v>1761</v>
      </c>
      <c r="J209" s="298" t="s">
        <v>315</v>
      </c>
      <c r="K209" s="298" t="s">
        <v>325</v>
      </c>
      <c r="L209" s="298" t="s">
        <v>493</v>
      </c>
      <c r="M209" s="301" t="s">
        <v>1762</v>
      </c>
      <c r="N209" s="301" t="s">
        <v>1763</v>
      </c>
      <c r="O209" s="301" t="s">
        <v>1764</v>
      </c>
      <c r="P209" s="301" t="s">
        <v>1765</v>
      </c>
      <c r="Q209" s="301" t="s">
        <v>1766</v>
      </c>
      <c r="R209" s="301" t="s">
        <v>1768</v>
      </c>
      <c r="S209" s="301" t="s">
        <v>1769</v>
      </c>
      <c r="T209" s="301" t="s">
        <v>1770</v>
      </c>
      <c r="U209" s="301" t="s">
        <v>1771</v>
      </c>
      <c r="V209" s="301" t="s">
        <v>1772</v>
      </c>
      <c r="W209" s="298" t="s">
        <v>499</v>
      </c>
      <c r="X209" s="298" t="s">
        <v>1457</v>
      </c>
    </row>
    <row r="210">
      <c r="A210" s="341" t="s">
        <v>1773</v>
      </c>
      <c r="B210" s="343">
        <v>1.0</v>
      </c>
      <c r="C210" s="343" t="s">
        <v>522</v>
      </c>
      <c r="D210" s="343" t="s">
        <v>462</v>
      </c>
      <c r="E210" s="343" t="s">
        <v>311</v>
      </c>
      <c r="F210" s="343" t="str">
        <f>'Character Sheet'!$C$9</f>
        <v/>
      </c>
      <c r="G210" s="343" t="s">
        <v>294</v>
      </c>
      <c r="H210" s="343" t="s">
        <v>295</v>
      </c>
      <c r="I210" s="343" t="s">
        <v>1136</v>
      </c>
      <c r="J210" s="343" t="s">
        <v>192</v>
      </c>
      <c r="K210" s="343" t="s">
        <v>325</v>
      </c>
      <c r="L210" s="343" t="s">
        <v>493</v>
      </c>
      <c r="M210" s="344" t="s">
        <v>1776</v>
      </c>
      <c r="N210" s="344" t="s">
        <v>1776</v>
      </c>
      <c r="O210" s="344" t="s">
        <v>1776</v>
      </c>
      <c r="P210" s="344" t="s">
        <v>1776</v>
      </c>
      <c r="Q210" s="344" t="s">
        <v>1776</v>
      </c>
      <c r="R210" s="344" t="s">
        <v>1776</v>
      </c>
      <c r="S210" s="344" t="s">
        <v>1776</v>
      </c>
      <c r="T210" s="344" t="s">
        <v>1776</v>
      </c>
      <c r="U210" s="344" t="s">
        <v>1776</v>
      </c>
      <c r="V210" s="344" t="s">
        <v>1776</v>
      </c>
      <c r="W210" s="343" t="s">
        <v>499</v>
      </c>
      <c r="X210" s="343" t="s">
        <v>997</v>
      </c>
    </row>
    <row r="211">
      <c r="A211" s="295" t="s">
        <v>1778</v>
      </c>
      <c r="B211" s="298">
        <v>2.0</v>
      </c>
      <c r="C211" s="298" t="s">
        <v>288</v>
      </c>
      <c r="D211" s="298" t="s">
        <v>289</v>
      </c>
      <c r="E211" s="298" t="s">
        <v>290</v>
      </c>
      <c r="F211" s="298" t="str">
        <f>'Character Sheet'!$C$9</f>
        <v/>
      </c>
      <c r="G211" s="298" t="s">
        <v>294</v>
      </c>
      <c r="H211" s="298" t="s">
        <v>352</v>
      </c>
      <c r="I211" s="298" t="s">
        <v>296</v>
      </c>
      <c r="J211" s="298" t="s">
        <v>203</v>
      </c>
      <c r="K211" s="298" t="s">
        <v>298</v>
      </c>
      <c r="L211" s="298" t="s">
        <v>493</v>
      </c>
      <c r="M211" s="301" t="s">
        <v>315</v>
      </c>
      <c r="N211" s="301" t="s">
        <v>1779</v>
      </c>
      <c r="O211" s="301" t="s">
        <v>1779</v>
      </c>
      <c r="P211" s="301" t="s">
        <v>1780</v>
      </c>
      <c r="Q211" s="301" t="s">
        <v>1780</v>
      </c>
      <c r="R211" s="301" t="s">
        <v>1781</v>
      </c>
      <c r="S211" s="301" t="s">
        <v>1781</v>
      </c>
      <c r="T211" s="301" t="s">
        <v>1782</v>
      </c>
      <c r="U211" s="301" t="s">
        <v>1782</v>
      </c>
      <c r="V211" s="301" t="s">
        <v>1783</v>
      </c>
      <c r="W211" s="298" t="s">
        <v>305</v>
      </c>
      <c r="X211" s="298" t="s">
        <v>306</v>
      </c>
    </row>
    <row r="212">
      <c r="A212" s="295" t="s">
        <v>1784</v>
      </c>
      <c r="B212" s="298">
        <v>2.0</v>
      </c>
      <c r="C212" s="298" t="s">
        <v>288</v>
      </c>
      <c r="D212" s="298" t="s">
        <v>462</v>
      </c>
      <c r="E212" s="298" t="s">
        <v>290</v>
      </c>
      <c r="F212" s="298" t="str">
        <f>'Character Sheet'!$C$9</f>
        <v/>
      </c>
      <c r="G212" s="298" t="s">
        <v>294</v>
      </c>
      <c r="H212" s="298" t="s">
        <v>324</v>
      </c>
      <c r="I212" s="298" t="s">
        <v>324</v>
      </c>
      <c r="J212" s="298" t="s">
        <v>315</v>
      </c>
      <c r="K212" s="298" t="s">
        <v>632</v>
      </c>
      <c r="L212" s="298" t="s">
        <v>493</v>
      </c>
      <c r="M212" s="301" t="s">
        <v>315</v>
      </c>
      <c r="N212" s="301" t="s">
        <v>1786</v>
      </c>
      <c r="O212" s="301" t="s">
        <v>1787</v>
      </c>
      <c r="P212" s="301" t="s">
        <v>1788</v>
      </c>
      <c r="Q212" s="301" t="s">
        <v>1789</v>
      </c>
      <c r="R212" s="301" t="s">
        <v>1789</v>
      </c>
      <c r="S212" s="301" t="s">
        <v>1789</v>
      </c>
      <c r="T212" s="301" t="s">
        <v>1789</v>
      </c>
      <c r="U212" s="301" t="s">
        <v>1789</v>
      </c>
      <c r="V212" s="301" t="s">
        <v>1789</v>
      </c>
      <c r="W212" s="298" t="s">
        <v>499</v>
      </c>
      <c r="X212" s="298" t="s">
        <v>306</v>
      </c>
    </row>
    <row r="213">
      <c r="A213" s="295" t="s">
        <v>1790</v>
      </c>
      <c r="B213" s="298">
        <v>2.0</v>
      </c>
      <c r="C213" s="298" t="s">
        <v>288</v>
      </c>
      <c r="D213" s="298" t="s">
        <v>359</v>
      </c>
      <c r="E213" s="298" t="s">
        <v>311</v>
      </c>
      <c r="F213" s="298" t="s">
        <v>625</v>
      </c>
      <c r="G213" s="298" t="s">
        <v>674</v>
      </c>
      <c r="H213" s="298" t="s">
        <v>352</v>
      </c>
      <c r="I213" s="298" t="s">
        <v>1791</v>
      </c>
      <c r="J213" s="298" t="s">
        <v>315</v>
      </c>
      <c r="K213" s="298" t="s">
        <v>545</v>
      </c>
      <c r="L213" s="298" t="s">
        <v>493</v>
      </c>
      <c r="M213" s="301" t="s">
        <v>315</v>
      </c>
      <c r="N213" s="301" t="s">
        <v>1792</v>
      </c>
      <c r="O213" s="301" t="s">
        <v>1792</v>
      </c>
      <c r="P213" s="301" t="s">
        <v>1792</v>
      </c>
      <c r="Q213" s="301" t="s">
        <v>1792</v>
      </c>
      <c r="R213" s="301" t="s">
        <v>1792</v>
      </c>
      <c r="S213" s="301" t="s">
        <v>1792</v>
      </c>
      <c r="T213" s="301" t="s">
        <v>1792</v>
      </c>
      <c r="U213" s="301" t="s">
        <v>1792</v>
      </c>
      <c r="V213" s="301" t="s">
        <v>1792</v>
      </c>
      <c r="W213" s="298" t="s">
        <v>499</v>
      </c>
      <c r="X213" s="298" t="s">
        <v>306</v>
      </c>
    </row>
    <row r="214">
      <c r="A214" s="295" t="s">
        <v>1794</v>
      </c>
      <c r="B214" s="298">
        <v>2.0</v>
      </c>
      <c r="C214" s="298" t="s">
        <v>288</v>
      </c>
      <c r="D214" s="298" t="s">
        <v>289</v>
      </c>
      <c r="E214" s="298" t="s">
        <v>290</v>
      </c>
      <c r="F214" s="298" t="str">
        <f>'Character Sheet'!$C$9</f>
        <v/>
      </c>
      <c r="G214" s="298" t="s">
        <v>294</v>
      </c>
      <c r="H214" s="298" t="s">
        <v>352</v>
      </c>
      <c r="I214" s="298" t="s">
        <v>1413</v>
      </c>
      <c r="J214" s="298" t="s">
        <v>407</v>
      </c>
      <c r="K214" s="298" t="s">
        <v>424</v>
      </c>
      <c r="L214" s="298" t="s">
        <v>493</v>
      </c>
      <c r="M214" s="301" t="s">
        <v>315</v>
      </c>
      <c r="N214" s="301" t="s">
        <v>1796</v>
      </c>
      <c r="O214" s="301" t="s">
        <v>1796</v>
      </c>
      <c r="P214" s="301" t="s">
        <v>1797</v>
      </c>
      <c r="Q214" s="301" t="s">
        <v>1797</v>
      </c>
      <c r="R214" s="301" t="s">
        <v>1798</v>
      </c>
      <c r="S214" s="301" t="s">
        <v>1798</v>
      </c>
      <c r="T214" s="301" t="s">
        <v>1799</v>
      </c>
      <c r="U214" s="301" t="s">
        <v>1799</v>
      </c>
      <c r="V214" s="301" t="s">
        <v>1800</v>
      </c>
      <c r="W214" s="298" t="s">
        <v>460</v>
      </c>
      <c r="X214" s="298" t="s">
        <v>678</v>
      </c>
    </row>
    <row r="215">
      <c r="A215" s="295" t="s">
        <v>1801</v>
      </c>
      <c r="B215" s="298">
        <v>2.0</v>
      </c>
      <c r="C215" s="298" t="s">
        <v>288</v>
      </c>
      <c r="D215" s="298" t="s">
        <v>421</v>
      </c>
      <c r="E215" s="298" t="s">
        <v>290</v>
      </c>
      <c r="F215" s="298" t="str">
        <f>'Character Sheet'!$C$9</f>
        <v/>
      </c>
      <c r="G215" s="298" t="s">
        <v>294</v>
      </c>
      <c r="H215" s="298" t="s">
        <v>324</v>
      </c>
      <c r="I215" s="298" t="s">
        <v>324</v>
      </c>
      <c r="J215" s="298" t="s">
        <v>746</v>
      </c>
      <c r="K215" s="298" t="s">
        <v>675</v>
      </c>
      <c r="L215" s="298" t="s">
        <v>493</v>
      </c>
      <c r="M215" s="301" t="s">
        <v>315</v>
      </c>
      <c r="N215" s="301" t="s">
        <v>1803</v>
      </c>
      <c r="O215" s="301" t="s">
        <v>1804</v>
      </c>
      <c r="P215" s="301" t="s">
        <v>1805</v>
      </c>
      <c r="Q215" s="301" t="s">
        <v>1806</v>
      </c>
      <c r="R215" s="301" t="s">
        <v>1807</v>
      </c>
      <c r="S215" s="301" t="s">
        <v>1808</v>
      </c>
      <c r="T215" s="301" t="s">
        <v>1809</v>
      </c>
      <c r="U215" s="301" t="s">
        <v>1810</v>
      </c>
      <c r="V215" s="301" t="s">
        <v>1812</v>
      </c>
      <c r="W215" s="298" t="s">
        <v>536</v>
      </c>
      <c r="X215" s="298" t="s">
        <v>966</v>
      </c>
    </row>
    <row r="216">
      <c r="A216" s="295" t="s">
        <v>1813</v>
      </c>
      <c r="B216" s="298">
        <v>2.0</v>
      </c>
      <c r="C216" s="298" t="s">
        <v>288</v>
      </c>
      <c r="D216" s="298" t="s">
        <v>151</v>
      </c>
      <c r="E216" s="298" t="s">
        <v>290</v>
      </c>
      <c r="F216" s="298" t="str">
        <f>'Character Sheet'!$E$9</f>
        <v/>
      </c>
      <c r="G216" s="298" t="s">
        <v>674</v>
      </c>
      <c r="H216" s="298" t="s">
        <v>352</v>
      </c>
      <c r="I216" s="298" t="s">
        <v>1000</v>
      </c>
      <c r="J216" s="298" t="s">
        <v>336</v>
      </c>
      <c r="K216" s="298" t="s">
        <v>632</v>
      </c>
      <c r="L216" s="298" t="s">
        <v>493</v>
      </c>
      <c r="M216" s="301" t="s">
        <v>315</v>
      </c>
      <c r="N216" s="301" t="s">
        <v>1815</v>
      </c>
      <c r="O216" s="301" t="s">
        <v>1816</v>
      </c>
      <c r="P216" s="301" t="s">
        <v>1817</v>
      </c>
      <c r="Q216" s="301" t="s">
        <v>1818</v>
      </c>
      <c r="R216" s="301" t="s">
        <v>1819</v>
      </c>
      <c r="S216" s="301" t="s">
        <v>1820</v>
      </c>
      <c r="T216" s="301" t="s">
        <v>1821</v>
      </c>
      <c r="U216" s="301" t="s">
        <v>1823</v>
      </c>
      <c r="V216" s="301" t="s">
        <v>1824</v>
      </c>
      <c r="W216" s="298" t="s">
        <v>305</v>
      </c>
      <c r="X216" s="298" t="s">
        <v>318</v>
      </c>
    </row>
    <row r="217">
      <c r="A217" s="295" t="s">
        <v>1825</v>
      </c>
      <c r="B217" s="298">
        <v>2.0</v>
      </c>
      <c r="C217" s="298" t="s">
        <v>288</v>
      </c>
      <c r="D217" s="298" t="s">
        <v>310</v>
      </c>
      <c r="E217" s="298" t="s">
        <v>311</v>
      </c>
      <c r="F217" s="298" t="s">
        <v>999</v>
      </c>
      <c r="G217" s="298" t="s">
        <v>674</v>
      </c>
      <c r="H217" s="298" t="s">
        <v>324</v>
      </c>
      <c r="I217" s="298" t="s">
        <v>315</v>
      </c>
      <c r="J217" s="298" t="s">
        <v>315</v>
      </c>
      <c r="K217" s="298" t="s">
        <v>315</v>
      </c>
      <c r="L217" s="298" t="s">
        <v>493</v>
      </c>
      <c r="M217" s="301" t="s">
        <v>315</v>
      </c>
      <c r="N217" s="301" t="s">
        <v>1826</v>
      </c>
      <c r="O217" s="301" t="s">
        <v>1826</v>
      </c>
      <c r="P217" s="301" t="s">
        <v>1826</v>
      </c>
      <c r="Q217" s="301" t="s">
        <v>1826</v>
      </c>
      <c r="R217" s="301" t="s">
        <v>1826</v>
      </c>
      <c r="S217" s="301" t="s">
        <v>1826</v>
      </c>
      <c r="T217" s="301" t="s">
        <v>1826</v>
      </c>
      <c r="U217" s="301" t="s">
        <v>1826</v>
      </c>
      <c r="V217" s="301" t="s">
        <v>1826</v>
      </c>
      <c r="W217" s="298" t="s">
        <v>429</v>
      </c>
      <c r="X217" s="298" t="s">
        <v>306</v>
      </c>
    </row>
    <row r="218">
      <c r="A218" s="295" t="s">
        <v>1827</v>
      </c>
      <c r="B218" s="298">
        <v>2.0</v>
      </c>
      <c r="C218" s="298" t="s">
        <v>288</v>
      </c>
      <c r="D218" s="298" t="s">
        <v>421</v>
      </c>
      <c r="E218" s="298" t="s">
        <v>290</v>
      </c>
      <c r="F218" s="298" t="str">
        <f>'Character Sheet'!$C$9</f>
        <v/>
      </c>
      <c r="G218" s="298" t="s">
        <v>294</v>
      </c>
      <c r="H218" s="298" t="s">
        <v>335</v>
      </c>
      <c r="I218" s="298" t="s">
        <v>780</v>
      </c>
      <c r="J218" s="298" t="s">
        <v>315</v>
      </c>
      <c r="K218" s="298" t="s">
        <v>325</v>
      </c>
      <c r="L218" s="298" t="s">
        <v>493</v>
      </c>
      <c r="M218" s="301" t="s">
        <v>315</v>
      </c>
      <c r="N218" s="301" t="s">
        <v>1828</v>
      </c>
      <c r="O218" s="301" t="s">
        <v>1829</v>
      </c>
      <c r="P218" s="301" t="s">
        <v>1828</v>
      </c>
      <c r="Q218" s="301" t="s">
        <v>1828</v>
      </c>
      <c r="R218" s="301" t="s">
        <v>1830</v>
      </c>
      <c r="S218" s="301" t="s">
        <v>1830</v>
      </c>
      <c r="T218" s="301" t="s">
        <v>1832</v>
      </c>
      <c r="U218" s="301" t="s">
        <v>1832</v>
      </c>
      <c r="V218" s="301" t="s">
        <v>1833</v>
      </c>
      <c r="W218" s="298" t="s">
        <v>499</v>
      </c>
      <c r="X218" s="298" t="s">
        <v>306</v>
      </c>
    </row>
    <row r="219">
      <c r="A219" s="295" t="s">
        <v>1834</v>
      </c>
      <c r="B219" s="298">
        <v>2.0</v>
      </c>
      <c r="C219" s="298" t="s">
        <v>288</v>
      </c>
      <c r="D219" s="298" t="s">
        <v>321</v>
      </c>
      <c r="E219" s="298" t="s">
        <v>290</v>
      </c>
      <c r="F219" s="298" t="str">
        <f>'Character Sheet'!$C$9</f>
        <v/>
      </c>
      <c r="G219" s="298" t="s">
        <v>294</v>
      </c>
      <c r="H219" s="298" t="s">
        <v>295</v>
      </c>
      <c r="I219" s="298" t="s">
        <v>1835</v>
      </c>
      <c r="J219" s="298" t="s">
        <v>315</v>
      </c>
      <c r="K219" s="298" t="s">
        <v>675</v>
      </c>
      <c r="L219" s="298" t="s">
        <v>493</v>
      </c>
      <c r="M219" s="301" t="s">
        <v>315</v>
      </c>
      <c r="N219" s="301" t="s">
        <v>1836</v>
      </c>
      <c r="O219" s="301" t="s">
        <v>1836</v>
      </c>
      <c r="P219" s="301" t="s">
        <v>1838</v>
      </c>
      <c r="Q219" s="301" t="s">
        <v>1839</v>
      </c>
      <c r="R219" s="301" t="s">
        <v>1839</v>
      </c>
      <c r="S219" s="301" t="s">
        <v>1839</v>
      </c>
      <c r="T219" s="301" t="s">
        <v>1839</v>
      </c>
      <c r="U219" s="301" t="s">
        <v>1839</v>
      </c>
      <c r="V219" s="301" t="s">
        <v>1839</v>
      </c>
      <c r="W219" s="298" t="s">
        <v>460</v>
      </c>
      <c r="X219" s="298" t="s">
        <v>318</v>
      </c>
    </row>
    <row r="220">
      <c r="A220" s="295" t="s">
        <v>1840</v>
      </c>
      <c r="B220" s="298">
        <v>2.0</v>
      </c>
      <c r="C220" s="298" t="s">
        <v>288</v>
      </c>
      <c r="D220" s="298" t="s">
        <v>359</v>
      </c>
      <c r="E220" s="298" t="s">
        <v>290</v>
      </c>
      <c r="F220" s="298" t="str">
        <f>'Character Sheet'!$C$9</f>
        <v/>
      </c>
      <c r="G220" s="298" t="s">
        <v>294</v>
      </c>
      <c r="H220" s="298" t="s">
        <v>295</v>
      </c>
      <c r="I220" s="298" t="s">
        <v>296</v>
      </c>
      <c r="J220" s="298" t="s">
        <v>192</v>
      </c>
      <c r="K220" s="298" t="s">
        <v>298</v>
      </c>
      <c r="L220" s="298" t="s">
        <v>493</v>
      </c>
      <c r="M220" s="301" t="s">
        <v>315</v>
      </c>
      <c r="N220" s="301" t="s">
        <v>1842</v>
      </c>
      <c r="O220" s="301" t="s">
        <v>1842</v>
      </c>
      <c r="P220" s="301" t="s">
        <v>1843</v>
      </c>
      <c r="Q220" s="301" t="s">
        <v>1843</v>
      </c>
      <c r="R220" s="301" t="s">
        <v>1844</v>
      </c>
      <c r="S220" s="301" t="s">
        <v>1844</v>
      </c>
      <c r="T220" s="301" t="s">
        <v>1845</v>
      </c>
      <c r="U220" s="301" t="s">
        <v>1845</v>
      </c>
      <c r="V220" s="301" t="s">
        <v>1846</v>
      </c>
      <c r="W220" s="298" t="s">
        <v>536</v>
      </c>
      <c r="X220" s="298" t="s">
        <v>678</v>
      </c>
    </row>
    <row r="221">
      <c r="A221" s="295" t="s">
        <v>1847</v>
      </c>
      <c r="B221" s="298">
        <v>2.0</v>
      </c>
      <c r="C221" s="298" t="s">
        <v>288</v>
      </c>
      <c r="D221" s="298" t="s">
        <v>334</v>
      </c>
      <c r="E221" s="298" t="s">
        <v>290</v>
      </c>
      <c r="F221" s="298" t="str">
        <f>'Character Sheet'!$K$9</f>
        <v/>
      </c>
      <c r="G221" s="298" t="s">
        <v>477</v>
      </c>
      <c r="H221" s="298" t="s">
        <v>295</v>
      </c>
      <c r="I221" s="298" t="s">
        <v>1849</v>
      </c>
      <c r="J221" s="298" t="s">
        <v>192</v>
      </c>
      <c r="K221" s="298" t="s">
        <v>1174</v>
      </c>
      <c r="L221" s="298" t="s">
        <v>493</v>
      </c>
      <c r="M221" s="301" t="s">
        <v>315</v>
      </c>
      <c r="N221" s="301" t="s">
        <v>1850</v>
      </c>
      <c r="O221" s="301" t="s">
        <v>1850</v>
      </c>
      <c r="P221" s="301" t="s">
        <v>1851</v>
      </c>
      <c r="Q221" s="301" t="s">
        <v>1851</v>
      </c>
      <c r="R221" s="301" t="s">
        <v>1852</v>
      </c>
      <c r="S221" s="301" t="s">
        <v>1852</v>
      </c>
      <c r="T221" s="301" t="s">
        <v>1854</v>
      </c>
      <c r="U221" s="301" t="s">
        <v>1854</v>
      </c>
      <c r="V221" s="301" t="s">
        <v>1855</v>
      </c>
      <c r="W221" s="298" t="s">
        <v>331</v>
      </c>
      <c r="X221" s="298" t="s">
        <v>678</v>
      </c>
    </row>
    <row r="222">
      <c r="A222" s="295" t="s">
        <v>1856</v>
      </c>
      <c r="B222" s="298">
        <v>2.0</v>
      </c>
      <c r="C222" s="298" t="s">
        <v>288</v>
      </c>
      <c r="D222" s="298" t="s">
        <v>321</v>
      </c>
      <c r="E222" s="298" t="s">
        <v>311</v>
      </c>
      <c r="F222" s="298" t="str">
        <f>'Character Sheet'!$C$9</f>
        <v/>
      </c>
      <c r="G222" s="298" t="s">
        <v>294</v>
      </c>
      <c r="H222" s="298" t="s">
        <v>335</v>
      </c>
      <c r="I222" s="298" t="s">
        <v>296</v>
      </c>
      <c r="J222" s="298" t="s">
        <v>315</v>
      </c>
      <c r="K222" s="298" t="s">
        <v>632</v>
      </c>
      <c r="L222" s="298" t="s">
        <v>493</v>
      </c>
      <c r="M222" s="301" t="s">
        <v>315</v>
      </c>
      <c r="N222" s="301" t="s">
        <v>1858</v>
      </c>
      <c r="O222" s="301" t="s">
        <v>1858</v>
      </c>
      <c r="P222" s="301" t="s">
        <v>1858</v>
      </c>
      <c r="Q222" s="301" t="s">
        <v>1858</v>
      </c>
      <c r="R222" s="301" t="s">
        <v>1858</v>
      </c>
      <c r="S222" s="301" t="s">
        <v>1858</v>
      </c>
      <c r="T222" s="301" t="s">
        <v>1858</v>
      </c>
      <c r="U222" s="301" t="s">
        <v>1858</v>
      </c>
      <c r="V222" s="301" t="s">
        <v>1858</v>
      </c>
      <c r="W222" s="298" t="s">
        <v>460</v>
      </c>
      <c r="X222" s="298" t="s">
        <v>306</v>
      </c>
    </row>
    <row r="223">
      <c r="A223" s="295" t="s">
        <v>1859</v>
      </c>
      <c r="B223" s="298">
        <v>2.0</v>
      </c>
      <c r="C223" s="298" t="s">
        <v>522</v>
      </c>
      <c r="D223" s="298" t="s">
        <v>334</v>
      </c>
      <c r="E223" s="298" t="s">
        <v>290</v>
      </c>
      <c r="F223" s="298" t="str">
        <f>'Character Sheet'!$C$9</f>
        <v/>
      </c>
      <c r="G223" s="298" t="s">
        <v>294</v>
      </c>
      <c r="H223" s="298" t="s">
        <v>324</v>
      </c>
      <c r="I223" s="298" t="s">
        <v>884</v>
      </c>
      <c r="J223" s="298" t="s">
        <v>407</v>
      </c>
      <c r="K223" s="298" t="s">
        <v>298</v>
      </c>
      <c r="L223" s="298" t="s">
        <v>493</v>
      </c>
      <c r="M223" s="301" t="s">
        <v>315</v>
      </c>
      <c r="N223" s="301" t="s">
        <v>1861</v>
      </c>
      <c r="O223" s="301" t="s">
        <v>1862</v>
      </c>
      <c r="P223" s="301" t="s">
        <v>1863</v>
      </c>
      <c r="Q223" s="301" t="s">
        <v>1864</v>
      </c>
      <c r="R223" s="301" t="s">
        <v>1865</v>
      </c>
      <c r="S223" s="301" t="s">
        <v>1866</v>
      </c>
      <c r="T223" s="301" t="s">
        <v>1867</v>
      </c>
      <c r="U223" s="301" t="s">
        <v>1868</v>
      </c>
      <c r="V223" s="301" t="s">
        <v>1869</v>
      </c>
      <c r="W223" s="298" t="s">
        <v>993</v>
      </c>
      <c r="X223" s="298" t="s">
        <v>1870</v>
      </c>
    </row>
    <row r="224">
      <c r="A224" s="295" t="s">
        <v>1871</v>
      </c>
      <c r="B224" s="298">
        <v>2.0</v>
      </c>
      <c r="C224" s="298" t="s">
        <v>522</v>
      </c>
      <c r="D224" s="298" t="s">
        <v>334</v>
      </c>
      <c r="E224" s="298" t="s">
        <v>290</v>
      </c>
      <c r="F224" s="298" t="str">
        <f>'Character Sheet'!$N$9</f>
        <v/>
      </c>
      <c r="G224" s="298" t="s">
        <v>674</v>
      </c>
      <c r="H224" s="298" t="s">
        <v>708</v>
      </c>
      <c r="I224" s="298" t="s">
        <v>1872</v>
      </c>
      <c r="J224" s="298" t="s">
        <v>173</v>
      </c>
      <c r="K224" s="298" t="s">
        <v>298</v>
      </c>
      <c r="L224" s="298" t="s">
        <v>493</v>
      </c>
      <c r="M224" s="301" t="s">
        <v>315</v>
      </c>
      <c r="N224" s="301" t="s">
        <v>1873</v>
      </c>
      <c r="O224" s="301" t="s">
        <v>1873</v>
      </c>
      <c r="P224" s="301" t="s">
        <v>1875</v>
      </c>
      <c r="Q224" s="301" t="s">
        <v>1875</v>
      </c>
      <c r="R224" s="301" t="s">
        <v>1876</v>
      </c>
      <c r="S224" s="301" t="s">
        <v>1876</v>
      </c>
      <c r="T224" s="301" t="s">
        <v>1877</v>
      </c>
      <c r="U224" s="301" t="s">
        <v>1877</v>
      </c>
      <c r="V224" s="301" t="s">
        <v>1878</v>
      </c>
      <c r="W224" s="298" t="s">
        <v>993</v>
      </c>
      <c r="X224" s="298" t="s">
        <v>1870</v>
      </c>
    </row>
    <row r="225">
      <c r="A225" s="295" t="s">
        <v>1879</v>
      </c>
      <c r="B225" s="298">
        <v>2.0</v>
      </c>
      <c r="C225" s="298" t="s">
        <v>288</v>
      </c>
      <c r="D225" s="298" t="s">
        <v>421</v>
      </c>
      <c r="E225" s="298" t="s">
        <v>311</v>
      </c>
      <c r="F225" s="298" t="str">
        <f>'Character Sheet'!$C$9</f>
        <v/>
      </c>
      <c r="G225" s="298" t="s">
        <v>294</v>
      </c>
      <c r="H225" s="298" t="s">
        <v>335</v>
      </c>
      <c r="I225" s="298" t="s">
        <v>296</v>
      </c>
      <c r="J225" s="298" t="s">
        <v>173</v>
      </c>
      <c r="K225" s="298" t="s">
        <v>1174</v>
      </c>
      <c r="L225" s="298" t="s">
        <v>493</v>
      </c>
      <c r="M225" s="301" t="s">
        <v>315</v>
      </c>
      <c r="N225" s="301" t="s">
        <v>1881</v>
      </c>
      <c r="O225" s="301" t="s">
        <v>1881</v>
      </c>
      <c r="P225" s="301" t="s">
        <v>1881</v>
      </c>
      <c r="Q225" s="301" t="s">
        <v>1881</v>
      </c>
      <c r="R225" s="301" t="s">
        <v>1881</v>
      </c>
      <c r="S225" s="301" t="s">
        <v>1881</v>
      </c>
      <c r="T225" s="301" t="s">
        <v>1881</v>
      </c>
      <c r="U225" s="301" t="s">
        <v>1881</v>
      </c>
      <c r="V225" s="301" t="s">
        <v>1881</v>
      </c>
      <c r="W225" s="298" t="s">
        <v>404</v>
      </c>
      <c r="X225" s="298" t="s">
        <v>966</v>
      </c>
    </row>
    <row r="226">
      <c r="A226" s="295" t="s">
        <v>1883</v>
      </c>
      <c r="B226" s="298">
        <v>2.0</v>
      </c>
      <c r="C226" s="298" t="s">
        <v>522</v>
      </c>
      <c r="D226" s="298" t="s">
        <v>289</v>
      </c>
      <c r="E226" s="298" t="s">
        <v>290</v>
      </c>
      <c r="F226" s="298" t="str">
        <f>'Character Sheet'!$C$9</f>
        <v/>
      </c>
      <c r="G226" s="298" t="s">
        <v>294</v>
      </c>
      <c r="H226" s="298" t="s">
        <v>295</v>
      </c>
      <c r="I226" s="298" t="s">
        <v>1413</v>
      </c>
      <c r="J226" s="298" t="s">
        <v>173</v>
      </c>
      <c r="K226" s="298" t="s">
        <v>353</v>
      </c>
      <c r="L226" s="298" t="s">
        <v>493</v>
      </c>
      <c r="M226" s="301" t="s">
        <v>315</v>
      </c>
      <c r="N226" s="301" t="s">
        <v>1884</v>
      </c>
      <c r="O226" s="301" t="s">
        <v>1884</v>
      </c>
      <c r="P226" s="301" t="s">
        <v>1885</v>
      </c>
      <c r="Q226" s="301" t="s">
        <v>1885</v>
      </c>
      <c r="R226" s="301" t="s">
        <v>1885</v>
      </c>
      <c r="S226" s="301" t="s">
        <v>1886</v>
      </c>
      <c r="T226" s="301" t="s">
        <v>1886</v>
      </c>
      <c r="U226" s="301" t="s">
        <v>1886</v>
      </c>
      <c r="V226" s="301" t="s">
        <v>1886</v>
      </c>
      <c r="W226" s="298" t="s">
        <v>499</v>
      </c>
      <c r="X226" s="298" t="s">
        <v>1457</v>
      </c>
    </row>
    <row r="227">
      <c r="A227" s="295" t="s">
        <v>1887</v>
      </c>
      <c r="B227" s="298">
        <v>2.0</v>
      </c>
      <c r="C227" s="298" t="s">
        <v>288</v>
      </c>
      <c r="D227" s="298" t="s">
        <v>359</v>
      </c>
      <c r="E227" s="298" t="s">
        <v>311</v>
      </c>
      <c r="F227" s="298" t="str">
        <f>'Character Sheet'!$C$9</f>
        <v/>
      </c>
      <c r="G227" s="298" t="s">
        <v>294</v>
      </c>
      <c r="H227" s="298" t="s">
        <v>352</v>
      </c>
      <c r="I227" s="298" t="s">
        <v>1413</v>
      </c>
      <c r="J227" s="298" t="s">
        <v>192</v>
      </c>
      <c r="K227" s="298" t="s">
        <v>424</v>
      </c>
      <c r="L227" s="298" t="s">
        <v>493</v>
      </c>
      <c r="M227" s="301" t="s">
        <v>315</v>
      </c>
      <c r="N227" s="301" t="s">
        <v>1889</v>
      </c>
      <c r="O227" s="301" t="s">
        <v>1889</v>
      </c>
      <c r="P227" s="301" t="s">
        <v>1889</v>
      </c>
      <c r="Q227" s="301" t="s">
        <v>1889</v>
      </c>
      <c r="R227" s="301" t="s">
        <v>1889</v>
      </c>
      <c r="S227" s="301" t="s">
        <v>1889</v>
      </c>
      <c r="T227" s="301" t="s">
        <v>1889</v>
      </c>
      <c r="U227" s="301" t="s">
        <v>1889</v>
      </c>
      <c r="V227" s="301" t="s">
        <v>1889</v>
      </c>
      <c r="W227" s="298" t="s">
        <v>429</v>
      </c>
      <c r="X227" s="298" t="s">
        <v>306</v>
      </c>
    </row>
    <row r="228">
      <c r="A228" s="295" t="s">
        <v>1891</v>
      </c>
      <c r="B228" s="298">
        <v>2.0</v>
      </c>
      <c r="C228" s="298" t="s">
        <v>288</v>
      </c>
      <c r="D228" s="298" t="s">
        <v>359</v>
      </c>
      <c r="E228" s="298" t="s">
        <v>311</v>
      </c>
      <c r="F228" s="298" t="str">
        <f>'Character Sheet'!$C$9</f>
        <v/>
      </c>
      <c r="G228" s="298" t="s">
        <v>294</v>
      </c>
      <c r="H228" s="298" t="s">
        <v>295</v>
      </c>
      <c r="I228" s="298" t="s">
        <v>296</v>
      </c>
      <c r="J228" s="298" t="s">
        <v>192</v>
      </c>
      <c r="K228" s="298" t="s">
        <v>1174</v>
      </c>
      <c r="L228" s="298" t="s">
        <v>493</v>
      </c>
      <c r="M228" s="301" t="s">
        <v>315</v>
      </c>
      <c r="N228" s="301" t="s">
        <v>1893</v>
      </c>
      <c r="O228" s="301" t="s">
        <v>1893</v>
      </c>
      <c r="P228" s="301" t="s">
        <v>1893</v>
      </c>
      <c r="Q228" s="301" t="s">
        <v>1893</v>
      </c>
      <c r="R228" s="301" t="s">
        <v>1893</v>
      </c>
      <c r="S228" s="301" t="s">
        <v>1893</v>
      </c>
      <c r="T228" s="301" t="s">
        <v>1893</v>
      </c>
      <c r="U228" s="301" t="s">
        <v>1893</v>
      </c>
      <c r="V228" s="301" t="s">
        <v>1893</v>
      </c>
      <c r="W228" s="298" t="s">
        <v>331</v>
      </c>
      <c r="X228" s="298" t="s">
        <v>678</v>
      </c>
    </row>
    <row r="229">
      <c r="A229" s="295" t="s">
        <v>1894</v>
      </c>
      <c r="B229" s="298">
        <v>2.0</v>
      </c>
      <c r="C229" s="298" t="s">
        <v>522</v>
      </c>
      <c r="D229" s="298" t="s">
        <v>462</v>
      </c>
      <c r="E229" s="298" t="s">
        <v>290</v>
      </c>
      <c r="F229" s="298" t="str">
        <f>'Character Sheet'!$C$9</f>
        <v/>
      </c>
      <c r="G229" s="298" t="s">
        <v>477</v>
      </c>
      <c r="H229" s="298" t="s">
        <v>295</v>
      </c>
      <c r="I229" s="298" t="s">
        <v>1895</v>
      </c>
      <c r="J229" s="298" t="s">
        <v>315</v>
      </c>
      <c r="K229" s="298" t="s">
        <v>424</v>
      </c>
      <c r="L229" s="298" t="s">
        <v>493</v>
      </c>
      <c r="M229" s="301" t="s">
        <v>315</v>
      </c>
      <c r="N229" s="301" t="s">
        <v>1896</v>
      </c>
      <c r="O229" s="301" t="s">
        <v>1896</v>
      </c>
      <c r="P229" s="301" t="s">
        <v>1897</v>
      </c>
      <c r="Q229" s="301" t="s">
        <v>1897</v>
      </c>
      <c r="R229" s="301" t="s">
        <v>1897</v>
      </c>
      <c r="S229" s="301" t="s">
        <v>1897</v>
      </c>
      <c r="T229" s="301" t="s">
        <v>1897</v>
      </c>
      <c r="U229" s="301" t="s">
        <v>1897</v>
      </c>
      <c r="V229" s="301" t="s">
        <v>1897</v>
      </c>
      <c r="W229" s="298" t="s">
        <v>389</v>
      </c>
      <c r="X229" s="298" t="s">
        <v>1714</v>
      </c>
    </row>
    <row r="230">
      <c r="A230" s="295" t="s">
        <v>1898</v>
      </c>
      <c r="B230" s="298">
        <v>2.0</v>
      </c>
      <c r="C230" s="298" t="s">
        <v>288</v>
      </c>
      <c r="D230" s="298" t="s">
        <v>310</v>
      </c>
      <c r="E230" s="298" t="s">
        <v>290</v>
      </c>
      <c r="F230" s="298" t="str">
        <f>'Character Sheet'!$C$9</f>
        <v/>
      </c>
      <c r="G230" s="298" t="s">
        <v>294</v>
      </c>
      <c r="H230" s="298" t="s">
        <v>295</v>
      </c>
      <c r="I230" s="298" t="s">
        <v>296</v>
      </c>
      <c r="J230" s="298" t="s">
        <v>315</v>
      </c>
      <c r="K230" s="298" t="s">
        <v>675</v>
      </c>
      <c r="L230" s="298" t="s">
        <v>493</v>
      </c>
      <c r="M230" s="301" t="s">
        <v>315</v>
      </c>
      <c r="N230" s="301" t="s">
        <v>1900</v>
      </c>
      <c r="O230" s="301" t="s">
        <v>1901</v>
      </c>
      <c r="P230" s="301" t="s">
        <v>1902</v>
      </c>
      <c r="Q230" s="301" t="s">
        <v>1902</v>
      </c>
      <c r="R230" s="301" t="s">
        <v>1902</v>
      </c>
      <c r="S230" s="301" t="s">
        <v>1902</v>
      </c>
      <c r="T230" s="301" t="s">
        <v>1902</v>
      </c>
      <c r="U230" s="301" t="s">
        <v>1902</v>
      </c>
      <c r="V230" s="301" t="s">
        <v>1902</v>
      </c>
      <c r="W230" s="298" t="s">
        <v>331</v>
      </c>
      <c r="X230" s="298" t="s">
        <v>306</v>
      </c>
    </row>
    <row r="231">
      <c r="A231" s="295" t="s">
        <v>1903</v>
      </c>
      <c r="B231" s="298">
        <v>2.0</v>
      </c>
      <c r="C231" s="298" t="s">
        <v>288</v>
      </c>
      <c r="D231" s="298" t="s">
        <v>289</v>
      </c>
      <c r="E231" s="298" t="s">
        <v>290</v>
      </c>
      <c r="F231" s="298" t="str">
        <f>'Character Sheet'!$E$9</f>
        <v/>
      </c>
      <c r="G231" s="298" t="s">
        <v>674</v>
      </c>
      <c r="H231" s="298" t="s">
        <v>335</v>
      </c>
      <c r="I231" s="298" t="s">
        <v>435</v>
      </c>
      <c r="J231" s="298" t="s">
        <v>315</v>
      </c>
      <c r="K231" s="298" t="s">
        <v>1283</v>
      </c>
      <c r="L231" s="298" t="s">
        <v>493</v>
      </c>
      <c r="M231" s="301" t="s">
        <v>315</v>
      </c>
      <c r="N231" s="301" t="s">
        <v>1904</v>
      </c>
      <c r="O231" s="301" t="s">
        <v>1905</v>
      </c>
      <c r="P231" s="301" t="s">
        <v>1906</v>
      </c>
      <c r="Q231" s="301" t="s">
        <v>1907</v>
      </c>
      <c r="R231" s="301" t="s">
        <v>1909</v>
      </c>
      <c r="S231" s="301" t="s">
        <v>1910</v>
      </c>
      <c r="T231" s="301" t="s">
        <v>1911</v>
      </c>
      <c r="U231" s="301" t="s">
        <v>1912</v>
      </c>
      <c r="V231" s="301" t="s">
        <v>1913</v>
      </c>
      <c r="W231" s="298" t="s">
        <v>317</v>
      </c>
      <c r="X231" s="298" t="s">
        <v>306</v>
      </c>
    </row>
    <row r="232">
      <c r="A232" s="295" t="s">
        <v>1914</v>
      </c>
      <c r="B232" s="298">
        <v>2.0</v>
      </c>
      <c r="C232" s="298" t="s">
        <v>288</v>
      </c>
      <c r="D232" s="298" t="s">
        <v>151</v>
      </c>
      <c r="E232" s="298" t="s">
        <v>290</v>
      </c>
      <c r="F232" s="298" t="s">
        <v>675</v>
      </c>
      <c r="G232" s="298" t="s">
        <v>294</v>
      </c>
      <c r="H232" s="298" t="s">
        <v>295</v>
      </c>
      <c r="I232" s="298" t="s">
        <v>315</v>
      </c>
      <c r="J232" s="298" t="s">
        <v>315</v>
      </c>
      <c r="K232" s="298" t="s">
        <v>545</v>
      </c>
      <c r="L232" s="298" t="s">
        <v>493</v>
      </c>
      <c r="M232" s="301" t="s">
        <v>315</v>
      </c>
      <c r="N232" s="301" t="s">
        <v>1916</v>
      </c>
      <c r="O232" s="301" t="s">
        <v>1916</v>
      </c>
      <c r="P232" s="301" t="s">
        <v>1917</v>
      </c>
      <c r="Q232" s="301" t="s">
        <v>1917</v>
      </c>
      <c r="R232" s="301" t="s">
        <v>1918</v>
      </c>
      <c r="S232" s="301" t="s">
        <v>1918</v>
      </c>
      <c r="T232" s="301" t="s">
        <v>1919</v>
      </c>
      <c r="U232" s="301" t="s">
        <v>1919</v>
      </c>
      <c r="V232" s="301" t="s">
        <v>1919</v>
      </c>
      <c r="W232" s="298" t="s">
        <v>993</v>
      </c>
      <c r="X232" s="298" t="s">
        <v>306</v>
      </c>
    </row>
    <row r="233">
      <c r="A233" s="295" t="s">
        <v>1920</v>
      </c>
      <c r="B233" s="298">
        <v>2.0</v>
      </c>
      <c r="C233" s="298" t="s">
        <v>522</v>
      </c>
      <c r="D233" s="298" t="s">
        <v>289</v>
      </c>
      <c r="E233" s="298" t="s">
        <v>290</v>
      </c>
      <c r="F233" s="298" t="str">
        <f>'Character Sheet'!$C$9</f>
        <v/>
      </c>
      <c r="G233" s="298" t="s">
        <v>294</v>
      </c>
      <c r="H233" s="298" t="s">
        <v>360</v>
      </c>
      <c r="I233" s="298" t="s">
        <v>1921</v>
      </c>
      <c r="J233" s="298" t="s">
        <v>315</v>
      </c>
      <c r="K233" s="298" t="s">
        <v>424</v>
      </c>
      <c r="L233" s="298" t="s">
        <v>493</v>
      </c>
      <c r="M233" s="301" t="s">
        <v>315</v>
      </c>
      <c r="N233" s="301" t="s">
        <v>1923</v>
      </c>
      <c r="O233" s="301" t="s">
        <v>1923</v>
      </c>
      <c r="P233" s="301" t="s">
        <v>1924</v>
      </c>
      <c r="Q233" s="301" t="s">
        <v>1924</v>
      </c>
      <c r="R233" s="301" t="s">
        <v>1924</v>
      </c>
      <c r="S233" s="301" t="s">
        <v>1924</v>
      </c>
      <c r="T233" s="301" t="s">
        <v>1924</v>
      </c>
      <c r="U233" s="301" t="s">
        <v>1924</v>
      </c>
      <c r="V233" s="301" t="s">
        <v>1924</v>
      </c>
      <c r="W233" s="298" t="s">
        <v>317</v>
      </c>
      <c r="X233" s="298" t="s">
        <v>1082</v>
      </c>
    </row>
    <row r="234">
      <c r="A234" s="295" t="s">
        <v>1925</v>
      </c>
      <c r="B234" s="298">
        <v>2.0</v>
      </c>
      <c r="C234" s="298" t="s">
        <v>288</v>
      </c>
      <c r="D234" s="298" t="s">
        <v>289</v>
      </c>
      <c r="E234" s="298" t="s">
        <v>290</v>
      </c>
      <c r="F234" s="298" t="str">
        <f>'Character Sheet'!$E$9</f>
        <v/>
      </c>
      <c r="G234" s="298" t="s">
        <v>674</v>
      </c>
      <c r="H234" s="298" t="s">
        <v>352</v>
      </c>
      <c r="I234" s="298" t="s">
        <v>1000</v>
      </c>
      <c r="J234" s="298" t="s">
        <v>315</v>
      </c>
      <c r="K234" s="298" t="s">
        <v>632</v>
      </c>
      <c r="L234" s="298" t="s">
        <v>493</v>
      </c>
      <c r="M234" s="301" t="s">
        <v>315</v>
      </c>
      <c r="N234" s="301" t="s">
        <v>1927</v>
      </c>
      <c r="O234" s="301" t="s">
        <v>1928</v>
      </c>
      <c r="P234" s="301" t="s">
        <v>1929</v>
      </c>
      <c r="Q234" s="301" t="s">
        <v>1930</v>
      </c>
      <c r="R234" s="301" t="s">
        <v>1931</v>
      </c>
      <c r="S234" s="301" t="s">
        <v>1932</v>
      </c>
      <c r="T234" s="301" t="s">
        <v>1933</v>
      </c>
      <c r="U234" s="301" t="s">
        <v>1934</v>
      </c>
      <c r="V234" s="301" t="s">
        <v>1935</v>
      </c>
      <c r="W234" s="298" t="s">
        <v>317</v>
      </c>
      <c r="X234" s="298" t="s">
        <v>306</v>
      </c>
    </row>
    <row r="235">
      <c r="A235" s="295" t="s">
        <v>1566</v>
      </c>
      <c r="B235" s="298">
        <v>2.0</v>
      </c>
      <c r="C235" s="298" t="s">
        <v>288</v>
      </c>
      <c r="D235" s="298" t="s">
        <v>310</v>
      </c>
      <c r="E235" s="298" t="s">
        <v>290</v>
      </c>
      <c r="F235" s="298" t="str">
        <f>'Character Sheet'!$C$9</f>
        <v/>
      </c>
      <c r="G235" s="298" t="s">
        <v>294</v>
      </c>
      <c r="H235" s="298" t="s">
        <v>335</v>
      </c>
      <c r="I235" s="298" t="s">
        <v>324</v>
      </c>
      <c r="J235" s="298" t="s">
        <v>315</v>
      </c>
      <c r="K235" s="298" t="s">
        <v>675</v>
      </c>
      <c r="L235" s="298" t="s">
        <v>493</v>
      </c>
      <c r="M235" s="301" t="s">
        <v>315</v>
      </c>
      <c r="N235" s="301" t="s">
        <v>1936</v>
      </c>
      <c r="O235" s="301" t="s">
        <v>1937</v>
      </c>
      <c r="P235" s="301" t="s">
        <v>1937</v>
      </c>
      <c r="Q235" s="301" t="s">
        <v>1938</v>
      </c>
      <c r="R235" s="301" t="s">
        <v>1938</v>
      </c>
      <c r="S235" s="301" t="s">
        <v>1938</v>
      </c>
      <c r="T235" s="301" t="s">
        <v>1938</v>
      </c>
      <c r="U235" s="301" t="s">
        <v>1938</v>
      </c>
      <c r="V235" s="301" t="s">
        <v>1938</v>
      </c>
      <c r="W235" s="298" t="s">
        <v>317</v>
      </c>
      <c r="X235" s="298" t="s">
        <v>306</v>
      </c>
    </row>
    <row r="236">
      <c r="A236" s="295" t="s">
        <v>1939</v>
      </c>
      <c r="B236" s="298">
        <v>2.0</v>
      </c>
      <c r="C236" s="298" t="s">
        <v>288</v>
      </c>
      <c r="D236" s="298" t="s">
        <v>334</v>
      </c>
      <c r="E236" s="298" t="s">
        <v>311</v>
      </c>
      <c r="F236" s="298" t="str">
        <f>'Character Sheet'!$C$9</f>
        <v/>
      </c>
      <c r="G236" s="298" t="s">
        <v>294</v>
      </c>
      <c r="H236" s="298" t="s">
        <v>295</v>
      </c>
      <c r="I236" s="298" t="s">
        <v>296</v>
      </c>
      <c r="J236" s="298" t="s">
        <v>173</v>
      </c>
      <c r="K236" s="298" t="s">
        <v>1174</v>
      </c>
      <c r="L236" s="298" t="s">
        <v>493</v>
      </c>
      <c r="M236" s="301" t="s">
        <v>315</v>
      </c>
      <c r="N236" s="301" t="s">
        <v>1941</v>
      </c>
      <c r="O236" s="301" t="s">
        <v>1941</v>
      </c>
      <c r="P236" s="301" t="s">
        <v>1941</v>
      </c>
      <c r="Q236" s="301" t="s">
        <v>1941</v>
      </c>
      <c r="R236" s="301" t="s">
        <v>1941</v>
      </c>
      <c r="S236" s="301" t="s">
        <v>1941</v>
      </c>
      <c r="T236" s="301" t="s">
        <v>1941</v>
      </c>
      <c r="U236" s="301" t="s">
        <v>1941</v>
      </c>
      <c r="V236" s="301" t="s">
        <v>1941</v>
      </c>
      <c r="W236" s="298" t="s">
        <v>317</v>
      </c>
      <c r="X236" s="298" t="s">
        <v>306</v>
      </c>
    </row>
    <row r="237">
      <c r="A237" s="295" t="s">
        <v>1942</v>
      </c>
      <c r="B237" s="298">
        <v>2.0</v>
      </c>
      <c r="C237" s="298" t="s">
        <v>288</v>
      </c>
      <c r="D237" s="298" t="s">
        <v>334</v>
      </c>
      <c r="E237" s="298" t="s">
        <v>311</v>
      </c>
      <c r="F237" s="298" t="str">
        <f>'Character Sheet'!$C$9</f>
        <v/>
      </c>
      <c r="G237" s="298" t="s">
        <v>294</v>
      </c>
      <c r="H237" s="298" t="s">
        <v>335</v>
      </c>
      <c r="I237" s="298" t="s">
        <v>1943</v>
      </c>
      <c r="J237" s="298" t="s">
        <v>192</v>
      </c>
      <c r="K237" s="298" t="s">
        <v>325</v>
      </c>
      <c r="L237" s="298" t="s">
        <v>493</v>
      </c>
      <c r="M237" s="301" t="s">
        <v>315</v>
      </c>
      <c r="N237" s="301" t="s">
        <v>1945</v>
      </c>
      <c r="O237" s="301" t="s">
        <v>1945</v>
      </c>
      <c r="P237" s="301" t="s">
        <v>1945</v>
      </c>
      <c r="Q237" s="301" t="s">
        <v>1945</v>
      </c>
      <c r="R237" s="301" t="s">
        <v>1945</v>
      </c>
      <c r="S237" s="301" t="s">
        <v>1945</v>
      </c>
      <c r="T237" s="301" t="s">
        <v>1945</v>
      </c>
      <c r="U237" s="301" t="s">
        <v>1945</v>
      </c>
      <c r="V237" s="301" t="s">
        <v>1945</v>
      </c>
      <c r="W237" s="298" t="s">
        <v>429</v>
      </c>
      <c r="X237" s="298" t="s">
        <v>306</v>
      </c>
    </row>
    <row r="238">
      <c r="A238" s="295" t="s">
        <v>1946</v>
      </c>
      <c r="B238" s="298">
        <v>2.0</v>
      </c>
      <c r="C238" s="298" t="s">
        <v>288</v>
      </c>
      <c r="D238" s="298" t="s">
        <v>462</v>
      </c>
      <c r="E238" s="298" t="s">
        <v>290</v>
      </c>
      <c r="F238" s="298" t="str">
        <f>'Character Sheet'!$C$9</f>
        <v/>
      </c>
      <c r="G238" s="298" t="s">
        <v>294</v>
      </c>
      <c r="H238" s="298" t="s">
        <v>335</v>
      </c>
      <c r="I238" s="298" t="s">
        <v>435</v>
      </c>
      <c r="J238" s="298" t="s">
        <v>315</v>
      </c>
      <c r="K238" s="298" t="s">
        <v>632</v>
      </c>
      <c r="L238" s="298" t="s">
        <v>493</v>
      </c>
      <c r="M238" s="301" t="s">
        <v>315</v>
      </c>
      <c r="N238" s="301" t="s">
        <v>1947</v>
      </c>
      <c r="O238" s="301" t="s">
        <v>1947</v>
      </c>
      <c r="P238" s="301" t="s">
        <v>1948</v>
      </c>
      <c r="Q238" s="301" t="s">
        <v>1948</v>
      </c>
      <c r="R238" s="301" t="s">
        <v>1949</v>
      </c>
      <c r="S238" s="301" t="s">
        <v>1949</v>
      </c>
      <c r="T238" s="301" t="s">
        <v>1949</v>
      </c>
      <c r="U238" s="301" t="s">
        <v>1949</v>
      </c>
      <c r="V238" s="301" t="s">
        <v>1949</v>
      </c>
      <c r="W238" s="298" t="s">
        <v>305</v>
      </c>
      <c r="X238" s="298" t="s">
        <v>678</v>
      </c>
    </row>
    <row r="239">
      <c r="A239" s="295" t="s">
        <v>1950</v>
      </c>
      <c r="B239" s="298">
        <v>2.0</v>
      </c>
      <c r="C239" s="298" t="s">
        <v>288</v>
      </c>
      <c r="D239" s="298" t="s">
        <v>421</v>
      </c>
      <c r="E239" s="298" t="s">
        <v>311</v>
      </c>
      <c r="F239" s="298" t="str">
        <f>'Character Sheet'!$C$9</f>
        <v/>
      </c>
      <c r="G239" s="298" t="s">
        <v>294</v>
      </c>
      <c r="H239" s="298" t="s">
        <v>352</v>
      </c>
      <c r="I239" s="298" t="s">
        <v>1952</v>
      </c>
      <c r="J239" s="298" t="s">
        <v>1953</v>
      </c>
      <c r="K239" s="298" t="s">
        <v>298</v>
      </c>
      <c r="L239" s="298" t="s">
        <v>493</v>
      </c>
      <c r="M239" s="301" t="s">
        <v>315</v>
      </c>
      <c r="N239" s="301" t="s">
        <v>1954</v>
      </c>
      <c r="O239" s="301" t="s">
        <v>1954</v>
      </c>
      <c r="P239" s="301" t="s">
        <v>1954</v>
      </c>
      <c r="Q239" s="301" t="s">
        <v>1954</v>
      </c>
      <c r="R239" s="301" t="s">
        <v>1954</v>
      </c>
      <c r="S239" s="301" t="s">
        <v>1954</v>
      </c>
      <c r="T239" s="301" t="s">
        <v>1954</v>
      </c>
      <c r="U239" s="301" t="s">
        <v>1954</v>
      </c>
      <c r="V239" s="301" t="s">
        <v>1954</v>
      </c>
      <c r="W239" s="298" t="s">
        <v>317</v>
      </c>
      <c r="X239" s="298" t="s">
        <v>306</v>
      </c>
    </row>
    <row r="240">
      <c r="A240" s="295" t="s">
        <v>1956</v>
      </c>
      <c r="B240" s="298">
        <v>2.0</v>
      </c>
      <c r="C240" s="298" t="s">
        <v>288</v>
      </c>
      <c r="D240" s="298" t="s">
        <v>289</v>
      </c>
      <c r="E240" s="298" t="s">
        <v>290</v>
      </c>
      <c r="F240" s="298" t="str">
        <f>'Character Sheet'!$C$9</f>
        <v/>
      </c>
      <c r="G240" s="298" t="s">
        <v>294</v>
      </c>
      <c r="H240" s="298" t="s">
        <v>352</v>
      </c>
      <c r="I240" s="298" t="s">
        <v>1000</v>
      </c>
      <c r="J240" s="298" t="s">
        <v>315</v>
      </c>
      <c r="K240" s="298" t="s">
        <v>632</v>
      </c>
      <c r="L240" s="298" t="s">
        <v>493</v>
      </c>
      <c r="M240" s="301" t="s">
        <v>315</v>
      </c>
      <c r="N240" s="301" t="s">
        <v>1957</v>
      </c>
      <c r="O240" s="301" t="s">
        <v>1957</v>
      </c>
      <c r="P240" s="301" t="s">
        <v>1958</v>
      </c>
      <c r="Q240" s="301" t="s">
        <v>1958</v>
      </c>
      <c r="R240" s="301" t="s">
        <v>1959</v>
      </c>
      <c r="S240" s="301" t="s">
        <v>1959</v>
      </c>
      <c r="T240" s="301" t="s">
        <v>1960</v>
      </c>
      <c r="U240" s="301" t="s">
        <v>1960</v>
      </c>
      <c r="V240" s="301" t="s">
        <v>1961</v>
      </c>
      <c r="W240" s="298" t="s">
        <v>305</v>
      </c>
      <c r="X240" s="298" t="s">
        <v>318</v>
      </c>
    </row>
    <row r="241">
      <c r="A241" s="295" t="s">
        <v>1962</v>
      </c>
      <c r="B241" s="298">
        <v>2.0</v>
      </c>
      <c r="C241" s="298" t="s">
        <v>522</v>
      </c>
      <c r="D241" s="298" t="s">
        <v>310</v>
      </c>
      <c r="E241" s="298" t="s">
        <v>290</v>
      </c>
      <c r="F241" s="298" t="s">
        <v>625</v>
      </c>
      <c r="G241" s="298" t="s">
        <v>674</v>
      </c>
      <c r="H241" s="298" t="s">
        <v>335</v>
      </c>
      <c r="I241" s="298" t="s">
        <v>780</v>
      </c>
      <c r="J241" s="298" t="s">
        <v>315</v>
      </c>
      <c r="K241" s="298" t="s">
        <v>675</v>
      </c>
      <c r="L241" s="298" t="s">
        <v>493</v>
      </c>
      <c r="M241" s="301" t="s">
        <v>315</v>
      </c>
      <c r="N241" s="301" t="s">
        <v>1963</v>
      </c>
      <c r="O241" s="301" t="s">
        <v>1963</v>
      </c>
      <c r="P241" s="301" t="s">
        <v>1964</v>
      </c>
      <c r="Q241" s="301" t="s">
        <v>1964</v>
      </c>
      <c r="R241" s="301" t="s">
        <v>1964</v>
      </c>
      <c r="S241" s="301" t="s">
        <v>1964</v>
      </c>
      <c r="T241" s="301" t="s">
        <v>1964</v>
      </c>
      <c r="U241" s="301" t="s">
        <v>1964</v>
      </c>
      <c r="V241" s="301" t="s">
        <v>1964</v>
      </c>
      <c r="W241" s="298" t="s">
        <v>460</v>
      </c>
      <c r="X241" s="298" t="s">
        <v>1082</v>
      </c>
    </row>
    <row r="242">
      <c r="A242" s="295" t="s">
        <v>1966</v>
      </c>
      <c r="B242" s="298">
        <v>2.0</v>
      </c>
      <c r="C242" s="298" t="s">
        <v>288</v>
      </c>
      <c r="D242" s="298" t="s">
        <v>321</v>
      </c>
      <c r="E242" s="298" t="s">
        <v>290</v>
      </c>
      <c r="F242" s="298" t="str">
        <f>'Character Sheet'!$C$9</f>
        <v/>
      </c>
      <c r="G242" s="298" t="s">
        <v>294</v>
      </c>
      <c r="H242" s="298" t="s">
        <v>335</v>
      </c>
      <c r="I242" s="298" t="s">
        <v>1967</v>
      </c>
      <c r="J242" s="298" t="s">
        <v>315</v>
      </c>
      <c r="K242" s="298" t="s">
        <v>675</v>
      </c>
      <c r="L242" s="298" t="s">
        <v>493</v>
      </c>
      <c r="M242" s="301" t="s">
        <v>315</v>
      </c>
      <c r="N242" s="301" t="s">
        <v>1968</v>
      </c>
      <c r="O242" s="301" t="s">
        <v>1968</v>
      </c>
      <c r="P242" s="301" t="s">
        <v>1969</v>
      </c>
      <c r="Q242" s="301" t="s">
        <v>1969</v>
      </c>
      <c r="R242" s="301" t="s">
        <v>1969</v>
      </c>
      <c r="S242" s="301" t="s">
        <v>1969</v>
      </c>
      <c r="T242" s="301" t="s">
        <v>1969</v>
      </c>
      <c r="U242" s="301" t="s">
        <v>1969</v>
      </c>
      <c r="V242" s="301" t="s">
        <v>1969</v>
      </c>
      <c r="W242" s="298" t="s">
        <v>460</v>
      </c>
      <c r="X242" s="298" t="s">
        <v>569</v>
      </c>
    </row>
    <row r="243">
      <c r="A243" s="295" t="s">
        <v>1971</v>
      </c>
      <c r="B243" s="298">
        <v>2.0</v>
      </c>
      <c r="C243" s="298" t="s">
        <v>288</v>
      </c>
      <c r="D243" s="298" t="s">
        <v>421</v>
      </c>
      <c r="E243" s="298" t="s">
        <v>290</v>
      </c>
      <c r="F243" s="298" t="s">
        <v>999</v>
      </c>
      <c r="G243" s="298" t="s">
        <v>294</v>
      </c>
      <c r="H243" s="298" t="s">
        <v>335</v>
      </c>
      <c r="I243" s="298" t="s">
        <v>780</v>
      </c>
      <c r="J243" s="298" t="s">
        <v>315</v>
      </c>
      <c r="K243" s="298" t="s">
        <v>1972</v>
      </c>
      <c r="L243" s="298" t="s">
        <v>493</v>
      </c>
      <c r="M243" s="301" t="s">
        <v>315</v>
      </c>
      <c r="N243" s="301" t="s">
        <v>1973</v>
      </c>
      <c r="O243" s="301" t="s">
        <v>1974</v>
      </c>
      <c r="P243" s="301" t="s">
        <v>1974</v>
      </c>
      <c r="Q243" s="301" t="s">
        <v>1975</v>
      </c>
      <c r="R243" s="301" t="s">
        <v>1975</v>
      </c>
      <c r="S243" s="301" t="s">
        <v>1975</v>
      </c>
      <c r="T243" s="301" t="s">
        <v>1975</v>
      </c>
      <c r="U243" s="301" t="s">
        <v>1975</v>
      </c>
      <c r="V243" s="301" t="s">
        <v>1975</v>
      </c>
      <c r="W243" s="298" t="s">
        <v>993</v>
      </c>
      <c r="X243" s="298" t="s">
        <v>306</v>
      </c>
    </row>
    <row r="244">
      <c r="A244" s="295" t="s">
        <v>1976</v>
      </c>
      <c r="B244" s="298">
        <v>2.0</v>
      </c>
      <c r="C244" s="298" t="s">
        <v>288</v>
      </c>
      <c r="D244" s="298" t="s">
        <v>462</v>
      </c>
      <c r="E244" s="298" t="s">
        <v>290</v>
      </c>
      <c r="F244" s="298" t="s">
        <v>625</v>
      </c>
      <c r="G244" s="298" t="s">
        <v>674</v>
      </c>
      <c r="H244" s="298" t="s">
        <v>335</v>
      </c>
      <c r="I244" s="298" t="s">
        <v>1977</v>
      </c>
      <c r="J244" s="298" t="s">
        <v>315</v>
      </c>
      <c r="K244" s="298" t="s">
        <v>675</v>
      </c>
      <c r="L244" s="298" t="s">
        <v>493</v>
      </c>
      <c r="M244" s="301" t="s">
        <v>315</v>
      </c>
      <c r="N244" s="301" t="s">
        <v>1979</v>
      </c>
      <c r="O244" s="301" t="s">
        <v>1980</v>
      </c>
      <c r="P244" s="301" t="s">
        <v>1981</v>
      </c>
      <c r="Q244" s="301" t="s">
        <v>1982</v>
      </c>
      <c r="R244" s="301" t="s">
        <v>1983</v>
      </c>
      <c r="S244" s="301" t="s">
        <v>1984</v>
      </c>
      <c r="T244" s="301" t="s">
        <v>1985</v>
      </c>
      <c r="U244" s="301" t="s">
        <v>1986</v>
      </c>
      <c r="V244" s="301" t="s">
        <v>1987</v>
      </c>
      <c r="W244" s="298" t="s">
        <v>389</v>
      </c>
      <c r="X244" s="298" t="s">
        <v>306</v>
      </c>
    </row>
    <row r="245">
      <c r="A245" s="295" t="s">
        <v>1989</v>
      </c>
      <c r="B245" s="298">
        <v>2.0</v>
      </c>
      <c r="C245" s="298" t="s">
        <v>288</v>
      </c>
      <c r="D245" s="298" t="s">
        <v>462</v>
      </c>
      <c r="E245" s="298" t="s">
        <v>290</v>
      </c>
      <c r="F245" s="298" t="str">
        <f>'Character Sheet'!$C$9</f>
        <v/>
      </c>
      <c r="G245" s="298" t="s">
        <v>294</v>
      </c>
      <c r="H245" s="298" t="s">
        <v>295</v>
      </c>
      <c r="I245" s="298" t="s">
        <v>780</v>
      </c>
      <c r="J245" s="298" t="s">
        <v>315</v>
      </c>
      <c r="K245" s="298" t="s">
        <v>1990</v>
      </c>
      <c r="L245" s="298" t="s">
        <v>493</v>
      </c>
      <c r="M245" s="301" t="s">
        <v>315</v>
      </c>
      <c r="N245" s="301" t="s">
        <v>1991</v>
      </c>
      <c r="O245" s="301" t="s">
        <v>1991</v>
      </c>
      <c r="P245" s="301" t="s">
        <v>1992</v>
      </c>
      <c r="Q245" s="301" t="s">
        <v>1992</v>
      </c>
      <c r="R245" s="301" t="s">
        <v>1993</v>
      </c>
      <c r="S245" s="301" t="s">
        <v>1993</v>
      </c>
      <c r="T245" s="301" t="s">
        <v>1993</v>
      </c>
      <c r="U245" s="301" t="s">
        <v>1993</v>
      </c>
      <c r="V245" s="301" t="s">
        <v>1993</v>
      </c>
      <c r="W245" s="298" t="s">
        <v>305</v>
      </c>
      <c r="X245" s="298" t="s">
        <v>306</v>
      </c>
    </row>
    <row r="246">
      <c r="A246" s="295" t="s">
        <v>1994</v>
      </c>
      <c r="B246" s="298">
        <v>2.0</v>
      </c>
      <c r="C246" s="298" t="s">
        <v>288</v>
      </c>
      <c r="D246" s="298" t="s">
        <v>462</v>
      </c>
      <c r="E246" s="298" t="s">
        <v>311</v>
      </c>
      <c r="F246" s="298" t="str">
        <f>'Character Sheet'!$C$9</f>
        <v/>
      </c>
      <c r="G246" s="298" t="s">
        <v>294</v>
      </c>
      <c r="H246" s="298" t="s">
        <v>352</v>
      </c>
      <c r="I246" s="298" t="s">
        <v>1000</v>
      </c>
      <c r="J246" s="298" t="s">
        <v>180</v>
      </c>
      <c r="K246" s="298" t="s">
        <v>632</v>
      </c>
      <c r="L246" s="298" t="s">
        <v>493</v>
      </c>
      <c r="M246" s="301" t="s">
        <v>315</v>
      </c>
      <c r="N246" s="301" t="s">
        <v>1995</v>
      </c>
      <c r="O246" s="301" t="s">
        <v>1995</v>
      </c>
      <c r="P246" s="301" t="s">
        <v>1995</v>
      </c>
      <c r="Q246" s="301" t="s">
        <v>1995</v>
      </c>
      <c r="R246" s="301" t="s">
        <v>1995</v>
      </c>
      <c r="S246" s="301" t="s">
        <v>1995</v>
      </c>
      <c r="T246" s="301" t="s">
        <v>1995</v>
      </c>
      <c r="U246" s="301" t="s">
        <v>1995</v>
      </c>
      <c r="V246" s="301" t="s">
        <v>1995</v>
      </c>
      <c r="W246" s="298" t="s">
        <v>499</v>
      </c>
      <c r="X246" s="298" t="s">
        <v>306</v>
      </c>
    </row>
    <row r="247">
      <c r="A247" s="295" t="s">
        <v>1997</v>
      </c>
      <c r="B247" s="298">
        <v>2.0</v>
      </c>
      <c r="C247" s="298" t="s">
        <v>522</v>
      </c>
      <c r="D247" s="298" t="s">
        <v>421</v>
      </c>
      <c r="E247" s="298" t="s">
        <v>290</v>
      </c>
      <c r="F247" s="298" t="str">
        <f>'Character Sheet'!$C$9</f>
        <v/>
      </c>
      <c r="G247" s="298" t="s">
        <v>294</v>
      </c>
      <c r="H247" s="298" t="s">
        <v>708</v>
      </c>
      <c r="I247" s="298" t="s">
        <v>1998</v>
      </c>
      <c r="J247" s="298" t="s">
        <v>315</v>
      </c>
      <c r="K247" s="298" t="s">
        <v>298</v>
      </c>
      <c r="L247" s="298" t="s">
        <v>493</v>
      </c>
      <c r="M247" s="301" t="s">
        <v>315</v>
      </c>
      <c r="N247" s="301" t="s">
        <v>1999</v>
      </c>
      <c r="O247" s="301" t="s">
        <v>1999</v>
      </c>
      <c r="P247" s="301" t="s">
        <v>2001</v>
      </c>
      <c r="Q247" s="301" t="s">
        <v>2001</v>
      </c>
      <c r="R247" s="301" t="s">
        <v>2002</v>
      </c>
      <c r="S247" s="301" t="s">
        <v>2002</v>
      </c>
      <c r="T247" s="301" t="s">
        <v>2003</v>
      </c>
      <c r="U247" s="301" t="s">
        <v>2003</v>
      </c>
      <c r="V247" s="301" t="s">
        <v>2004</v>
      </c>
      <c r="W247" s="298" t="s">
        <v>499</v>
      </c>
      <c r="X247" s="298" t="s">
        <v>1082</v>
      </c>
    </row>
    <row r="248">
      <c r="A248" s="295" t="s">
        <v>2005</v>
      </c>
      <c r="B248" s="298">
        <v>2.0</v>
      </c>
      <c r="C248" s="298" t="s">
        <v>288</v>
      </c>
      <c r="D248" s="298" t="s">
        <v>462</v>
      </c>
      <c r="E248" s="298" t="s">
        <v>290</v>
      </c>
      <c r="F248" s="298" t="str">
        <f>'Character Sheet'!$C$9</f>
        <v/>
      </c>
      <c r="G248" s="298" t="s">
        <v>294</v>
      </c>
      <c r="H248" s="298" t="s">
        <v>335</v>
      </c>
      <c r="I248" s="298" t="s">
        <v>2006</v>
      </c>
      <c r="J248" s="298" t="s">
        <v>180</v>
      </c>
      <c r="K248" s="298" t="s">
        <v>298</v>
      </c>
      <c r="L248" s="298" t="s">
        <v>493</v>
      </c>
      <c r="M248" s="301" t="s">
        <v>315</v>
      </c>
      <c r="N248" s="301" t="s">
        <v>2007</v>
      </c>
      <c r="O248" s="301" t="s">
        <v>2007</v>
      </c>
      <c r="P248" s="301" t="s">
        <v>2009</v>
      </c>
      <c r="Q248" s="301" t="s">
        <v>2009</v>
      </c>
      <c r="R248" s="301" t="s">
        <v>2010</v>
      </c>
      <c r="S248" s="301" t="s">
        <v>2010</v>
      </c>
      <c r="T248" s="301" t="s">
        <v>2011</v>
      </c>
      <c r="U248" s="301" t="s">
        <v>2011</v>
      </c>
      <c r="V248" s="301" t="s">
        <v>2012</v>
      </c>
      <c r="W248" s="298" t="s">
        <v>305</v>
      </c>
      <c r="X248" s="298" t="s">
        <v>966</v>
      </c>
    </row>
    <row r="249">
      <c r="A249" s="295" t="s">
        <v>2013</v>
      </c>
      <c r="B249" s="298">
        <v>2.0</v>
      </c>
      <c r="C249" s="298" t="s">
        <v>288</v>
      </c>
      <c r="D249" s="298" t="s">
        <v>421</v>
      </c>
      <c r="E249" s="298" t="s">
        <v>311</v>
      </c>
      <c r="F249" s="298" t="str">
        <f>'Character Sheet'!$C$9</f>
        <v/>
      </c>
      <c r="G249" s="298" t="s">
        <v>294</v>
      </c>
      <c r="H249" s="298" t="s">
        <v>335</v>
      </c>
      <c r="I249" s="298" t="s">
        <v>2015</v>
      </c>
      <c r="J249" s="298" t="s">
        <v>315</v>
      </c>
      <c r="K249" s="298" t="s">
        <v>478</v>
      </c>
      <c r="L249" s="298" t="s">
        <v>493</v>
      </c>
      <c r="M249" s="301" t="s">
        <v>315</v>
      </c>
      <c r="N249" s="301" t="s">
        <v>2016</v>
      </c>
      <c r="O249" s="301" t="s">
        <v>2016</v>
      </c>
      <c r="P249" s="301" t="s">
        <v>2016</v>
      </c>
      <c r="Q249" s="301" t="s">
        <v>2016</v>
      </c>
      <c r="R249" s="301" t="s">
        <v>2016</v>
      </c>
      <c r="S249" s="301" t="s">
        <v>2016</v>
      </c>
      <c r="T249" s="301" t="s">
        <v>2016</v>
      </c>
      <c r="U249" s="301" t="s">
        <v>2016</v>
      </c>
      <c r="V249" s="301" t="s">
        <v>2016</v>
      </c>
      <c r="W249" s="298" t="s">
        <v>305</v>
      </c>
      <c r="X249" s="298" t="s">
        <v>318</v>
      </c>
    </row>
    <row r="250">
      <c r="A250" s="295" t="s">
        <v>2017</v>
      </c>
      <c r="B250" s="298">
        <v>2.0</v>
      </c>
      <c r="C250" s="298" t="s">
        <v>288</v>
      </c>
      <c r="D250" s="298" t="s">
        <v>289</v>
      </c>
      <c r="E250" s="298" t="s">
        <v>311</v>
      </c>
      <c r="F250" s="298" t="str">
        <f>'Character Sheet'!$C$9</f>
        <v/>
      </c>
      <c r="G250" s="298" t="s">
        <v>294</v>
      </c>
      <c r="H250" s="298" t="s">
        <v>352</v>
      </c>
      <c r="I250" s="298" t="s">
        <v>1413</v>
      </c>
      <c r="J250" s="298" t="s">
        <v>315</v>
      </c>
      <c r="K250" s="298" t="s">
        <v>1990</v>
      </c>
      <c r="L250" s="298" t="s">
        <v>493</v>
      </c>
      <c r="M250" s="301" t="s">
        <v>315</v>
      </c>
      <c r="N250" s="301" t="s">
        <v>2018</v>
      </c>
      <c r="O250" s="301" t="s">
        <v>2018</v>
      </c>
      <c r="P250" s="301" t="s">
        <v>2018</v>
      </c>
      <c r="Q250" s="301" t="s">
        <v>2018</v>
      </c>
      <c r="R250" s="301" t="s">
        <v>2018</v>
      </c>
      <c r="S250" s="301" t="s">
        <v>2018</v>
      </c>
      <c r="T250" s="301" t="s">
        <v>2018</v>
      </c>
      <c r="U250" s="301" t="s">
        <v>2018</v>
      </c>
      <c r="V250" s="301" t="s">
        <v>2018</v>
      </c>
      <c r="W250" s="298" t="s">
        <v>483</v>
      </c>
      <c r="X250" s="298" t="s">
        <v>306</v>
      </c>
    </row>
    <row r="251">
      <c r="A251" s="295" t="s">
        <v>2019</v>
      </c>
      <c r="B251" s="298">
        <v>2.0</v>
      </c>
      <c r="C251" s="298" t="s">
        <v>288</v>
      </c>
      <c r="D251" s="298" t="s">
        <v>334</v>
      </c>
      <c r="E251" s="298" t="s">
        <v>290</v>
      </c>
      <c r="F251" s="298" t="str">
        <f>'Character Sheet'!$C$9</f>
        <v/>
      </c>
      <c r="G251" s="298" t="s">
        <v>294</v>
      </c>
      <c r="H251" s="298" t="s">
        <v>324</v>
      </c>
      <c r="I251" s="298" t="s">
        <v>324</v>
      </c>
      <c r="J251" s="298" t="s">
        <v>315</v>
      </c>
      <c r="K251" s="298" t="s">
        <v>1001</v>
      </c>
      <c r="L251" s="298" t="s">
        <v>493</v>
      </c>
      <c r="M251" s="301" t="s">
        <v>315</v>
      </c>
      <c r="N251" s="301" t="s">
        <v>2022</v>
      </c>
      <c r="O251" s="301" t="s">
        <v>2023</v>
      </c>
      <c r="P251" s="301" t="s">
        <v>2024</v>
      </c>
      <c r="Q251" s="301" t="s">
        <v>2025</v>
      </c>
      <c r="R251" s="301" t="s">
        <v>2026</v>
      </c>
      <c r="S251" s="301" t="s">
        <v>2027</v>
      </c>
      <c r="T251" s="301" t="s">
        <v>2028</v>
      </c>
      <c r="U251" s="301" t="s">
        <v>2029</v>
      </c>
      <c r="V251" s="301" t="s">
        <v>2030</v>
      </c>
      <c r="W251" s="298" t="s">
        <v>460</v>
      </c>
      <c r="X251" s="298" t="s">
        <v>306</v>
      </c>
    </row>
    <row r="252">
      <c r="A252" s="295" t="s">
        <v>2031</v>
      </c>
      <c r="B252" s="298">
        <v>2.0</v>
      </c>
      <c r="C252" s="298" t="s">
        <v>522</v>
      </c>
      <c r="D252" s="298" t="s">
        <v>462</v>
      </c>
      <c r="E252" s="298" t="s">
        <v>290</v>
      </c>
      <c r="F252" s="298" t="str">
        <f>'Character Sheet'!$C$9</f>
        <v/>
      </c>
      <c r="G252" s="298" t="s">
        <v>294</v>
      </c>
      <c r="H252" s="298" t="s">
        <v>295</v>
      </c>
      <c r="I252" s="298" t="s">
        <v>296</v>
      </c>
      <c r="J252" s="298" t="s">
        <v>173</v>
      </c>
      <c r="K252" s="298" t="s">
        <v>1174</v>
      </c>
      <c r="L252" s="298" t="s">
        <v>493</v>
      </c>
      <c r="M252" s="301" t="s">
        <v>315</v>
      </c>
      <c r="N252" s="301" t="s">
        <v>2033</v>
      </c>
      <c r="O252" s="301" t="s">
        <v>2033</v>
      </c>
      <c r="P252" s="301" t="s">
        <v>2033</v>
      </c>
      <c r="Q252" s="301" t="s">
        <v>2033</v>
      </c>
      <c r="R252" s="301" t="s">
        <v>2034</v>
      </c>
      <c r="S252" s="301" t="s">
        <v>2034</v>
      </c>
      <c r="T252" s="301" t="s">
        <v>2034</v>
      </c>
      <c r="U252" s="301" t="s">
        <v>2034</v>
      </c>
      <c r="V252" s="301" t="s">
        <v>2034</v>
      </c>
      <c r="W252" s="298" t="s">
        <v>317</v>
      </c>
      <c r="X252" s="298" t="s">
        <v>2035</v>
      </c>
    </row>
    <row r="253">
      <c r="A253" s="295" t="s">
        <v>2036</v>
      </c>
      <c r="B253" s="298">
        <v>2.0</v>
      </c>
      <c r="C253" s="298" t="s">
        <v>288</v>
      </c>
      <c r="D253" s="298" t="s">
        <v>334</v>
      </c>
      <c r="E253" s="298" t="s">
        <v>290</v>
      </c>
      <c r="F253" s="298" t="str">
        <f>'Character Sheet'!$E$9</f>
        <v/>
      </c>
      <c r="G253" s="298" t="s">
        <v>674</v>
      </c>
      <c r="H253" s="298" t="s">
        <v>295</v>
      </c>
      <c r="I253" s="298" t="s">
        <v>2038</v>
      </c>
      <c r="J253" s="298" t="s">
        <v>173</v>
      </c>
      <c r="K253" s="298" t="s">
        <v>2039</v>
      </c>
      <c r="L253" s="298" t="s">
        <v>493</v>
      </c>
      <c r="M253" s="301" t="s">
        <v>315</v>
      </c>
      <c r="N253" s="301" t="s">
        <v>2040</v>
      </c>
      <c r="O253" s="301" t="s">
        <v>2041</v>
      </c>
      <c r="P253" s="301" t="s">
        <v>2042</v>
      </c>
      <c r="Q253" s="301" t="s">
        <v>2043</v>
      </c>
      <c r="R253" s="301" t="s">
        <v>2044</v>
      </c>
      <c r="S253" s="301" t="s">
        <v>2045</v>
      </c>
      <c r="T253" s="301" t="s">
        <v>2047</v>
      </c>
      <c r="U253" s="301" t="s">
        <v>2048</v>
      </c>
      <c r="V253" s="301" t="s">
        <v>2049</v>
      </c>
      <c r="W253" s="298" t="s">
        <v>357</v>
      </c>
      <c r="X253" s="298" t="s">
        <v>966</v>
      </c>
    </row>
    <row r="254">
      <c r="A254" s="295" t="s">
        <v>2050</v>
      </c>
      <c r="B254" s="298">
        <v>2.0</v>
      </c>
      <c r="C254" s="298" t="s">
        <v>288</v>
      </c>
      <c r="D254" s="298" t="s">
        <v>334</v>
      </c>
      <c r="E254" s="298" t="s">
        <v>290</v>
      </c>
      <c r="F254" s="298" t="str">
        <f>'Character Sheet'!$C$9</f>
        <v/>
      </c>
      <c r="G254" s="298" t="s">
        <v>294</v>
      </c>
      <c r="H254" s="298" t="s">
        <v>324</v>
      </c>
      <c r="I254" s="298" t="s">
        <v>2051</v>
      </c>
      <c r="J254" s="298" t="s">
        <v>336</v>
      </c>
      <c r="K254" s="298" t="s">
        <v>298</v>
      </c>
      <c r="L254" s="298" t="s">
        <v>493</v>
      </c>
      <c r="M254" s="301" t="s">
        <v>315</v>
      </c>
      <c r="N254" s="301" t="s">
        <v>2052</v>
      </c>
      <c r="O254" s="301" t="s">
        <v>2053</v>
      </c>
      <c r="P254" s="301" t="s">
        <v>2054</v>
      </c>
      <c r="Q254" s="301" t="s">
        <v>2055</v>
      </c>
      <c r="R254" s="301" t="s">
        <v>2056</v>
      </c>
      <c r="S254" s="301" t="s">
        <v>2057</v>
      </c>
      <c r="T254" s="301" t="s">
        <v>2058</v>
      </c>
      <c r="U254" s="301" t="s">
        <v>2059</v>
      </c>
      <c r="V254" s="301" t="s">
        <v>2060</v>
      </c>
      <c r="W254" s="298" t="s">
        <v>499</v>
      </c>
      <c r="X254" s="298" t="s">
        <v>318</v>
      </c>
    </row>
    <row r="255">
      <c r="A255" s="295" t="s">
        <v>2061</v>
      </c>
      <c r="B255" s="298">
        <v>2.0</v>
      </c>
      <c r="C255" s="298" t="s">
        <v>288</v>
      </c>
      <c r="D255" s="298" t="s">
        <v>289</v>
      </c>
      <c r="E255" s="298" t="s">
        <v>290</v>
      </c>
      <c r="F255" s="298" t="str">
        <f>'Character Sheet'!$C$9</f>
        <v/>
      </c>
      <c r="G255" s="298" t="s">
        <v>294</v>
      </c>
      <c r="H255" s="298" t="s">
        <v>352</v>
      </c>
      <c r="I255" s="298" t="s">
        <v>2063</v>
      </c>
      <c r="J255" s="298" t="s">
        <v>407</v>
      </c>
      <c r="K255" s="298" t="s">
        <v>298</v>
      </c>
      <c r="L255" s="298" t="s">
        <v>493</v>
      </c>
      <c r="M255" s="301" t="s">
        <v>315</v>
      </c>
      <c r="N255" s="301" t="s">
        <v>2064</v>
      </c>
      <c r="O255" s="301" t="s">
        <v>2065</v>
      </c>
      <c r="P255" s="301" t="s">
        <v>2066</v>
      </c>
      <c r="Q255" s="301" t="s">
        <v>2067</v>
      </c>
      <c r="R255" s="301" t="s">
        <v>2069</v>
      </c>
      <c r="S255" s="301" t="s">
        <v>2070</v>
      </c>
      <c r="T255" s="301" t="s">
        <v>2071</v>
      </c>
      <c r="U255" s="301" t="s">
        <v>2072</v>
      </c>
      <c r="V255" s="301" t="s">
        <v>2073</v>
      </c>
      <c r="W255" s="298" t="s">
        <v>317</v>
      </c>
      <c r="X255" s="298" t="s">
        <v>678</v>
      </c>
    </row>
    <row r="256">
      <c r="A256" s="295" t="s">
        <v>2074</v>
      </c>
      <c r="B256" s="298">
        <v>2.0</v>
      </c>
      <c r="C256" s="298" t="s">
        <v>288</v>
      </c>
      <c r="D256" s="298" t="s">
        <v>289</v>
      </c>
      <c r="E256" s="298" t="s">
        <v>290</v>
      </c>
      <c r="F256" s="298" t="str">
        <f>'Character Sheet'!$C$9</f>
        <v/>
      </c>
      <c r="G256" s="298" t="s">
        <v>294</v>
      </c>
      <c r="H256" s="298" t="s">
        <v>324</v>
      </c>
      <c r="I256" s="298" t="s">
        <v>324</v>
      </c>
      <c r="J256" s="298" t="s">
        <v>315</v>
      </c>
      <c r="K256" s="298" t="s">
        <v>632</v>
      </c>
      <c r="L256" s="298" t="s">
        <v>493</v>
      </c>
      <c r="M256" s="301" t="s">
        <v>315</v>
      </c>
      <c r="N256" s="301" t="s">
        <v>2075</v>
      </c>
      <c r="O256" s="301" t="s">
        <v>2075</v>
      </c>
      <c r="P256" s="301" t="s">
        <v>2076</v>
      </c>
      <c r="Q256" s="301" t="s">
        <v>2076</v>
      </c>
      <c r="R256" s="301" t="s">
        <v>2077</v>
      </c>
      <c r="S256" s="301" t="s">
        <v>2077</v>
      </c>
      <c r="T256" s="301" t="s">
        <v>2078</v>
      </c>
      <c r="U256" s="301" t="s">
        <v>2078</v>
      </c>
      <c r="V256" s="301" t="s">
        <v>2079</v>
      </c>
      <c r="W256" s="298" t="s">
        <v>305</v>
      </c>
      <c r="X256" s="298" t="s">
        <v>318</v>
      </c>
    </row>
    <row r="257">
      <c r="A257" s="295" t="s">
        <v>2080</v>
      </c>
      <c r="B257" s="298">
        <v>2.0</v>
      </c>
      <c r="C257" s="298" t="s">
        <v>288</v>
      </c>
      <c r="D257" s="298" t="s">
        <v>289</v>
      </c>
      <c r="E257" s="298" t="s">
        <v>290</v>
      </c>
      <c r="F257" s="298" t="str">
        <f>'Character Sheet'!$C$9</f>
        <v/>
      </c>
      <c r="G257" s="298" t="s">
        <v>294</v>
      </c>
      <c r="H257" s="298" t="s">
        <v>295</v>
      </c>
      <c r="I257" s="298" t="s">
        <v>900</v>
      </c>
      <c r="J257" s="298" t="s">
        <v>407</v>
      </c>
      <c r="K257" s="298" t="s">
        <v>424</v>
      </c>
      <c r="L257" s="298" t="s">
        <v>493</v>
      </c>
      <c r="M257" s="301" t="s">
        <v>315</v>
      </c>
      <c r="N257" s="301" t="s">
        <v>2081</v>
      </c>
      <c r="O257" s="301" t="s">
        <v>2082</v>
      </c>
      <c r="P257" s="301" t="s">
        <v>2083</v>
      </c>
      <c r="Q257" s="301" t="s">
        <v>2084</v>
      </c>
      <c r="R257" s="301" t="s">
        <v>2085</v>
      </c>
      <c r="S257" s="301" t="s">
        <v>2086</v>
      </c>
      <c r="T257" s="301" t="s">
        <v>2087</v>
      </c>
      <c r="U257" s="301" t="s">
        <v>2088</v>
      </c>
      <c r="V257" s="301" t="s">
        <v>2089</v>
      </c>
      <c r="W257" s="298" t="s">
        <v>305</v>
      </c>
      <c r="X257" s="298" t="s">
        <v>306</v>
      </c>
    </row>
    <row r="258">
      <c r="A258" s="295" t="s">
        <v>2090</v>
      </c>
      <c r="B258" s="298">
        <v>2.0</v>
      </c>
      <c r="C258" s="298" t="s">
        <v>288</v>
      </c>
      <c r="D258" s="298" t="s">
        <v>334</v>
      </c>
      <c r="E258" s="298" t="s">
        <v>290</v>
      </c>
      <c r="F258" s="298" t="str">
        <f>'Character Sheet'!$C$9</f>
        <v/>
      </c>
      <c r="G258" s="298" t="s">
        <v>294</v>
      </c>
      <c r="H258" s="298" t="s">
        <v>324</v>
      </c>
      <c r="I258" s="298" t="s">
        <v>295</v>
      </c>
      <c r="J258" s="298" t="s">
        <v>315</v>
      </c>
      <c r="K258" s="298" t="s">
        <v>632</v>
      </c>
      <c r="L258" s="298" t="s">
        <v>493</v>
      </c>
      <c r="M258" s="301" t="s">
        <v>315</v>
      </c>
      <c r="N258" s="301" t="s">
        <v>2091</v>
      </c>
      <c r="O258" s="301" t="s">
        <v>2091</v>
      </c>
      <c r="P258" s="301" t="s">
        <v>2093</v>
      </c>
      <c r="Q258" s="301" t="s">
        <v>2093</v>
      </c>
      <c r="R258" s="301" t="s">
        <v>2094</v>
      </c>
      <c r="S258" s="301" t="s">
        <v>2094</v>
      </c>
      <c r="T258" s="301" t="s">
        <v>2094</v>
      </c>
      <c r="U258" s="301" t="s">
        <v>2094</v>
      </c>
      <c r="V258" s="301" t="s">
        <v>2094</v>
      </c>
      <c r="W258" s="298" t="s">
        <v>499</v>
      </c>
      <c r="X258" s="298" t="s">
        <v>966</v>
      </c>
    </row>
    <row r="259">
      <c r="A259" s="295" t="s">
        <v>2095</v>
      </c>
      <c r="B259" s="298">
        <v>2.0</v>
      </c>
      <c r="C259" s="298" t="s">
        <v>288</v>
      </c>
      <c r="D259" s="298" t="s">
        <v>151</v>
      </c>
      <c r="E259" s="298" t="s">
        <v>290</v>
      </c>
      <c r="F259" s="298" t="str">
        <f>'Character Sheet'!$C$9</f>
        <v/>
      </c>
      <c r="G259" s="298" t="s">
        <v>294</v>
      </c>
      <c r="H259" s="298" t="s">
        <v>335</v>
      </c>
      <c r="I259" s="298" t="s">
        <v>884</v>
      </c>
      <c r="J259" s="298" t="s">
        <v>173</v>
      </c>
      <c r="K259" s="298" t="s">
        <v>298</v>
      </c>
      <c r="L259" s="298" t="s">
        <v>493</v>
      </c>
      <c r="M259" s="301" t="s">
        <v>315</v>
      </c>
      <c r="N259" s="301" t="s">
        <v>2096</v>
      </c>
      <c r="O259" s="301" t="s">
        <v>2096</v>
      </c>
      <c r="P259" s="301" t="s">
        <v>2098</v>
      </c>
      <c r="Q259" s="301" t="s">
        <v>2098</v>
      </c>
      <c r="R259" s="301" t="s">
        <v>2099</v>
      </c>
      <c r="S259" s="301" t="s">
        <v>2099</v>
      </c>
      <c r="T259" s="301" t="s">
        <v>2100</v>
      </c>
      <c r="U259" s="301" t="s">
        <v>2100</v>
      </c>
      <c r="V259" s="301" t="s">
        <v>2101</v>
      </c>
      <c r="W259" s="298" t="s">
        <v>499</v>
      </c>
      <c r="X259" s="298" t="s">
        <v>678</v>
      </c>
    </row>
    <row r="260">
      <c r="A260" s="295" t="s">
        <v>2102</v>
      </c>
      <c r="B260" s="298">
        <v>2.0</v>
      </c>
      <c r="C260" s="298" t="s">
        <v>288</v>
      </c>
      <c r="D260" s="298" t="s">
        <v>334</v>
      </c>
      <c r="E260" s="298" t="s">
        <v>290</v>
      </c>
      <c r="F260" s="298" t="str">
        <f>'Character Sheet'!$C$9</f>
        <v/>
      </c>
      <c r="G260" s="298" t="s">
        <v>294</v>
      </c>
      <c r="H260" s="298" t="s">
        <v>335</v>
      </c>
      <c r="I260" s="298" t="s">
        <v>2103</v>
      </c>
      <c r="J260" s="298" t="s">
        <v>315</v>
      </c>
      <c r="K260" s="298" t="s">
        <v>1972</v>
      </c>
      <c r="L260" s="298" t="s">
        <v>493</v>
      </c>
      <c r="M260" s="301" t="s">
        <v>315</v>
      </c>
      <c r="N260" s="301" t="s">
        <v>2104</v>
      </c>
      <c r="O260" s="301" t="s">
        <v>2104</v>
      </c>
      <c r="P260" s="301" t="s">
        <v>2104</v>
      </c>
      <c r="Q260" s="301" t="s">
        <v>2105</v>
      </c>
      <c r="R260" s="301" t="s">
        <v>2105</v>
      </c>
      <c r="S260" s="301" t="s">
        <v>2105</v>
      </c>
      <c r="T260" s="301" t="s">
        <v>2105</v>
      </c>
      <c r="U260" s="301" t="s">
        <v>2105</v>
      </c>
      <c r="V260" s="301" t="s">
        <v>2105</v>
      </c>
      <c r="W260" s="298" t="s">
        <v>317</v>
      </c>
      <c r="X260" s="298" t="s">
        <v>306</v>
      </c>
    </row>
    <row r="261">
      <c r="A261" s="295" t="s">
        <v>2106</v>
      </c>
      <c r="B261" s="298">
        <v>2.0</v>
      </c>
      <c r="C261" s="298" t="s">
        <v>288</v>
      </c>
      <c r="D261" s="298" t="s">
        <v>334</v>
      </c>
      <c r="E261" s="298" t="s">
        <v>311</v>
      </c>
      <c r="F261" s="298" t="str">
        <f>'Character Sheet'!$C$9</f>
        <v/>
      </c>
      <c r="G261" s="298" t="s">
        <v>294</v>
      </c>
      <c r="H261" s="298" t="s">
        <v>335</v>
      </c>
      <c r="I261" s="298" t="s">
        <v>296</v>
      </c>
      <c r="J261" s="298" t="s">
        <v>173</v>
      </c>
      <c r="K261" s="298" t="s">
        <v>298</v>
      </c>
      <c r="L261" s="298" t="s">
        <v>493</v>
      </c>
      <c r="M261" s="301" t="s">
        <v>315</v>
      </c>
      <c r="N261" s="301" t="s">
        <v>2107</v>
      </c>
      <c r="O261" s="301" t="s">
        <v>2107</v>
      </c>
      <c r="P261" s="301" t="s">
        <v>2107</v>
      </c>
      <c r="Q261" s="301" t="s">
        <v>2107</v>
      </c>
      <c r="R261" s="301" t="s">
        <v>2107</v>
      </c>
      <c r="S261" s="301" t="s">
        <v>2107</v>
      </c>
      <c r="T261" s="301" t="s">
        <v>2107</v>
      </c>
      <c r="U261" s="301" t="s">
        <v>2107</v>
      </c>
      <c r="V261" s="301" t="s">
        <v>2107</v>
      </c>
      <c r="W261" s="298" t="s">
        <v>429</v>
      </c>
      <c r="X261" s="298" t="s">
        <v>306</v>
      </c>
    </row>
    <row r="262">
      <c r="A262" s="295" t="s">
        <v>2108</v>
      </c>
      <c r="B262" s="298">
        <v>2.0</v>
      </c>
      <c r="C262" s="298" t="s">
        <v>288</v>
      </c>
      <c r="D262" s="298" t="s">
        <v>289</v>
      </c>
      <c r="E262" s="298" t="s">
        <v>311</v>
      </c>
      <c r="F262" s="298" t="str">
        <f>'Character Sheet'!$C$9</f>
        <v/>
      </c>
      <c r="G262" s="298" t="s">
        <v>294</v>
      </c>
      <c r="H262" s="298" t="s">
        <v>352</v>
      </c>
      <c r="I262" s="298" t="s">
        <v>1413</v>
      </c>
      <c r="J262" s="298" t="s">
        <v>180</v>
      </c>
      <c r="K262" s="298" t="s">
        <v>1174</v>
      </c>
      <c r="L262" s="298" t="s">
        <v>493</v>
      </c>
      <c r="M262" s="301" t="s">
        <v>315</v>
      </c>
      <c r="N262" s="301" t="s">
        <v>2109</v>
      </c>
      <c r="O262" s="301" t="s">
        <v>2109</v>
      </c>
      <c r="P262" s="301" t="s">
        <v>2109</v>
      </c>
      <c r="Q262" s="301" t="s">
        <v>2109</v>
      </c>
      <c r="R262" s="301" t="s">
        <v>2109</v>
      </c>
      <c r="S262" s="301" t="s">
        <v>2109</v>
      </c>
      <c r="T262" s="301" t="s">
        <v>2109</v>
      </c>
      <c r="U262" s="301" t="s">
        <v>2109</v>
      </c>
      <c r="V262" s="301" t="s">
        <v>2109</v>
      </c>
      <c r="W262" s="298" t="s">
        <v>305</v>
      </c>
      <c r="X262" s="298" t="s">
        <v>306</v>
      </c>
    </row>
    <row r="263">
      <c r="A263" s="295" t="s">
        <v>2110</v>
      </c>
      <c r="B263" s="298">
        <v>2.0</v>
      </c>
      <c r="C263" s="298" t="s">
        <v>522</v>
      </c>
      <c r="D263" s="298" t="s">
        <v>334</v>
      </c>
      <c r="E263" s="298" t="s">
        <v>290</v>
      </c>
      <c r="F263" s="298" t="s">
        <v>625</v>
      </c>
      <c r="G263" s="298" t="s">
        <v>294</v>
      </c>
      <c r="H263" s="298" t="s">
        <v>335</v>
      </c>
      <c r="I263" s="298" t="s">
        <v>2103</v>
      </c>
      <c r="J263" s="298" t="s">
        <v>315</v>
      </c>
      <c r="K263" s="298" t="s">
        <v>325</v>
      </c>
      <c r="L263" s="298" t="s">
        <v>493</v>
      </c>
      <c r="M263" s="301" t="s">
        <v>315</v>
      </c>
      <c r="N263" s="301" t="s">
        <v>2111</v>
      </c>
      <c r="O263" s="301" t="s">
        <v>2111</v>
      </c>
      <c r="P263" s="301" t="s">
        <v>2112</v>
      </c>
      <c r="Q263" s="301" t="s">
        <v>2112</v>
      </c>
      <c r="R263" s="301" t="s">
        <v>2113</v>
      </c>
      <c r="S263" s="301" t="s">
        <v>2113</v>
      </c>
      <c r="T263" s="301" t="s">
        <v>2113</v>
      </c>
      <c r="U263" s="301" t="s">
        <v>2113</v>
      </c>
      <c r="V263" s="301" t="s">
        <v>2113</v>
      </c>
      <c r="W263" s="298" t="s">
        <v>429</v>
      </c>
      <c r="X263" s="298" t="s">
        <v>997</v>
      </c>
    </row>
    <row r="264">
      <c r="A264" s="295" t="s">
        <v>2114</v>
      </c>
      <c r="B264" s="298">
        <v>2.0</v>
      </c>
      <c r="C264" s="298" t="s">
        <v>288</v>
      </c>
      <c r="D264" s="298" t="s">
        <v>310</v>
      </c>
      <c r="E264" s="298" t="s">
        <v>311</v>
      </c>
      <c r="F264" s="298" t="str">
        <f>'Character Sheet'!$C$9</f>
        <v/>
      </c>
      <c r="G264" s="298" t="s">
        <v>294</v>
      </c>
      <c r="H264" s="298" t="s">
        <v>2115</v>
      </c>
      <c r="I264" s="298" t="s">
        <v>296</v>
      </c>
      <c r="J264" s="298" t="s">
        <v>315</v>
      </c>
      <c r="K264" s="298" t="s">
        <v>1972</v>
      </c>
      <c r="L264" s="298" t="s">
        <v>493</v>
      </c>
      <c r="M264" s="301" t="s">
        <v>315</v>
      </c>
      <c r="N264" s="301" t="s">
        <v>2116</v>
      </c>
      <c r="O264" s="301" t="s">
        <v>2116</v>
      </c>
      <c r="P264" s="301" t="s">
        <v>2116</v>
      </c>
      <c r="Q264" s="301" t="s">
        <v>2116</v>
      </c>
      <c r="R264" s="301" t="s">
        <v>2116</v>
      </c>
      <c r="S264" s="301" t="s">
        <v>2116</v>
      </c>
      <c r="T264" s="301" t="s">
        <v>2116</v>
      </c>
      <c r="U264" s="301" t="s">
        <v>2116</v>
      </c>
      <c r="V264" s="301" t="s">
        <v>2116</v>
      </c>
      <c r="W264" s="298" t="s">
        <v>389</v>
      </c>
      <c r="X264" s="298" t="s">
        <v>318</v>
      </c>
    </row>
    <row r="265">
      <c r="A265" s="295" t="s">
        <v>2117</v>
      </c>
      <c r="B265" s="298">
        <v>2.0</v>
      </c>
      <c r="C265" s="298" t="s">
        <v>288</v>
      </c>
      <c r="D265" s="298" t="s">
        <v>289</v>
      </c>
      <c r="E265" s="298" t="s">
        <v>290</v>
      </c>
      <c r="F265" s="298" t="str">
        <f>'Character Sheet'!$C$9</f>
        <v/>
      </c>
      <c r="G265" s="298" t="s">
        <v>294</v>
      </c>
      <c r="H265" s="298" t="s">
        <v>295</v>
      </c>
      <c r="I265" s="298" t="s">
        <v>2118</v>
      </c>
      <c r="J265" s="298" t="s">
        <v>180</v>
      </c>
      <c r="K265" s="298" t="s">
        <v>298</v>
      </c>
      <c r="L265" s="298" t="s">
        <v>493</v>
      </c>
      <c r="M265" s="301" t="s">
        <v>315</v>
      </c>
      <c r="N265" s="301" t="s">
        <v>2119</v>
      </c>
      <c r="O265" s="301" t="s">
        <v>2120</v>
      </c>
      <c r="P265" s="301" t="s">
        <v>2121</v>
      </c>
      <c r="Q265" s="301" t="s">
        <v>2122</v>
      </c>
      <c r="R265" s="301" t="s">
        <v>2124</v>
      </c>
      <c r="S265" s="301" t="s">
        <v>2125</v>
      </c>
      <c r="T265" s="301" t="s">
        <v>2126</v>
      </c>
      <c r="U265" s="301" t="s">
        <v>2127</v>
      </c>
      <c r="V265" s="301" t="s">
        <v>2128</v>
      </c>
      <c r="W265" s="298" t="s">
        <v>305</v>
      </c>
      <c r="X265" s="298" t="s">
        <v>678</v>
      </c>
    </row>
    <row r="266">
      <c r="A266" s="295" t="s">
        <v>2129</v>
      </c>
      <c r="B266" s="298">
        <v>2.0</v>
      </c>
      <c r="C266" s="298" t="s">
        <v>288</v>
      </c>
      <c r="D266" s="298" t="s">
        <v>359</v>
      </c>
      <c r="E266" s="298" t="s">
        <v>311</v>
      </c>
      <c r="F266" s="298" t="str">
        <f>'Character Sheet'!$C$9</f>
        <v/>
      </c>
      <c r="G266" s="298" t="s">
        <v>294</v>
      </c>
      <c r="H266" s="298" t="s">
        <v>295</v>
      </c>
      <c r="I266" s="298" t="s">
        <v>2038</v>
      </c>
      <c r="J266" s="298" t="s">
        <v>192</v>
      </c>
      <c r="K266" s="298" t="s">
        <v>353</v>
      </c>
      <c r="L266" s="298" t="s">
        <v>493</v>
      </c>
      <c r="M266" s="301" t="s">
        <v>315</v>
      </c>
      <c r="N266" s="301" t="s">
        <v>2130</v>
      </c>
      <c r="O266" s="301" t="s">
        <v>2130</v>
      </c>
      <c r="P266" s="301" t="s">
        <v>2130</v>
      </c>
      <c r="Q266" s="301" t="s">
        <v>2130</v>
      </c>
      <c r="R266" s="301" t="s">
        <v>2130</v>
      </c>
      <c r="S266" s="301" t="s">
        <v>2130</v>
      </c>
      <c r="T266" s="301" t="s">
        <v>2130</v>
      </c>
      <c r="U266" s="301" t="s">
        <v>2130</v>
      </c>
      <c r="V266" s="301" t="s">
        <v>2130</v>
      </c>
      <c r="W266" s="298" t="s">
        <v>460</v>
      </c>
      <c r="X266" s="298" t="s">
        <v>306</v>
      </c>
    </row>
    <row r="267">
      <c r="A267" s="295" t="s">
        <v>2132</v>
      </c>
      <c r="B267" s="298">
        <v>2.0</v>
      </c>
      <c r="C267" s="298" t="s">
        <v>522</v>
      </c>
      <c r="D267" s="298" t="s">
        <v>359</v>
      </c>
      <c r="E267" s="298" t="s">
        <v>290</v>
      </c>
      <c r="F267" s="298" t="str">
        <f>'Character Sheet'!$B$9</f>
        <v/>
      </c>
      <c r="G267" s="298" t="s">
        <v>477</v>
      </c>
      <c r="H267" s="298" t="s">
        <v>295</v>
      </c>
      <c r="I267" s="298" t="s">
        <v>2133</v>
      </c>
      <c r="J267" s="298" t="s">
        <v>192</v>
      </c>
      <c r="K267" s="298" t="s">
        <v>1174</v>
      </c>
      <c r="L267" s="298" t="s">
        <v>493</v>
      </c>
      <c r="M267" s="301" t="s">
        <v>315</v>
      </c>
      <c r="N267" s="301" t="s">
        <v>2134</v>
      </c>
      <c r="O267" s="301" t="s">
        <v>2134</v>
      </c>
      <c r="P267" s="301" t="s">
        <v>2135</v>
      </c>
      <c r="Q267" s="301" t="s">
        <v>2135</v>
      </c>
      <c r="R267" s="301" t="s">
        <v>2135</v>
      </c>
      <c r="S267" s="301" t="s">
        <v>2135</v>
      </c>
      <c r="T267" s="301" t="s">
        <v>2135</v>
      </c>
      <c r="U267" s="301" t="s">
        <v>2135</v>
      </c>
      <c r="V267" s="301" t="s">
        <v>2135</v>
      </c>
      <c r="W267" s="298" t="s">
        <v>331</v>
      </c>
      <c r="X267" s="298" t="s">
        <v>2136</v>
      </c>
    </row>
    <row r="268">
      <c r="A268" s="295" t="s">
        <v>2137</v>
      </c>
      <c r="B268" s="298">
        <v>2.0</v>
      </c>
      <c r="C268" s="298" t="s">
        <v>288</v>
      </c>
      <c r="D268" s="298" t="s">
        <v>462</v>
      </c>
      <c r="E268" s="298" t="s">
        <v>290</v>
      </c>
      <c r="F268" s="298" t="str">
        <f>'Character Sheet'!$C$9</f>
        <v/>
      </c>
      <c r="G268" s="298" t="s">
        <v>294</v>
      </c>
      <c r="H268" s="298" t="s">
        <v>324</v>
      </c>
      <c r="I268" s="298" t="s">
        <v>324</v>
      </c>
      <c r="J268" s="298" t="s">
        <v>315</v>
      </c>
      <c r="K268" s="298" t="s">
        <v>325</v>
      </c>
      <c r="L268" s="298" t="s">
        <v>493</v>
      </c>
      <c r="M268" s="301" t="s">
        <v>315</v>
      </c>
      <c r="N268" s="301" t="s">
        <v>2138</v>
      </c>
      <c r="O268" s="301" t="s">
        <v>2139</v>
      </c>
      <c r="P268" s="301" t="s">
        <v>2139</v>
      </c>
      <c r="Q268" s="301" t="s">
        <v>2140</v>
      </c>
      <c r="R268" s="301" t="s">
        <v>2140</v>
      </c>
      <c r="S268" s="301" t="s">
        <v>2140</v>
      </c>
      <c r="T268" s="301" t="s">
        <v>2140</v>
      </c>
      <c r="U268" s="301" t="s">
        <v>2140</v>
      </c>
      <c r="V268" s="301" t="s">
        <v>2140</v>
      </c>
      <c r="W268" s="298" t="s">
        <v>357</v>
      </c>
      <c r="X268" s="298" t="s">
        <v>306</v>
      </c>
    </row>
    <row r="269">
      <c r="A269" s="295" t="s">
        <v>2142</v>
      </c>
      <c r="B269" s="298">
        <v>2.0</v>
      </c>
      <c r="C269" s="298" t="s">
        <v>288</v>
      </c>
      <c r="D269" s="298" t="s">
        <v>289</v>
      </c>
      <c r="E269" s="298" t="s">
        <v>290</v>
      </c>
      <c r="F269" s="298" t="str">
        <f>'Character Sheet'!$C$9</f>
        <v/>
      </c>
      <c r="G269" s="298" t="s">
        <v>294</v>
      </c>
      <c r="H269" s="298" t="s">
        <v>360</v>
      </c>
      <c r="I269" s="298" t="s">
        <v>1413</v>
      </c>
      <c r="J269" s="298" t="s">
        <v>180</v>
      </c>
      <c r="K269" s="298" t="s">
        <v>298</v>
      </c>
      <c r="L269" s="298" t="s">
        <v>493</v>
      </c>
      <c r="M269" s="301" t="s">
        <v>315</v>
      </c>
      <c r="N269" s="301" t="s">
        <v>2144</v>
      </c>
      <c r="O269" s="301" t="s">
        <v>2144</v>
      </c>
      <c r="P269" s="301" t="s">
        <v>2145</v>
      </c>
      <c r="Q269" s="301" t="s">
        <v>2145</v>
      </c>
      <c r="R269" s="301" t="s">
        <v>2146</v>
      </c>
      <c r="S269" s="301" t="s">
        <v>2146</v>
      </c>
      <c r="T269" s="301" t="s">
        <v>2148</v>
      </c>
      <c r="U269" s="301" t="s">
        <v>2148</v>
      </c>
      <c r="V269" s="301" t="s">
        <v>2149</v>
      </c>
      <c r="W269" s="298" t="s">
        <v>305</v>
      </c>
      <c r="X269" s="298" t="s">
        <v>318</v>
      </c>
    </row>
    <row r="270">
      <c r="A270" s="295" t="s">
        <v>2150</v>
      </c>
      <c r="B270" s="298">
        <v>2.0</v>
      </c>
      <c r="C270" s="298" t="s">
        <v>288</v>
      </c>
      <c r="D270" s="298" t="s">
        <v>321</v>
      </c>
      <c r="E270" s="298" t="s">
        <v>290</v>
      </c>
      <c r="F270" s="298" t="str">
        <f>'Character Sheet'!$C$9</f>
        <v/>
      </c>
      <c r="G270" s="298" t="s">
        <v>294</v>
      </c>
      <c r="H270" s="298" t="s">
        <v>1278</v>
      </c>
      <c r="I270" s="298" t="s">
        <v>315</v>
      </c>
      <c r="J270" s="298" t="s">
        <v>315</v>
      </c>
      <c r="K270" s="298" t="s">
        <v>353</v>
      </c>
      <c r="L270" s="298" t="s">
        <v>493</v>
      </c>
      <c r="M270" s="301" t="s">
        <v>315</v>
      </c>
      <c r="N270" s="301" t="s">
        <v>2151</v>
      </c>
      <c r="O270" s="301" t="s">
        <v>2152</v>
      </c>
      <c r="P270" s="301" t="s">
        <v>2153</v>
      </c>
      <c r="Q270" s="301" t="s">
        <v>2154</v>
      </c>
      <c r="R270" s="301" t="s">
        <v>2155</v>
      </c>
      <c r="S270" s="301" t="s">
        <v>2156</v>
      </c>
      <c r="T270" s="301" t="s">
        <v>2157</v>
      </c>
      <c r="U270" s="301" t="s">
        <v>2158</v>
      </c>
      <c r="V270" s="301" t="s">
        <v>2159</v>
      </c>
      <c r="W270" s="298" t="s">
        <v>460</v>
      </c>
      <c r="X270" s="298" t="s">
        <v>306</v>
      </c>
    </row>
    <row r="271">
      <c r="A271" s="295" t="s">
        <v>2160</v>
      </c>
      <c r="B271" s="298">
        <v>2.0</v>
      </c>
      <c r="C271" s="298" t="s">
        <v>522</v>
      </c>
      <c r="D271" s="298" t="s">
        <v>334</v>
      </c>
      <c r="E271" s="298" t="s">
        <v>311</v>
      </c>
      <c r="F271" s="298" t="str">
        <f>'Character Sheet'!$C$9</f>
        <v/>
      </c>
      <c r="G271" s="298" t="s">
        <v>294</v>
      </c>
      <c r="H271" s="298" t="s">
        <v>335</v>
      </c>
      <c r="I271" s="298" t="s">
        <v>296</v>
      </c>
      <c r="J271" s="298" t="s">
        <v>173</v>
      </c>
      <c r="K271" s="298" t="s">
        <v>298</v>
      </c>
      <c r="L271" s="298" t="s">
        <v>493</v>
      </c>
      <c r="M271" s="301" t="s">
        <v>315</v>
      </c>
      <c r="N271" s="301" t="s">
        <v>2162</v>
      </c>
      <c r="O271" s="301" t="s">
        <v>2162</v>
      </c>
      <c r="P271" s="301" t="s">
        <v>2162</v>
      </c>
      <c r="Q271" s="301" t="s">
        <v>2162</v>
      </c>
      <c r="R271" s="301" t="s">
        <v>2162</v>
      </c>
      <c r="S271" s="301" t="s">
        <v>2162</v>
      </c>
      <c r="T271" s="301" t="s">
        <v>2162</v>
      </c>
      <c r="U271" s="301" t="s">
        <v>2162</v>
      </c>
      <c r="V271" s="301" t="s">
        <v>2162</v>
      </c>
      <c r="W271" s="298" t="s">
        <v>429</v>
      </c>
      <c r="X271" s="298" t="s">
        <v>2163</v>
      </c>
    </row>
    <row r="272">
      <c r="A272" s="295" t="s">
        <v>2164</v>
      </c>
      <c r="B272" s="298">
        <v>2.0</v>
      </c>
      <c r="C272" s="298" t="s">
        <v>522</v>
      </c>
      <c r="D272" s="298" t="s">
        <v>359</v>
      </c>
      <c r="E272" s="298" t="s">
        <v>290</v>
      </c>
      <c r="F272" s="298" t="str">
        <f>'Character Sheet'!$C$9</f>
        <v/>
      </c>
      <c r="G272" s="298" t="s">
        <v>294</v>
      </c>
      <c r="H272" s="298" t="s">
        <v>295</v>
      </c>
      <c r="I272" s="298" t="s">
        <v>2165</v>
      </c>
      <c r="J272" s="298" t="s">
        <v>192</v>
      </c>
      <c r="K272" s="298" t="s">
        <v>545</v>
      </c>
      <c r="L272" s="298" t="s">
        <v>493</v>
      </c>
      <c r="M272" s="301" t="s">
        <v>315</v>
      </c>
      <c r="N272" s="301" t="s">
        <v>2166</v>
      </c>
      <c r="O272" s="301" t="s">
        <v>2166</v>
      </c>
      <c r="P272" s="301" t="s">
        <v>2167</v>
      </c>
      <c r="Q272" s="301" t="s">
        <v>2167</v>
      </c>
      <c r="R272" s="301" t="s">
        <v>2167</v>
      </c>
      <c r="S272" s="301" t="s">
        <v>2167</v>
      </c>
      <c r="T272" s="301" t="s">
        <v>2167</v>
      </c>
      <c r="U272" s="301" t="s">
        <v>2167</v>
      </c>
      <c r="V272" s="301" t="s">
        <v>2167</v>
      </c>
      <c r="W272" s="298" t="s">
        <v>684</v>
      </c>
      <c r="X272" s="298" t="s">
        <v>2168</v>
      </c>
    </row>
    <row r="273">
      <c r="A273" s="295" t="s">
        <v>2169</v>
      </c>
      <c r="B273" s="298">
        <v>2.0</v>
      </c>
      <c r="C273" s="298" t="s">
        <v>522</v>
      </c>
      <c r="D273" s="298" t="s">
        <v>310</v>
      </c>
      <c r="E273" s="298" t="s">
        <v>290</v>
      </c>
      <c r="F273" s="298" t="str">
        <f>'Character Sheet'!$C$9</f>
        <v/>
      </c>
      <c r="G273" s="298" t="s">
        <v>294</v>
      </c>
      <c r="H273" s="298" t="s">
        <v>324</v>
      </c>
      <c r="I273" s="298" t="s">
        <v>324</v>
      </c>
      <c r="J273" s="298" t="s">
        <v>315</v>
      </c>
      <c r="K273" s="298" t="s">
        <v>632</v>
      </c>
      <c r="L273" s="298" t="s">
        <v>493</v>
      </c>
      <c r="M273" s="301" t="s">
        <v>315</v>
      </c>
      <c r="N273" s="301" t="s">
        <v>2170</v>
      </c>
      <c r="O273" s="301" t="s">
        <v>2170</v>
      </c>
      <c r="P273" s="301" t="s">
        <v>2170</v>
      </c>
      <c r="Q273" s="301" t="s">
        <v>2171</v>
      </c>
      <c r="R273" s="301" t="s">
        <v>2171</v>
      </c>
      <c r="S273" s="301" t="s">
        <v>2171</v>
      </c>
      <c r="T273" s="301" t="s">
        <v>2172</v>
      </c>
      <c r="U273" s="301" t="s">
        <v>2172</v>
      </c>
      <c r="V273" s="301" t="s">
        <v>2172</v>
      </c>
      <c r="W273" s="298" t="s">
        <v>978</v>
      </c>
      <c r="X273" s="298" t="s">
        <v>997</v>
      </c>
    </row>
    <row r="274">
      <c r="A274" s="295" t="s">
        <v>2174</v>
      </c>
      <c r="B274" s="298">
        <v>2.0</v>
      </c>
      <c r="C274" s="298" t="s">
        <v>288</v>
      </c>
      <c r="D274" s="298" t="s">
        <v>334</v>
      </c>
      <c r="E274" s="298" t="s">
        <v>290</v>
      </c>
      <c r="F274" s="298" t="str">
        <f>'Character Sheet'!$N$9</f>
        <v/>
      </c>
      <c r="G274" s="298" t="s">
        <v>674</v>
      </c>
      <c r="H274" s="298" t="s">
        <v>324</v>
      </c>
      <c r="I274" s="298" t="s">
        <v>1174</v>
      </c>
      <c r="J274" s="298" t="s">
        <v>407</v>
      </c>
      <c r="K274" s="298" t="s">
        <v>298</v>
      </c>
      <c r="L274" s="298" t="s">
        <v>493</v>
      </c>
      <c r="M274" s="301" t="s">
        <v>315</v>
      </c>
      <c r="N274" s="301" t="s">
        <v>2175</v>
      </c>
      <c r="O274" s="301" t="s">
        <v>2176</v>
      </c>
      <c r="P274" s="301" t="s">
        <v>2177</v>
      </c>
      <c r="Q274" s="301" t="s">
        <v>2178</v>
      </c>
      <c r="R274" s="301" t="s">
        <v>2179</v>
      </c>
      <c r="S274" s="301" t="s">
        <v>2181</v>
      </c>
      <c r="T274" s="301" t="s">
        <v>2182</v>
      </c>
      <c r="U274" s="301" t="s">
        <v>2183</v>
      </c>
      <c r="V274" s="301" t="s">
        <v>2184</v>
      </c>
      <c r="W274" s="298" t="s">
        <v>429</v>
      </c>
      <c r="X274" s="298" t="s">
        <v>318</v>
      </c>
    </row>
    <row r="275">
      <c r="A275" s="295" t="s">
        <v>2185</v>
      </c>
      <c r="B275" s="298">
        <v>2.0</v>
      </c>
      <c r="C275" s="298" t="s">
        <v>288</v>
      </c>
      <c r="D275" s="298" t="s">
        <v>151</v>
      </c>
      <c r="E275" s="298" t="s">
        <v>311</v>
      </c>
      <c r="F275" s="298" t="s">
        <v>999</v>
      </c>
      <c r="G275" s="298" t="s">
        <v>674</v>
      </c>
      <c r="H275" s="298" t="s">
        <v>324</v>
      </c>
      <c r="I275" s="298" t="s">
        <v>324</v>
      </c>
      <c r="J275" s="298" t="s">
        <v>315</v>
      </c>
      <c r="K275" s="298" t="s">
        <v>1489</v>
      </c>
      <c r="L275" s="298" t="s">
        <v>493</v>
      </c>
      <c r="M275" s="301" t="s">
        <v>315</v>
      </c>
      <c r="N275" s="301" t="s">
        <v>2186</v>
      </c>
      <c r="O275" s="301" t="s">
        <v>2186</v>
      </c>
      <c r="P275" s="301" t="s">
        <v>2186</v>
      </c>
      <c r="Q275" s="301" t="s">
        <v>2186</v>
      </c>
      <c r="R275" s="301" t="s">
        <v>2186</v>
      </c>
      <c r="S275" s="301" t="s">
        <v>2186</v>
      </c>
      <c r="T275" s="301" t="s">
        <v>2186</v>
      </c>
      <c r="U275" s="301" t="s">
        <v>2186</v>
      </c>
      <c r="V275" s="301" t="s">
        <v>2186</v>
      </c>
      <c r="W275" s="298" t="s">
        <v>317</v>
      </c>
      <c r="X275" s="298" t="s">
        <v>318</v>
      </c>
    </row>
    <row r="276">
      <c r="A276" s="295" t="s">
        <v>2187</v>
      </c>
      <c r="B276" s="298">
        <v>2.0</v>
      </c>
      <c r="C276" s="298" t="s">
        <v>288</v>
      </c>
      <c r="D276" s="298" t="s">
        <v>321</v>
      </c>
      <c r="E276" s="298" t="s">
        <v>290</v>
      </c>
      <c r="F276" s="298" t="str">
        <f>'Character Sheet'!$C$9</f>
        <v/>
      </c>
      <c r="G276" s="298" t="s">
        <v>2188</v>
      </c>
      <c r="H276" s="298" t="s">
        <v>335</v>
      </c>
      <c r="I276" s="298" t="s">
        <v>296</v>
      </c>
      <c r="J276" s="298" t="s">
        <v>315</v>
      </c>
      <c r="K276" s="298" t="s">
        <v>325</v>
      </c>
      <c r="L276" s="298" t="s">
        <v>493</v>
      </c>
      <c r="M276" s="301" t="s">
        <v>315</v>
      </c>
      <c r="N276" s="301" t="s">
        <v>2189</v>
      </c>
      <c r="O276" s="301" t="s">
        <v>2189</v>
      </c>
      <c r="P276" s="301" t="s">
        <v>2190</v>
      </c>
      <c r="Q276" s="301" t="s">
        <v>2190</v>
      </c>
      <c r="R276" s="301" t="s">
        <v>2190</v>
      </c>
      <c r="S276" s="301" t="s">
        <v>2190</v>
      </c>
      <c r="T276" s="301" t="s">
        <v>2190</v>
      </c>
      <c r="U276" s="301" t="s">
        <v>2190</v>
      </c>
      <c r="V276" s="301" t="s">
        <v>2190</v>
      </c>
      <c r="W276" s="298" t="s">
        <v>460</v>
      </c>
      <c r="X276" s="298" t="s">
        <v>306</v>
      </c>
    </row>
    <row r="277">
      <c r="A277" s="295" t="s">
        <v>2191</v>
      </c>
      <c r="B277" s="298">
        <v>2.0</v>
      </c>
      <c r="C277" s="298" t="s">
        <v>288</v>
      </c>
      <c r="D277" s="298" t="s">
        <v>462</v>
      </c>
      <c r="E277" s="298" t="s">
        <v>290</v>
      </c>
      <c r="F277" s="298" t="str">
        <f>'Character Sheet'!$C$9</f>
        <v/>
      </c>
      <c r="G277" s="298" t="s">
        <v>2188</v>
      </c>
      <c r="H277" s="298" t="s">
        <v>324</v>
      </c>
      <c r="I277" s="298" t="s">
        <v>324</v>
      </c>
      <c r="J277" s="298" t="s">
        <v>315</v>
      </c>
      <c r="K277" s="298" t="s">
        <v>675</v>
      </c>
      <c r="L277" s="298" t="s">
        <v>493</v>
      </c>
      <c r="M277" s="301" t="s">
        <v>315</v>
      </c>
      <c r="N277" s="301" t="s">
        <v>2192</v>
      </c>
      <c r="O277" s="301" t="s">
        <v>2193</v>
      </c>
      <c r="P277" s="301" t="s">
        <v>2193</v>
      </c>
      <c r="Q277" s="301" t="s">
        <v>2193</v>
      </c>
      <c r="R277" s="301" t="s">
        <v>2193</v>
      </c>
      <c r="S277" s="301" t="s">
        <v>2193</v>
      </c>
      <c r="T277" s="301" t="s">
        <v>2193</v>
      </c>
      <c r="U277" s="301" t="s">
        <v>2193</v>
      </c>
      <c r="V277" s="301" t="s">
        <v>2193</v>
      </c>
      <c r="W277" s="298" t="s">
        <v>305</v>
      </c>
      <c r="X277" s="298" t="s">
        <v>966</v>
      </c>
    </row>
    <row r="278">
      <c r="A278" s="295" t="s">
        <v>2194</v>
      </c>
      <c r="B278" s="298">
        <v>2.0</v>
      </c>
      <c r="C278" s="298" t="s">
        <v>288</v>
      </c>
      <c r="D278" s="298" t="s">
        <v>462</v>
      </c>
      <c r="E278" s="298" t="s">
        <v>311</v>
      </c>
      <c r="F278" s="298" t="str">
        <f>'Character Sheet'!$C$9</f>
        <v/>
      </c>
      <c r="G278" s="298" t="s">
        <v>294</v>
      </c>
      <c r="H278" s="298" t="s">
        <v>295</v>
      </c>
      <c r="I278" s="298" t="s">
        <v>2195</v>
      </c>
      <c r="J278" s="298" t="s">
        <v>315</v>
      </c>
      <c r="K278" s="298" t="s">
        <v>632</v>
      </c>
      <c r="L278" s="298" t="s">
        <v>493</v>
      </c>
      <c r="M278" s="301" t="s">
        <v>315</v>
      </c>
      <c r="N278" s="301" t="s">
        <v>2196</v>
      </c>
      <c r="O278" s="301" t="s">
        <v>2196</v>
      </c>
      <c r="P278" s="301" t="s">
        <v>2196</v>
      </c>
      <c r="Q278" s="301" t="s">
        <v>2196</v>
      </c>
      <c r="R278" s="301" t="s">
        <v>2196</v>
      </c>
      <c r="S278" s="301" t="s">
        <v>2196</v>
      </c>
      <c r="T278" s="301" t="s">
        <v>2196</v>
      </c>
      <c r="U278" s="301" t="s">
        <v>2196</v>
      </c>
      <c r="V278" s="301" t="s">
        <v>2196</v>
      </c>
      <c r="W278" s="298" t="s">
        <v>460</v>
      </c>
      <c r="X278" s="298" t="s">
        <v>306</v>
      </c>
    </row>
    <row r="279">
      <c r="A279" s="295" t="s">
        <v>2197</v>
      </c>
      <c r="B279" s="298">
        <v>2.0</v>
      </c>
      <c r="C279" s="298" t="s">
        <v>522</v>
      </c>
      <c r="D279" s="298" t="s">
        <v>421</v>
      </c>
      <c r="E279" s="298" t="s">
        <v>290</v>
      </c>
      <c r="F279" s="298" t="str">
        <f>'Character Sheet'!$C$9</f>
        <v/>
      </c>
      <c r="G279" s="298" t="s">
        <v>294</v>
      </c>
      <c r="H279" s="298" t="s">
        <v>295</v>
      </c>
      <c r="I279" s="298" t="s">
        <v>2198</v>
      </c>
      <c r="J279" s="298" t="s">
        <v>180</v>
      </c>
      <c r="K279" s="298" t="s">
        <v>1174</v>
      </c>
      <c r="L279" s="298" t="s">
        <v>493</v>
      </c>
      <c r="M279" s="301" t="s">
        <v>315</v>
      </c>
      <c r="N279" s="301" t="s">
        <v>2199</v>
      </c>
      <c r="O279" s="301" t="s">
        <v>2199</v>
      </c>
      <c r="P279" s="301" t="s">
        <v>2200</v>
      </c>
      <c r="Q279" s="301" t="s">
        <v>2200</v>
      </c>
      <c r="R279" s="301" t="s">
        <v>2201</v>
      </c>
      <c r="S279" s="301" t="s">
        <v>2201</v>
      </c>
      <c r="T279" s="301" t="s">
        <v>2202</v>
      </c>
      <c r="U279" s="301" t="s">
        <v>2202</v>
      </c>
      <c r="V279" s="301" t="s">
        <v>2203</v>
      </c>
      <c r="W279" s="298" t="s">
        <v>305</v>
      </c>
      <c r="X279" s="298" t="s">
        <v>1082</v>
      </c>
    </row>
    <row r="280">
      <c r="A280" s="295" t="s">
        <v>2204</v>
      </c>
      <c r="B280" s="298">
        <v>2.0</v>
      </c>
      <c r="C280" s="298" t="s">
        <v>288</v>
      </c>
      <c r="D280" s="298" t="s">
        <v>462</v>
      </c>
      <c r="E280" s="298" t="s">
        <v>311</v>
      </c>
      <c r="F280" s="298" t="str">
        <f>'Character Sheet'!$C$9</f>
        <v/>
      </c>
      <c r="G280" s="298" t="s">
        <v>294</v>
      </c>
      <c r="H280" s="298" t="s">
        <v>295</v>
      </c>
      <c r="I280" s="298" t="s">
        <v>2205</v>
      </c>
      <c r="J280" s="298" t="s">
        <v>315</v>
      </c>
      <c r="K280" s="298" t="s">
        <v>478</v>
      </c>
      <c r="L280" s="298" t="s">
        <v>493</v>
      </c>
      <c r="M280" s="301" t="s">
        <v>315</v>
      </c>
      <c r="N280" s="301" t="s">
        <v>2206</v>
      </c>
      <c r="O280" s="301" t="s">
        <v>2206</v>
      </c>
      <c r="P280" s="301" t="s">
        <v>2206</v>
      </c>
      <c r="Q280" s="301" t="s">
        <v>2206</v>
      </c>
      <c r="R280" s="301" t="s">
        <v>2206</v>
      </c>
      <c r="S280" s="301" t="s">
        <v>2206</v>
      </c>
      <c r="T280" s="301" t="s">
        <v>2206</v>
      </c>
      <c r="U280" s="301" t="s">
        <v>2206</v>
      </c>
      <c r="V280" s="301" t="s">
        <v>2206</v>
      </c>
      <c r="W280" s="298" t="s">
        <v>357</v>
      </c>
      <c r="X280" s="298" t="s">
        <v>569</v>
      </c>
    </row>
    <row r="281">
      <c r="A281" s="295" t="s">
        <v>2207</v>
      </c>
      <c r="B281" s="298">
        <v>2.0</v>
      </c>
      <c r="C281" s="298" t="s">
        <v>288</v>
      </c>
      <c r="D281" s="298" t="s">
        <v>310</v>
      </c>
      <c r="E281" s="298" t="s">
        <v>311</v>
      </c>
      <c r="F281" s="298" t="s">
        <v>999</v>
      </c>
      <c r="G281" s="298" t="s">
        <v>674</v>
      </c>
      <c r="H281" s="298" t="s">
        <v>324</v>
      </c>
      <c r="I281" s="298" t="s">
        <v>324</v>
      </c>
      <c r="J281" s="298" t="s">
        <v>315</v>
      </c>
      <c r="K281" s="298" t="s">
        <v>2208</v>
      </c>
      <c r="L281" s="298" t="s">
        <v>493</v>
      </c>
      <c r="M281" s="301" t="s">
        <v>315</v>
      </c>
      <c r="N281" s="301" t="s">
        <v>2209</v>
      </c>
      <c r="O281" s="301" t="s">
        <v>2209</v>
      </c>
      <c r="P281" s="301" t="s">
        <v>2209</v>
      </c>
      <c r="Q281" s="301" t="s">
        <v>2209</v>
      </c>
      <c r="R281" s="301" t="s">
        <v>2209</v>
      </c>
      <c r="S281" s="301" t="s">
        <v>2209</v>
      </c>
      <c r="T281" s="301" t="s">
        <v>2209</v>
      </c>
      <c r="U281" s="301" t="s">
        <v>2209</v>
      </c>
      <c r="V281" s="301" t="s">
        <v>2209</v>
      </c>
      <c r="W281" s="298" t="s">
        <v>331</v>
      </c>
      <c r="X281" s="298" t="s">
        <v>318</v>
      </c>
    </row>
    <row r="282">
      <c r="A282" s="295" t="s">
        <v>2210</v>
      </c>
      <c r="B282" s="298">
        <v>2.0</v>
      </c>
      <c r="C282" s="298" t="s">
        <v>288</v>
      </c>
      <c r="D282" s="298" t="s">
        <v>321</v>
      </c>
      <c r="E282" s="298" t="s">
        <v>311</v>
      </c>
      <c r="F282" s="298" t="str">
        <f>'Character Sheet'!$C$9</f>
        <v/>
      </c>
      <c r="G282" s="298" t="s">
        <v>294</v>
      </c>
      <c r="H282" s="298" t="s">
        <v>335</v>
      </c>
      <c r="I282" s="298" t="s">
        <v>652</v>
      </c>
      <c r="J282" s="298" t="s">
        <v>315</v>
      </c>
      <c r="K282" s="298" t="s">
        <v>1283</v>
      </c>
      <c r="L282" s="298" t="s">
        <v>493</v>
      </c>
      <c r="M282" s="301" t="s">
        <v>315</v>
      </c>
      <c r="N282" s="301" t="s">
        <v>2211</v>
      </c>
      <c r="O282" s="301" t="s">
        <v>2211</v>
      </c>
      <c r="P282" s="301" t="s">
        <v>2211</v>
      </c>
      <c r="Q282" s="301" t="s">
        <v>2211</v>
      </c>
      <c r="R282" s="301" t="s">
        <v>2211</v>
      </c>
      <c r="S282" s="301" t="s">
        <v>2211</v>
      </c>
      <c r="T282" s="301" t="s">
        <v>2211</v>
      </c>
      <c r="U282" s="301" t="s">
        <v>2211</v>
      </c>
      <c r="V282" s="301" t="s">
        <v>2211</v>
      </c>
      <c r="W282" s="298" t="s">
        <v>460</v>
      </c>
      <c r="X282" s="298" t="s">
        <v>306</v>
      </c>
    </row>
    <row r="283">
      <c r="A283" s="295" t="s">
        <v>2212</v>
      </c>
      <c r="B283" s="298">
        <v>2.0</v>
      </c>
      <c r="C283" s="298" t="s">
        <v>288</v>
      </c>
      <c r="D283" s="298" t="s">
        <v>289</v>
      </c>
      <c r="E283" s="298" t="s">
        <v>311</v>
      </c>
      <c r="F283" s="298" t="str">
        <f>'Character Sheet'!$C$9</f>
        <v/>
      </c>
      <c r="G283" s="298" t="s">
        <v>294</v>
      </c>
      <c r="H283" s="298" t="s">
        <v>360</v>
      </c>
      <c r="I283" s="298" t="s">
        <v>2213</v>
      </c>
      <c r="J283" s="298" t="s">
        <v>315</v>
      </c>
      <c r="K283" s="298" t="s">
        <v>298</v>
      </c>
      <c r="L283" s="298" t="s">
        <v>493</v>
      </c>
      <c r="M283" s="301" t="s">
        <v>315</v>
      </c>
      <c r="N283" s="301" t="s">
        <v>2214</v>
      </c>
      <c r="O283" s="301" t="s">
        <v>2214</v>
      </c>
      <c r="P283" s="301" t="s">
        <v>2214</v>
      </c>
      <c r="Q283" s="301" t="s">
        <v>2214</v>
      </c>
      <c r="R283" s="301" t="s">
        <v>2214</v>
      </c>
      <c r="S283" s="301" t="s">
        <v>2214</v>
      </c>
      <c r="T283" s="301" t="s">
        <v>2214</v>
      </c>
      <c r="U283" s="301" t="s">
        <v>2214</v>
      </c>
      <c r="V283" s="301" t="s">
        <v>2214</v>
      </c>
      <c r="W283" s="298" t="s">
        <v>305</v>
      </c>
      <c r="X283" s="298" t="s">
        <v>318</v>
      </c>
    </row>
    <row r="284">
      <c r="A284" s="295" t="s">
        <v>2215</v>
      </c>
      <c r="B284" s="298">
        <v>2.0</v>
      </c>
      <c r="C284" s="298" t="s">
        <v>288</v>
      </c>
      <c r="D284" s="298" t="s">
        <v>421</v>
      </c>
      <c r="E284" s="298" t="s">
        <v>290</v>
      </c>
      <c r="F284" s="298" t="str">
        <f>'Character Sheet'!$C$9</f>
        <v/>
      </c>
      <c r="G284" s="298" t="s">
        <v>294</v>
      </c>
      <c r="H284" s="298" t="s">
        <v>324</v>
      </c>
      <c r="I284" s="298" t="s">
        <v>324</v>
      </c>
      <c r="J284" s="298" t="s">
        <v>315</v>
      </c>
      <c r="K284" s="298" t="s">
        <v>632</v>
      </c>
      <c r="L284" s="298" t="s">
        <v>493</v>
      </c>
      <c r="M284" s="301" t="s">
        <v>315</v>
      </c>
      <c r="N284" s="301" t="s">
        <v>2216</v>
      </c>
      <c r="O284" s="301" t="s">
        <v>2216</v>
      </c>
      <c r="P284" s="301" t="s">
        <v>2216</v>
      </c>
      <c r="Q284" s="301" t="s">
        <v>2217</v>
      </c>
      <c r="R284" s="301" t="s">
        <v>2217</v>
      </c>
      <c r="S284" s="301" t="s">
        <v>2217</v>
      </c>
      <c r="T284" s="301" t="s">
        <v>2218</v>
      </c>
      <c r="U284" s="301" t="s">
        <v>2218</v>
      </c>
      <c r="V284" s="301" t="s">
        <v>2218</v>
      </c>
      <c r="W284" s="298" t="s">
        <v>305</v>
      </c>
      <c r="X284" s="298" t="s">
        <v>318</v>
      </c>
    </row>
    <row r="285">
      <c r="A285" s="295" t="s">
        <v>2219</v>
      </c>
      <c r="B285" s="298">
        <v>2.0</v>
      </c>
      <c r="C285" s="298" t="s">
        <v>288</v>
      </c>
      <c r="D285" s="298" t="s">
        <v>334</v>
      </c>
      <c r="E285" s="298" t="s">
        <v>311</v>
      </c>
      <c r="F285" s="298" t="str">
        <f>'Character Sheet'!$C$9</f>
        <v/>
      </c>
      <c r="G285" s="298" t="s">
        <v>294</v>
      </c>
      <c r="H285" s="298" t="s">
        <v>324</v>
      </c>
      <c r="I285" s="298" t="s">
        <v>324</v>
      </c>
      <c r="J285" s="298" t="s">
        <v>315</v>
      </c>
      <c r="K285" s="298" t="s">
        <v>325</v>
      </c>
      <c r="L285" s="298" t="s">
        <v>493</v>
      </c>
      <c r="M285" s="301" t="s">
        <v>315</v>
      </c>
      <c r="N285" s="301" t="s">
        <v>2221</v>
      </c>
      <c r="O285" s="301" t="s">
        <v>2221</v>
      </c>
      <c r="P285" s="301" t="s">
        <v>2221</v>
      </c>
      <c r="Q285" s="301" t="s">
        <v>2221</v>
      </c>
      <c r="R285" s="301" t="s">
        <v>2221</v>
      </c>
      <c r="S285" s="301" t="s">
        <v>2221</v>
      </c>
      <c r="T285" s="301" t="s">
        <v>2221</v>
      </c>
      <c r="U285" s="301" t="s">
        <v>2221</v>
      </c>
      <c r="V285" s="301" t="s">
        <v>2221</v>
      </c>
      <c r="W285" s="298" t="s">
        <v>429</v>
      </c>
      <c r="X285" s="298" t="s">
        <v>318</v>
      </c>
    </row>
    <row r="286">
      <c r="A286" s="295" t="s">
        <v>2222</v>
      </c>
      <c r="B286" s="298">
        <v>2.0</v>
      </c>
      <c r="C286" s="298" t="s">
        <v>522</v>
      </c>
      <c r="D286" s="298" t="s">
        <v>359</v>
      </c>
      <c r="E286" s="298" t="s">
        <v>311</v>
      </c>
      <c r="F286" s="298" t="str">
        <f>'Character Sheet'!$C$9</f>
        <v/>
      </c>
      <c r="G286" s="298" t="s">
        <v>294</v>
      </c>
      <c r="H286" s="298" t="s">
        <v>295</v>
      </c>
      <c r="I286" s="298" t="s">
        <v>296</v>
      </c>
      <c r="J286" s="298" t="s">
        <v>192</v>
      </c>
      <c r="K286" s="298" t="s">
        <v>424</v>
      </c>
      <c r="L286" s="298" t="s">
        <v>493</v>
      </c>
      <c r="M286" s="301" t="s">
        <v>315</v>
      </c>
      <c r="N286" s="301" t="s">
        <v>2223</v>
      </c>
      <c r="O286" s="301" t="s">
        <v>2223</v>
      </c>
      <c r="P286" s="301" t="s">
        <v>2223</v>
      </c>
      <c r="Q286" s="301" t="s">
        <v>2223</v>
      </c>
      <c r="R286" s="301" t="s">
        <v>2223</v>
      </c>
      <c r="S286" s="301" t="s">
        <v>2223</v>
      </c>
      <c r="T286" s="301" t="s">
        <v>2223</v>
      </c>
      <c r="U286" s="301" t="s">
        <v>2223</v>
      </c>
      <c r="V286" s="301" t="s">
        <v>2223</v>
      </c>
      <c r="W286" s="298" t="s">
        <v>460</v>
      </c>
      <c r="X286" s="298" t="s">
        <v>997</v>
      </c>
    </row>
    <row r="287">
      <c r="A287" s="295" t="s">
        <v>2224</v>
      </c>
      <c r="B287" s="298">
        <v>2.0</v>
      </c>
      <c r="C287" s="298" t="s">
        <v>288</v>
      </c>
      <c r="D287" s="298" t="s">
        <v>321</v>
      </c>
      <c r="E287" s="298" t="s">
        <v>311</v>
      </c>
      <c r="F287" s="298" t="str">
        <f>'Character Sheet'!$C$9</f>
        <v/>
      </c>
      <c r="G287" s="298" t="s">
        <v>294</v>
      </c>
      <c r="H287" s="298" t="s">
        <v>324</v>
      </c>
      <c r="I287" s="298" t="s">
        <v>324</v>
      </c>
      <c r="J287" s="298" t="s">
        <v>315</v>
      </c>
      <c r="K287" s="298" t="s">
        <v>632</v>
      </c>
      <c r="L287" s="298" t="s">
        <v>493</v>
      </c>
      <c r="M287" s="301" t="s">
        <v>315</v>
      </c>
      <c r="N287" s="301" t="s">
        <v>2225</v>
      </c>
      <c r="O287" s="301" t="s">
        <v>2225</v>
      </c>
      <c r="P287" s="301" t="s">
        <v>2225</v>
      </c>
      <c r="Q287" s="301" t="s">
        <v>2225</v>
      </c>
      <c r="R287" s="301" t="s">
        <v>2225</v>
      </c>
      <c r="S287" s="301" t="s">
        <v>2225</v>
      </c>
      <c r="T287" s="301" t="s">
        <v>2225</v>
      </c>
      <c r="U287" s="301" t="s">
        <v>2225</v>
      </c>
      <c r="V287" s="301" t="s">
        <v>2225</v>
      </c>
      <c r="W287" s="298" t="s">
        <v>460</v>
      </c>
      <c r="X287" s="298" t="s">
        <v>306</v>
      </c>
    </row>
    <row r="288">
      <c r="A288" s="295" t="s">
        <v>2226</v>
      </c>
      <c r="B288" s="298">
        <v>2.0</v>
      </c>
      <c r="C288" s="298" t="s">
        <v>288</v>
      </c>
      <c r="D288" s="298" t="s">
        <v>321</v>
      </c>
      <c r="E288" s="298" t="s">
        <v>311</v>
      </c>
      <c r="F288" s="298" t="s">
        <v>625</v>
      </c>
      <c r="G288" s="298" t="s">
        <v>294</v>
      </c>
      <c r="H288" s="298" t="s">
        <v>295</v>
      </c>
      <c r="I288" s="298" t="s">
        <v>2227</v>
      </c>
      <c r="J288" s="298" t="s">
        <v>315</v>
      </c>
      <c r="K288" s="298" t="s">
        <v>2208</v>
      </c>
      <c r="L288" s="298" t="s">
        <v>493</v>
      </c>
      <c r="M288" s="301" t="s">
        <v>315</v>
      </c>
      <c r="N288" s="301" t="s">
        <v>2228</v>
      </c>
      <c r="O288" s="301" t="s">
        <v>2228</v>
      </c>
      <c r="P288" s="301" t="s">
        <v>2228</v>
      </c>
      <c r="Q288" s="301" t="s">
        <v>2228</v>
      </c>
      <c r="R288" s="301" t="s">
        <v>2228</v>
      </c>
      <c r="S288" s="301" t="s">
        <v>2228</v>
      </c>
      <c r="T288" s="301" t="s">
        <v>2228</v>
      </c>
      <c r="U288" s="301" t="s">
        <v>2228</v>
      </c>
      <c r="V288" s="301" t="s">
        <v>2228</v>
      </c>
      <c r="W288" s="298" t="s">
        <v>460</v>
      </c>
      <c r="X288" s="298" t="s">
        <v>306</v>
      </c>
    </row>
    <row r="289">
      <c r="A289" s="295" t="s">
        <v>2229</v>
      </c>
      <c r="B289" s="298">
        <v>2.0</v>
      </c>
      <c r="C289" s="298" t="s">
        <v>288</v>
      </c>
      <c r="D289" s="298" t="s">
        <v>151</v>
      </c>
      <c r="E289" s="298" t="s">
        <v>311</v>
      </c>
      <c r="F289" s="298" t="str">
        <f>'Character Sheet'!$E$9</f>
        <v/>
      </c>
      <c r="G289" s="298" t="s">
        <v>674</v>
      </c>
      <c r="H289" s="298" t="s">
        <v>352</v>
      </c>
      <c r="I289" s="298" t="s">
        <v>1000</v>
      </c>
      <c r="J289" s="298" t="s">
        <v>315</v>
      </c>
      <c r="K289" s="298" t="s">
        <v>632</v>
      </c>
      <c r="L289" s="298" t="s">
        <v>493</v>
      </c>
      <c r="M289" s="301" t="s">
        <v>315</v>
      </c>
      <c r="N289" s="301" t="s">
        <v>2234</v>
      </c>
      <c r="O289" s="301" t="s">
        <v>2234</v>
      </c>
      <c r="P289" s="301" t="s">
        <v>2234</v>
      </c>
      <c r="Q289" s="301" t="s">
        <v>2234</v>
      </c>
      <c r="R289" s="301" t="s">
        <v>2234</v>
      </c>
      <c r="S289" s="301" t="s">
        <v>2234</v>
      </c>
      <c r="T289" s="301" t="s">
        <v>2234</v>
      </c>
      <c r="U289" s="301" t="s">
        <v>2234</v>
      </c>
      <c r="V289" s="301" t="s">
        <v>2234</v>
      </c>
      <c r="W289" s="298" t="s">
        <v>305</v>
      </c>
      <c r="X289" s="298" t="s">
        <v>306</v>
      </c>
    </row>
    <row r="290">
      <c r="A290" s="295" t="s">
        <v>2236</v>
      </c>
      <c r="B290" s="298">
        <v>2.0</v>
      </c>
      <c r="C290" s="298" t="s">
        <v>522</v>
      </c>
      <c r="D290" s="298" t="s">
        <v>310</v>
      </c>
      <c r="E290" s="298" t="s">
        <v>290</v>
      </c>
      <c r="F290" s="298" t="str">
        <f>'Character Sheet'!$C$9</f>
        <v/>
      </c>
      <c r="G290" s="298" t="s">
        <v>294</v>
      </c>
      <c r="H290" s="298" t="s">
        <v>335</v>
      </c>
      <c r="I290" s="298" t="s">
        <v>2238</v>
      </c>
      <c r="J290" s="298" t="s">
        <v>315</v>
      </c>
      <c r="K290" s="298" t="s">
        <v>424</v>
      </c>
      <c r="L290" s="298" t="s">
        <v>493</v>
      </c>
      <c r="M290" s="301" t="s">
        <v>315</v>
      </c>
      <c r="N290" s="301" t="s">
        <v>2239</v>
      </c>
      <c r="O290" s="301" t="s">
        <v>2239</v>
      </c>
      <c r="P290" s="301" t="s">
        <v>2239</v>
      </c>
      <c r="Q290" s="301" t="s">
        <v>2240</v>
      </c>
      <c r="R290" s="301" t="s">
        <v>2240</v>
      </c>
      <c r="S290" s="301" t="s">
        <v>2240</v>
      </c>
      <c r="T290" s="301" t="s">
        <v>2240</v>
      </c>
      <c r="U290" s="301" t="s">
        <v>2240</v>
      </c>
      <c r="V290" s="301" t="s">
        <v>2240</v>
      </c>
      <c r="W290" s="298" t="s">
        <v>684</v>
      </c>
      <c r="X290" s="298" t="s">
        <v>2168</v>
      </c>
    </row>
    <row r="291">
      <c r="A291" s="295" t="s">
        <v>2242</v>
      </c>
      <c r="B291" s="298">
        <v>2.0</v>
      </c>
      <c r="C291" s="298" t="s">
        <v>288</v>
      </c>
      <c r="D291" s="298" t="s">
        <v>321</v>
      </c>
      <c r="E291" s="298" t="s">
        <v>290</v>
      </c>
      <c r="F291" s="298" t="str">
        <f>'Character Sheet'!$C$9</f>
        <v/>
      </c>
      <c r="G291" s="298" t="s">
        <v>294</v>
      </c>
      <c r="H291" s="298" t="s">
        <v>295</v>
      </c>
      <c r="I291" s="298" t="s">
        <v>296</v>
      </c>
      <c r="J291" s="298" t="s">
        <v>192</v>
      </c>
      <c r="K291" s="298" t="s">
        <v>632</v>
      </c>
      <c r="L291" s="298" t="s">
        <v>493</v>
      </c>
      <c r="M291" s="301" t="s">
        <v>315</v>
      </c>
      <c r="N291" s="301" t="s">
        <v>2243</v>
      </c>
      <c r="O291" s="301" t="s">
        <v>2243</v>
      </c>
      <c r="P291" s="301" t="s">
        <v>2243</v>
      </c>
      <c r="Q291" s="301" t="s">
        <v>2243</v>
      </c>
      <c r="R291" s="301" t="s">
        <v>2245</v>
      </c>
      <c r="S291" s="301" t="s">
        <v>2245</v>
      </c>
      <c r="T291" s="301" t="s">
        <v>2245</v>
      </c>
      <c r="U291" s="301" t="s">
        <v>2245</v>
      </c>
      <c r="V291" s="301" t="s">
        <v>2245</v>
      </c>
      <c r="W291" s="298" t="s">
        <v>536</v>
      </c>
      <c r="X291" s="298" t="s">
        <v>306</v>
      </c>
    </row>
    <row r="292">
      <c r="A292" s="295" t="s">
        <v>2246</v>
      </c>
      <c r="B292" s="298">
        <v>2.0</v>
      </c>
      <c r="C292" s="298" t="s">
        <v>522</v>
      </c>
      <c r="D292" s="298" t="s">
        <v>321</v>
      </c>
      <c r="E292" s="298" t="s">
        <v>290</v>
      </c>
      <c r="F292" s="298" t="str">
        <f>'Character Sheet'!$C$9</f>
        <v/>
      </c>
      <c r="G292" s="298" t="s">
        <v>294</v>
      </c>
      <c r="H292" s="298" t="s">
        <v>335</v>
      </c>
      <c r="I292" s="298" t="s">
        <v>780</v>
      </c>
      <c r="J292" s="298" t="s">
        <v>315</v>
      </c>
      <c r="K292" s="298" t="s">
        <v>325</v>
      </c>
      <c r="L292" s="298" t="s">
        <v>493</v>
      </c>
      <c r="M292" s="301" t="s">
        <v>315</v>
      </c>
      <c r="N292" s="301" t="s">
        <v>2248</v>
      </c>
      <c r="O292" s="301" t="s">
        <v>2248</v>
      </c>
      <c r="P292" s="301" t="s">
        <v>2249</v>
      </c>
      <c r="Q292" s="301" t="s">
        <v>2249</v>
      </c>
      <c r="R292" s="301" t="s">
        <v>2250</v>
      </c>
      <c r="S292" s="301" t="s">
        <v>2250</v>
      </c>
      <c r="T292" s="301" t="s">
        <v>2251</v>
      </c>
      <c r="U292" s="301" t="s">
        <v>2251</v>
      </c>
      <c r="V292" s="301" t="s">
        <v>2251</v>
      </c>
      <c r="W292" s="298" t="s">
        <v>460</v>
      </c>
      <c r="X292" s="298" t="s">
        <v>2035</v>
      </c>
    </row>
    <row r="293">
      <c r="A293" s="295" t="s">
        <v>2252</v>
      </c>
      <c r="B293" s="298">
        <v>2.0</v>
      </c>
      <c r="C293" s="298" t="s">
        <v>288</v>
      </c>
      <c r="D293" s="298" t="s">
        <v>151</v>
      </c>
      <c r="E293" s="298" t="s">
        <v>311</v>
      </c>
      <c r="F293" s="298" t="s">
        <v>625</v>
      </c>
      <c r="G293" s="298" t="s">
        <v>674</v>
      </c>
      <c r="H293" s="298" t="s">
        <v>352</v>
      </c>
      <c r="I293" s="298" t="s">
        <v>2254</v>
      </c>
      <c r="J293" s="298" t="s">
        <v>315</v>
      </c>
      <c r="K293" s="298" t="s">
        <v>2208</v>
      </c>
      <c r="L293" s="298" t="s">
        <v>493</v>
      </c>
      <c r="M293" s="301" t="s">
        <v>315</v>
      </c>
      <c r="N293" s="301" t="s">
        <v>2255</v>
      </c>
      <c r="O293" s="301" t="s">
        <v>2255</v>
      </c>
      <c r="P293" s="301" t="s">
        <v>2255</v>
      </c>
      <c r="Q293" s="301" t="s">
        <v>2255</v>
      </c>
      <c r="R293" s="301" t="s">
        <v>2255</v>
      </c>
      <c r="S293" s="301" t="s">
        <v>2255</v>
      </c>
      <c r="T293" s="301" t="s">
        <v>2255</v>
      </c>
      <c r="U293" s="301" t="s">
        <v>2255</v>
      </c>
      <c r="V293" s="301" t="s">
        <v>2255</v>
      </c>
      <c r="W293" s="298" t="s">
        <v>460</v>
      </c>
      <c r="X293" s="298" t="s">
        <v>318</v>
      </c>
    </row>
    <row r="294">
      <c r="A294" s="295" t="s">
        <v>2257</v>
      </c>
      <c r="B294" s="298">
        <v>2.0</v>
      </c>
      <c r="C294" s="298" t="s">
        <v>288</v>
      </c>
      <c r="D294" s="298" t="s">
        <v>321</v>
      </c>
      <c r="E294" s="298" t="s">
        <v>311</v>
      </c>
      <c r="F294" s="298" t="str">
        <f>'Character Sheet'!$C$9</f>
        <v/>
      </c>
      <c r="G294" s="298" t="s">
        <v>294</v>
      </c>
      <c r="H294" s="298" t="s">
        <v>360</v>
      </c>
      <c r="I294" s="298" t="s">
        <v>2038</v>
      </c>
      <c r="J294" s="298" t="s">
        <v>192</v>
      </c>
      <c r="K294" s="298" t="s">
        <v>1174</v>
      </c>
      <c r="L294" s="298" t="s">
        <v>493</v>
      </c>
      <c r="M294" s="301" t="s">
        <v>315</v>
      </c>
      <c r="N294" s="301" t="s">
        <v>2258</v>
      </c>
      <c r="O294" s="301" t="s">
        <v>2258</v>
      </c>
      <c r="P294" s="301" t="s">
        <v>2258</v>
      </c>
      <c r="Q294" s="301" t="s">
        <v>2258</v>
      </c>
      <c r="R294" s="301" t="s">
        <v>2258</v>
      </c>
      <c r="S294" s="301" t="s">
        <v>2258</v>
      </c>
      <c r="T294" s="301" t="s">
        <v>2258</v>
      </c>
      <c r="U294" s="301" t="s">
        <v>2258</v>
      </c>
      <c r="V294" s="301" t="s">
        <v>2258</v>
      </c>
      <c r="W294" s="298" t="s">
        <v>460</v>
      </c>
      <c r="X294" s="298" t="s">
        <v>678</v>
      </c>
    </row>
    <row r="295">
      <c r="A295" s="295" t="s">
        <v>2260</v>
      </c>
      <c r="B295" s="298">
        <v>2.0</v>
      </c>
      <c r="C295" s="298" t="s">
        <v>288</v>
      </c>
      <c r="D295" s="298" t="s">
        <v>321</v>
      </c>
      <c r="E295" s="298" t="s">
        <v>290</v>
      </c>
      <c r="F295" s="298" t="str">
        <f>'Character Sheet'!$C$9</f>
        <v/>
      </c>
      <c r="G295" s="298" t="s">
        <v>294</v>
      </c>
      <c r="H295" s="298" t="s">
        <v>360</v>
      </c>
      <c r="I295" s="298" t="s">
        <v>2261</v>
      </c>
      <c r="J295" s="298" t="s">
        <v>2262</v>
      </c>
      <c r="K295" s="298" t="s">
        <v>2263</v>
      </c>
      <c r="L295" s="298" t="s">
        <v>493</v>
      </c>
      <c r="M295" s="301" t="s">
        <v>315</v>
      </c>
      <c r="N295" s="301" t="s">
        <v>2264</v>
      </c>
      <c r="O295" s="301" t="s">
        <v>2266</v>
      </c>
      <c r="P295" s="301" t="s">
        <v>2267</v>
      </c>
      <c r="Q295" s="301" t="s">
        <v>2268</v>
      </c>
      <c r="R295" s="301" t="s">
        <v>2269</v>
      </c>
      <c r="S295" s="301" t="s">
        <v>2270</v>
      </c>
      <c r="T295" s="301" t="s">
        <v>2271</v>
      </c>
      <c r="U295" s="301" t="s">
        <v>2272</v>
      </c>
      <c r="V295" s="301" t="s">
        <v>2274</v>
      </c>
      <c r="W295" s="298" t="s">
        <v>460</v>
      </c>
      <c r="X295" s="298" t="s">
        <v>318</v>
      </c>
    </row>
    <row r="296">
      <c r="A296" s="295" t="s">
        <v>2275</v>
      </c>
      <c r="B296" s="298">
        <v>2.0</v>
      </c>
      <c r="C296" s="298" t="s">
        <v>288</v>
      </c>
      <c r="D296" s="298" t="s">
        <v>151</v>
      </c>
      <c r="E296" s="298" t="s">
        <v>290</v>
      </c>
      <c r="F296" s="298" t="s">
        <v>999</v>
      </c>
      <c r="G296" s="298" t="s">
        <v>294</v>
      </c>
      <c r="H296" s="298" t="s">
        <v>295</v>
      </c>
      <c r="I296" s="298" t="s">
        <v>315</v>
      </c>
      <c r="J296" s="298" t="s">
        <v>315</v>
      </c>
      <c r="K296" s="298" t="s">
        <v>1001</v>
      </c>
      <c r="L296" s="298" t="s">
        <v>493</v>
      </c>
      <c r="M296" s="301" t="s">
        <v>315</v>
      </c>
      <c r="N296" s="301" t="s">
        <v>2276</v>
      </c>
      <c r="O296" s="301" t="s">
        <v>2276</v>
      </c>
      <c r="P296" s="301" t="s">
        <v>2278</v>
      </c>
      <c r="Q296" s="301" t="s">
        <v>2279</v>
      </c>
      <c r="R296" s="301" t="s">
        <v>2280</v>
      </c>
      <c r="S296" s="301" t="s">
        <v>2280</v>
      </c>
      <c r="T296" s="301" t="s">
        <v>2280</v>
      </c>
      <c r="U296" s="301" t="s">
        <v>2280</v>
      </c>
      <c r="V296" s="301" t="s">
        <v>2280</v>
      </c>
      <c r="W296" s="298" t="s">
        <v>357</v>
      </c>
      <c r="X296" s="298" t="s">
        <v>306</v>
      </c>
    </row>
    <row r="297">
      <c r="A297" s="295" t="s">
        <v>2281</v>
      </c>
      <c r="B297" s="298">
        <v>2.0</v>
      </c>
      <c r="C297" s="298" t="s">
        <v>288</v>
      </c>
      <c r="D297" s="298" t="s">
        <v>421</v>
      </c>
      <c r="E297" s="298" t="s">
        <v>290</v>
      </c>
      <c r="F297" s="298" t="str">
        <f>'Character Sheet'!$C$9</f>
        <v/>
      </c>
      <c r="G297" s="298" t="s">
        <v>294</v>
      </c>
      <c r="H297" s="298" t="s">
        <v>352</v>
      </c>
      <c r="I297" s="298" t="s">
        <v>1000</v>
      </c>
      <c r="J297" s="298" t="s">
        <v>336</v>
      </c>
      <c r="K297" s="298" t="s">
        <v>353</v>
      </c>
      <c r="L297" s="298" t="s">
        <v>493</v>
      </c>
      <c r="M297" s="301" t="s">
        <v>315</v>
      </c>
      <c r="N297" s="301" t="s">
        <v>2283</v>
      </c>
      <c r="O297" s="301" t="s">
        <v>2284</v>
      </c>
      <c r="P297" s="301" t="s">
        <v>2285</v>
      </c>
      <c r="Q297" s="301" t="s">
        <v>2286</v>
      </c>
      <c r="R297" s="301" t="s">
        <v>2287</v>
      </c>
      <c r="S297" s="301" t="s">
        <v>2288</v>
      </c>
      <c r="T297" s="301" t="s">
        <v>2289</v>
      </c>
      <c r="U297" s="301" t="s">
        <v>2290</v>
      </c>
      <c r="V297" s="301" t="s">
        <v>2292</v>
      </c>
      <c r="W297" s="298" t="s">
        <v>499</v>
      </c>
      <c r="X297" s="298" t="s">
        <v>678</v>
      </c>
    </row>
    <row r="298">
      <c r="A298" s="295" t="s">
        <v>2293</v>
      </c>
      <c r="B298" s="298">
        <v>2.0</v>
      </c>
      <c r="C298" s="298" t="s">
        <v>522</v>
      </c>
      <c r="D298" s="298" t="s">
        <v>289</v>
      </c>
      <c r="E298" s="298" t="s">
        <v>290</v>
      </c>
      <c r="F298" s="298" t="str">
        <f>'Character Sheet'!$E$9</f>
        <v/>
      </c>
      <c r="G298" s="298" t="s">
        <v>674</v>
      </c>
      <c r="H298" s="298" t="s">
        <v>352</v>
      </c>
      <c r="I298" s="298" t="s">
        <v>1000</v>
      </c>
      <c r="J298" s="298" t="s">
        <v>173</v>
      </c>
      <c r="K298" s="298" t="s">
        <v>632</v>
      </c>
      <c r="L298" s="298" t="s">
        <v>493</v>
      </c>
      <c r="M298" s="301" t="s">
        <v>315</v>
      </c>
      <c r="N298" s="301" t="s">
        <v>2295</v>
      </c>
      <c r="O298" s="301" t="s">
        <v>2295</v>
      </c>
      <c r="P298" s="301" t="s">
        <v>2296</v>
      </c>
      <c r="Q298" s="301" t="s">
        <v>2296</v>
      </c>
      <c r="R298" s="301" t="s">
        <v>2296</v>
      </c>
      <c r="S298" s="301" t="s">
        <v>2296</v>
      </c>
      <c r="T298" s="301" t="s">
        <v>2296</v>
      </c>
      <c r="U298" s="301" t="s">
        <v>2296</v>
      </c>
      <c r="V298" s="301" t="s">
        <v>2296</v>
      </c>
      <c r="W298" s="298" t="s">
        <v>317</v>
      </c>
      <c r="X298" s="298" t="s">
        <v>2035</v>
      </c>
    </row>
    <row r="299">
      <c r="A299" s="295" t="s">
        <v>2298</v>
      </c>
      <c r="B299" s="298">
        <v>2.0</v>
      </c>
      <c r="C299" s="298" t="s">
        <v>288</v>
      </c>
      <c r="D299" s="298" t="s">
        <v>462</v>
      </c>
      <c r="E299" s="298" t="s">
        <v>311</v>
      </c>
      <c r="F299" s="298" t="str">
        <f>'Character Sheet'!$C$9</f>
        <v/>
      </c>
      <c r="G299" s="298" t="s">
        <v>294</v>
      </c>
      <c r="H299" s="298" t="s">
        <v>335</v>
      </c>
      <c r="I299" s="298" t="s">
        <v>2299</v>
      </c>
      <c r="J299" s="298" t="s">
        <v>315</v>
      </c>
      <c r="K299" s="298" t="s">
        <v>675</v>
      </c>
      <c r="L299" s="298" t="s">
        <v>493</v>
      </c>
      <c r="M299" s="301" t="s">
        <v>315</v>
      </c>
      <c r="N299" s="301" t="s">
        <v>2301</v>
      </c>
      <c r="O299" s="301" t="s">
        <v>2301</v>
      </c>
      <c r="P299" s="301" t="s">
        <v>2301</v>
      </c>
      <c r="Q299" s="301" t="s">
        <v>2301</v>
      </c>
      <c r="R299" s="301" t="s">
        <v>2301</v>
      </c>
      <c r="S299" s="301" t="s">
        <v>2301</v>
      </c>
      <c r="T299" s="301" t="s">
        <v>2301</v>
      </c>
      <c r="U299" s="301" t="s">
        <v>2301</v>
      </c>
      <c r="V299" s="301" t="s">
        <v>2301</v>
      </c>
      <c r="W299" s="298" t="s">
        <v>305</v>
      </c>
      <c r="X299" s="298" t="s">
        <v>318</v>
      </c>
    </row>
    <row r="300">
      <c r="A300" s="295" t="s">
        <v>2302</v>
      </c>
      <c r="B300" s="298">
        <v>2.0</v>
      </c>
      <c r="C300" s="298" t="s">
        <v>288</v>
      </c>
      <c r="D300" s="298" t="s">
        <v>334</v>
      </c>
      <c r="E300" s="298" t="s">
        <v>311</v>
      </c>
      <c r="F300" s="298" t="str">
        <f>'Character Sheet'!$C$9</f>
        <v/>
      </c>
      <c r="G300" s="298" t="s">
        <v>294</v>
      </c>
      <c r="H300" s="298" t="s">
        <v>324</v>
      </c>
      <c r="I300" s="298" t="s">
        <v>2304</v>
      </c>
      <c r="J300" s="298" t="s">
        <v>173</v>
      </c>
      <c r="K300" s="298" t="s">
        <v>632</v>
      </c>
      <c r="L300" s="298" t="s">
        <v>493</v>
      </c>
      <c r="M300" s="301" t="s">
        <v>315</v>
      </c>
      <c r="N300" s="301" t="s">
        <v>2305</v>
      </c>
      <c r="O300" s="301" t="s">
        <v>2305</v>
      </c>
      <c r="P300" s="301" t="s">
        <v>2305</v>
      </c>
      <c r="Q300" s="301" t="s">
        <v>2305</v>
      </c>
      <c r="R300" s="301" t="s">
        <v>2305</v>
      </c>
      <c r="S300" s="301" t="s">
        <v>2305</v>
      </c>
      <c r="T300" s="301" t="s">
        <v>2305</v>
      </c>
      <c r="U300" s="301" t="s">
        <v>2305</v>
      </c>
      <c r="V300" s="301" t="s">
        <v>2305</v>
      </c>
      <c r="W300" s="298" t="s">
        <v>483</v>
      </c>
      <c r="X300" s="298" t="s">
        <v>678</v>
      </c>
    </row>
    <row r="301">
      <c r="A301" s="295" t="s">
        <v>2306</v>
      </c>
      <c r="B301" s="298">
        <v>2.0</v>
      </c>
      <c r="C301" s="298" t="s">
        <v>288</v>
      </c>
      <c r="D301" s="298" t="s">
        <v>359</v>
      </c>
      <c r="E301" s="298" t="s">
        <v>290</v>
      </c>
      <c r="F301" s="298" t="str">
        <f>'Character Sheet'!$C$9</f>
        <v/>
      </c>
      <c r="G301" s="298" t="s">
        <v>294</v>
      </c>
      <c r="H301" s="298" t="s">
        <v>335</v>
      </c>
      <c r="I301" s="298" t="s">
        <v>296</v>
      </c>
      <c r="J301" s="298" t="s">
        <v>315</v>
      </c>
      <c r="K301" s="298" t="s">
        <v>298</v>
      </c>
      <c r="L301" s="298" t="s">
        <v>493</v>
      </c>
      <c r="M301" s="301" t="s">
        <v>315</v>
      </c>
      <c r="N301" s="301" t="s">
        <v>2308</v>
      </c>
      <c r="O301" s="301" t="s">
        <v>2308</v>
      </c>
      <c r="P301" s="301" t="s">
        <v>2308</v>
      </c>
      <c r="Q301" s="301" t="s">
        <v>2308</v>
      </c>
      <c r="R301" s="301" t="s">
        <v>2309</v>
      </c>
      <c r="S301" s="301" t="s">
        <v>2309</v>
      </c>
      <c r="T301" s="301" t="s">
        <v>2309</v>
      </c>
      <c r="U301" s="301" t="s">
        <v>2309</v>
      </c>
      <c r="V301" s="301" t="s">
        <v>2309</v>
      </c>
      <c r="W301" s="298" t="s">
        <v>483</v>
      </c>
      <c r="X301" s="298" t="s">
        <v>306</v>
      </c>
    </row>
    <row r="302">
      <c r="A302" s="295" t="s">
        <v>2311</v>
      </c>
      <c r="B302" s="298">
        <v>2.0</v>
      </c>
      <c r="C302" s="298" t="s">
        <v>288</v>
      </c>
      <c r="D302" s="298" t="s">
        <v>334</v>
      </c>
      <c r="E302" s="298" t="s">
        <v>290</v>
      </c>
      <c r="F302" s="298" t="str">
        <f>'Character Sheet'!$C$9</f>
        <v/>
      </c>
      <c r="G302" s="298" t="s">
        <v>294</v>
      </c>
      <c r="H302" s="298" t="s">
        <v>335</v>
      </c>
      <c r="I302" s="298" t="s">
        <v>296</v>
      </c>
      <c r="J302" s="298" t="s">
        <v>315</v>
      </c>
      <c r="K302" s="298" t="s">
        <v>298</v>
      </c>
      <c r="L302" s="298" t="s">
        <v>493</v>
      </c>
      <c r="M302" s="301" t="s">
        <v>315</v>
      </c>
      <c r="N302" s="301" t="s">
        <v>2313</v>
      </c>
      <c r="O302" s="301" t="s">
        <v>2313</v>
      </c>
      <c r="P302" s="301" t="s">
        <v>2313</v>
      </c>
      <c r="Q302" s="301" t="s">
        <v>2313</v>
      </c>
      <c r="R302" s="301" t="s">
        <v>2315</v>
      </c>
      <c r="S302" s="301" t="s">
        <v>2315</v>
      </c>
      <c r="T302" s="301" t="s">
        <v>2315</v>
      </c>
      <c r="U302" s="301" t="s">
        <v>2315</v>
      </c>
      <c r="V302" s="301" t="s">
        <v>2315</v>
      </c>
      <c r="W302" s="298" t="s">
        <v>483</v>
      </c>
      <c r="X302" s="298" t="s">
        <v>306</v>
      </c>
    </row>
    <row r="303">
      <c r="A303" s="295" t="s">
        <v>2316</v>
      </c>
      <c r="B303" s="298">
        <v>2.0</v>
      </c>
      <c r="C303" s="298" t="s">
        <v>288</v>
      </c>
      <c r="D303" s="298" t="s">
        <v>421</v>
      </c>
      <c r="E303" s="298" t="s">
        <v>290</v>
      </c>
      <c r="F303" s="298" t="str">
        <f>'Character Sheet'!$C$9</f>
        <v/>
      </c>
      <c r="G303" s="298" t="s">
        <v>294</v>
      </c>
      <c r="H303" s="298" t="s">
        <v>335</v>
      </c>
      <c r="I303" s="298" t="s">
        <v>296</v>
      </c>
      <c r="J303" s="298" t="s">
        <v>315</v>
      </c>
      <c r="K303" s="298" t="s">
        <v>325</v>
      </c>
      <c r="L303" s="298" t="s">
        <v>493</v>
      </c>
      <c r="M303" s="301" t="s">
        <v>315</v>
      </c>
      <c r="N303" s="301" t="s">
        <v>2317</v>
      </c>
      <c r="O303" s="301" t="s">
        <v>2317</v>
      </c>
      <c r="P303" s="301" t="s">
        <v>2319</v>
      </c>
      <c r="Q303" s="301" t="s">
        <v>2319</v>
      </c>
      <c r="R303" s="301" t="s">
        <v>2319</v>
      </c>
      <c r="S303" s="301" t="s">
        <v>2320</v>
      </c>
      <c r="T303" s="301" t="s">
        <v>2320</v>
      </c>
      <c r="U303" s="301" t="s">
        <v>2320</v>
      </c>
      <c r="V303" s="301" t="s">
        <v>2320</v>
      </c>
      <c r="W303" s="298" t="s">
        <v>317</v>
      </c>
      <c r="X303" s="298" t="s">
        <v>306</v>
      </c>
    </row>
    <row r="304">
      <c r="A304" s="295" t="s">
        <v>2321</v>
      </c>
      <c r="B304" s="298">
        <v>2.0</v>
      </c>
      <c r="C304" s="298" t="s">
        <v>288</v>
      </c>
      <c r="D304" s="298" t="s">
        <v>334</v>
      </c>
      <c r="E304" s="298" t="s">
        <v>290</v>
      </c>
      <c r="F304" s="298" t="s">
        <v>625</v>
      </c>
      <c r="G304" s="298" t="s">
        <v>294</v>
      </c>
      <c r="H304" s="298" t="s">
        <v>335</v>
      </c>
      <c r="I304" s="298" t="s">
        <v>296</v>
      </c>
      <c r="J304" s="298" t="s">
        <v>315</v>
      </c>
      <c r="K304" s="298" t="s">
        <v>298</v>
      </c>
      <c r="L304" s="298" t="s">
        <v>493</v>
      </c>
      <c r="M304" s="301" t="s">
        <v>315</v>
      </c>
      <c r="N304" s="301" t="s">
        <v>2322</v>
      </c>
      <c r="O304" s="301" t="s">
        <v>2322</v>
      </c>
      <c r="P304" s="301" t="s">
        <v>2323</v>
      </c>
      <c r="Q304" s="301" t="s">
        <v>2323</v>
      </c>
      <c r="R304" s="301" t="s">
        <v>2325</v>
      </c>
      <c r="S304" s="301" t="s">
        <v>2325</v>
      </c>
      <c r="T304" s="301" t="s">
        <v>2325</v>
      </c>
      <c r="U304" s="301" t="s">
        <v>2325</v>
      </c>
      <c r="V304" s="301" t="s">
        <v>2325</v>
      </c>
      <c r="W304" s="298" t="s">
        <v>483</v>
      </c>
      <c r="X304" s="298" t="s">
        <v>306</v>
      </c>
    </row>
    <row r="305">
      <c r="A305" s="295" t="s">
        <v>2326</v>
      </c>
      <c r="B305" s="298">
        <v>2.0</v>
      </c>
      <c r="C305" s="298" t="s">
        <v>288</v>
      </c>
      <c r="D305" s="298" t="s">
        <v>334</v>
      </c>
      <c r="E305" s="298" t="s">
        <v>290</v>
      </c>
      <c r="F305" s="298" t="str">
        <f>'Character Sheet'!$C$9</f>
        <v/>
      </c>
      <c r="G305" s="298" t="s">
        <v>294</v>
      </c>
      <c r="H305" s="298" t="s">
        <v>335</v>
      </c>
      <c r="I305" s="298" t="s">
        <v>296</v>
      </c>
      <c r="J305" s="298" t="s">
        <v>315</v>
      </c>
      <c r="K305" s="298" t="s">
        <v>298</v>
      </c>
      <c r="L305" s="298" t="s">
        <v>493</v>
      </c>
      <c r="M305" s="301" t="s">
        <v>315</v>
      </c>
      <c r="N305" s="301" t="s">
        <v>2327</v>
      </c>
      <c r="O305" s="301" t="s">
        <v>2327</v>
      </c>
      <c r="P305" s="301" t="s">
        <v>2327</v>
      </c>
      <c r="Q305" s="301" t="s">
        <v>2327</v>
      </c>
      <c r="R305" s="301" t="s">
        <v>2328</v>
      </c>
      <c r="S305" s="301" t="s">
        <v>2328</v>
      </c>
      <c r="T305" s="301" t="s">
        <v>2328</v>
      </c>
      <c r="U305" s="301" t="s">
        <v>2328</v>
      </c>
      <c r="V305" s="301" t="s">
        <v>2328</v>
      </c>
      <c r="W305" s="298" t="s">
        <v>483</v>
      </c>
      <c r="X305" s="298" t="s">
        <v>306</v>
      </c>
    </row>
    <row r="306">
      <c r="A306" s="295" t="s">
        <v>2330</v>
      </c>
      <c r="B306" s="298">
        <v>2.0</v>
      </c>
      <c r="C306" s="298" t="s">
        <v>522</v>
      </c>
      <c r="D306" s="298" t="s">
        <v>289</v>
      </c>
      <c r="E306" s="298" t="s">
        <v>290</v>
      </c>
      <c r="F306" s="298" t="str">
        <f>'Character Sheet'!$C$9</f>
        <v/>
      </c>
      <c r="G306" s="298" t="s">
        <v>294</v>
      </c>
      <c r="H306" s="298" t="s">
        <v>360</v>
      </c>
      <c r="I306" s="298" t="s">
        <v>1379</v>
      </c>
      <c r="J306" s="298" t="s">
        <v>407</v>
      </c>
      <c r="K306" s="298" t="s">
        <v>632</v>
      </c>
      <c r="L306" s="298" t="s">
        <v>493</v>
      </c>
      <c r="M306" s="301" t="s">
        <v>315</v>
      </c>
      <c r="N306" s="301" t="s">
        <v>2331</v>
      </c>
      <c r="O306" s="301" t="s">
        <v>2331</v>
      </c>
      <c r="P306" s="301" t="s">
        <v>2331</v>
      </c>
      <c r="Q306" s="301" t="s">
        <v>2332</v>
      </c>
      <c r="R306" s="301" t="s">
        <v>2332</v>
      </c>
      <c r="S306" s="301" t="s">
        <v>2332</v>
      </c>
      <c r="T306" s="301" t="s">
        <v>2333</v>
      </c>
      <c r="U306" s="301" t="s">
        <v>2333</v>
      </c>
      <c r="V306" s="301" t="s">
        <v>2333</v>
      </c>
      <c r="W306" s="298" t="s">
        <v>305</v>
      </c>
      <c r="X306" s="298" t="s">
        <v>1457</v>
      </c>
    </row>
    <row r="307">
      <c r="A307" s="295" t="s">
        <v>2334</v>
      </c>
      <c r="B307" s="298">
        <v>2.0</v>
      </c>
      <c r="C307" s="298" t="s">
        <v>288</v>
      </c>
      <c r="D307" s="298" t="s">
        <v>289</v>
      </c>
      <c r="E307" s="298" t="s">
        <v>290</v>
      </c>
      <c r="F307" s="298" t="str">
        <f>'Character Sheet'!$N$9</f>
        <v/>
      </c>
      <c r="G307" s="298" t="s">
        <v>294</v>
      </c>
      <c r="H307" s="298" t="s">
        <v>360</v>
      </c>
      <c r="I307" s="298" t="s">
        <v>2336</v>
      </c>
      <c r="J307" s="298" t="s">
        <v>203</v>
      </c>
      <c r="K307" s="298" t="s">
        <v>298</v>
      </c>
      <c r="L307" s="298" t="s">
        <v>493</v>
      </c>
      <c r="M307" s="301" t="s">
        <v>315</v>
      </c>
      <c r="N307" s="301" t="s">
        <v>2337</v>
      </c>
      <c r="O307" s="301" t="s">
        <v>2338</v>
      </c>
      <c r="P307" s="301" t="s">
        <v>2339</v>
      </c>
      <c r="Q307" s="301" t="s">
        <v>2340</v>
      </c>
      <c r="R307" s="301" t="s">
        <v>2341</v>
      </c>
      <c r="S307" s="301" t="s">
        <v>2342</v>
      </c>
      <c r="T307" s="301" t="s">
        <v>2343</v>
      </c>
      <c r="U307" s="301" t="s">
        <v>2344</v>
      </c>
      <c r="V307" s="301" t="s">
        <v>2345</v>
      </c>
      <c r="W307" s="298" t="s">
        <v>305</v>
      </c>
      <c r="X307" s="298" t="s">
        <v>318</v>
      </c>
    </row>
    <row r="308">
      <c r="A308" s="295" t="s">
        <v>2346</v>
      </c>
      <c r="B308" s="298">
        <v>2.0</v>
      </c>
      <c r="C308" s="298" t="s">
        <v>522</v>
      </c>
      <c r="D308" s="298" t="s">
        <v>289</v>
      </c>
      <c r="E308" s="298" t="s">
        <v>311</v>
      </c>
      <c r="F308" s="298" t="str">
        <f>'Character Sheet'!$C$9</f>
        <v/>
      </c>
      <c r="G308" s="298" t="s">
        <v>294</v>
      </c>
      <c r="H308" s="298" t="s">
        <v>324</v>
      </c>
      <c r="I308" s="298" t="s">
        <v>1174</v>
      </c>
      <c r="J308" s="298" t="s">
        <v>173</v>
      </c>
      <c r="K308" s="298" t="s">
        <v>2349</v>
      </c>
      <c r="L308" s="298" t="s">
        <v>493</v>
      </c>
      <c r="M308" s="301" t="s">
        <v>315</v>
      </c>
      <c r="N308" s="301" t="s">
        <v>2350</v>
      </c>
      <c r="O308" s="301" t="s">
        <v>2350</v>
      </c>
      <c r="P308" s="301" t="s">
        <v>2350</v>
      </c>
      <c r="Q308" s="301" t="s">
        <v>2350</v>
      </c>
      <c r="R308" s="301" t="s">
        <v>2350</v>
      </c>
      <c r="S308" s="301" t="s">
        <v>2350</v>
      </c>
      <c r="T308" s="301" t="s">
        <v>2350</v>
      </c>
      <c r="U308" s="301" t="s">
        <v>2350</v>
      </c>
      <c r="V308" s="301" t="s">
        <v>2350</v>
      </c>
      <c r="W308" s="298" t="s">
        <v>305</v>
      </c>
      <c r="X308" s="298" t="s">
        <v>1457</v>
      </c>
    </row>
    <row r="309">
      <c r="A309" s="295" t="s">
        <v>2351</v>
      </c>
      <c r="B309" s="298">
        <v>2.0</v>
      </c>
      <c r="C309" s="298" t="s">
        <v>288</v>
      </c>
      <c r="D309" s="298" t="s">
        <v>310</v>
      </c>
      <c r="E309" s="298" t="s">
        <v>290</v>
      </c>
      <c r="F309" s="298" t="str">
        <f>'Character Sheet'!$C$9</f>
        <v/>
      </c>
      <c r="G309" s="298" t="s">
        <v>294</v>
      </c>
      <c r="H309" s="298" t="s">
        <v>324</v>
      </c>
      <c r="I309" s="298" t="s">
        <v>324</v>
      </c>
      <c r="J309" s="298" t="s">
        <v>315</v>
      </c>
      <c r="K309" s="298" t="s">
        <v>325</v>
      </c>
      <c r="L309" s="298" t="s">
        <v>493</v>
      </c>
      <c r="M309" s="301" t="s">
        <v>315</v>
      </c>
      <c r="N309" s="301" t="s">
        <v>2353</v>
      </c>
      <c r="O309" s="301" t="s">
        <v>2353</v>
      </c>
      <c r="P309" s="301" t="s">
        <v>2353</v>
      </c>
      <c r="Q309" s="301" t="s">
        <v>2354</v>
      </c>
      <c r="R309" s="301" t="s">
        <v>2354</v>
      </c>
      <c r="S309" s="301" t="s">
        <v>2354</v>
      </c>
      <c r="T309" s="301" t="s">
        <v>2354</v>
      </c>
      <c r="U309" s="301" t="s">
        <v>2354</v>
      </c>
      <c r="V309" s="301" t="s">
        <v>2354</v>
      </c>
      <c r="W309" s="298" t="s">
        <v>331</v>
      </c>
      <c r="X309" s="298" t="s">
        <v>306</v>
      </c>
    </row>
    <row r="310">
      <c r="A310" s="295" t="s">
        <v>2356</v>
      </c>
      <c r="B310" s="298">
        <v>2.0</v>
      </c>
      <c r="C310" s="298" t="s">
        <v>522</v>
      </c>
      <c r="D310" s="298" t="s">
        <v>334</v>
      </c>
      <c r="E310" s="298" t="s">
        <v>290</v>
      </c>
      <c r="F310" s="298" t="str">
        <f>'Character Sheet'!$C$9</f>
        <v/>
      </c>
      <c r="G310" s="298" t="s">
        <v>294</v>
      </c>
      <c r="H310" s="298" t="s">
        <v>295</v>
      </c>
      <c r="I310" s="298" t="s">
        <v>2358</v>
      </c>
      <c r="J310" s="298" t="s">
        <v>192</v>
      </c>
      <c r="K310" s="298" t="s">
        <v>1174</v>
      </c>
      <c r="L310" s="298" t="s">
        <v>493</v>
      </c>
      <c r="M310" s="301" t="s">
        <v>315</v>
      </c>
      <c r="N310" s="301" t="s">
        <v>2359</v>
      </c>
      <c r="O310" s="301" t="s">
        <v>2359</v>
      </c>
      <c r="P310" s="301" t="s">
        <v>2360</v>
      </c>
      <c r="Q310" s="301" t="s">
        <v>2360</v>
      </c>
      <c r="R310" s="301" t="s">
        <v>2360</v>
      </c>
      <c r="S310" s="301" t="s">
        <v>2360</v>
      </c>
      <c r="T310" s="301" t="s">
        <v>2360</v>
      </c>
      <c r="U310" s="301" t="s">
        <v>2360</v>
      </c>
      <c r="V310" s="301" t="s">
        <v>2360</v>
      </c>
      <c r="W310" s="298" t="s">
        <v>331</v>
      </c>
      <c r="X310" s="298" t="s">
        <v>2136</v>
      </c>
    </row>
    <row r="311">
      <c r="A311" s="295" t="s">
        <v>2361</v>
      </c>
      <c r="B311" s="298">
        <v>2.0</v>
      </c>
      <c r="C311" s="298" t="s">
        <v>288</v>
      </c>
      <c r="D311" s="298" t="s">
        <v>462</v>
      </c>
      <c r="E311" s="298" t="s">
        <v>311</v>
      </c>
      <c r="F311" s="298" t="str">
        <f>'Character Sheet'!$C$9</f>
        <v/>
      </c>
      <c r="G311" s="298" t="s">
        <v>294</v>
      </c>
      <c r="H311" s="298" t="s">
        <v>335</v>
      </c>
      <c r="I311" s="298" t="s">
        <v>2363</v>
      </c>
      <c r="J311" s="298" t="s">
        <v>315</v>
      </c>
      <c r="K311" s="298" t="s">
        <v>298</v>
      </c>
      <c r="L311" s="298" t="s">
        <v>493</v>
      </c>
      <c r="M311" s="301" t="s">
        <v>315</v>
      </c>
      <c r="N311" s="301" t="s">
        <v>2364</v>
      </c>
      <c r="O311" s="301" t="s">
        <v>2364</v>
      </c>
      <c r="P311" s="301" t="s">
        <v>2364</v>
      </c>
      <c r="Q311" s="301" t="s">
        <v>2364</v>
      </c>
      <c r="R311" s="301" t="s">
        <v>2364</v>
      </c>
      <c r="S311" s="301" t="s">
        <v>2364</v>
      </c>
      <c r="T311" s="301" t="s">
        <v>2364</v>
      </c>
      <c r="U311" s="301" t="s">
        <v>2364</v>
      </c>
      <c r="V311" s="301" t="s">
        <v>2364</v>
      </c>
      <c r="W311" s="298" t="s">
        <v>499</v>
      </c>
      <c r="X311" s="298" t="s">
        <v>306</v>
      </c>
    </row>
    <row r="312">
      <c r="A312" s="295" t="s">
        <v>2366</v>
      </c>
      <c r="B312" s="298">
        <v>2.0</v>
      </c>
      <c r="C312" s="298" t="s">
        <v>288</v>
      </c>
      <c r="D312" s="298" t="s">
        <v>289</v>
      </c>
      <c r="E312" s="298" t="s">
        <v>290</v>
      </c>
      <c r="F312" s="298" t="str">
        <f>'Character Sheet'!$C$9</f>
        <v/>
      </c>
      <c r="G312" s="298" t="s">
        <v>294</v>
      </c>
      <c r="H312" s="298" t="s">
        <v>295</v>
      </c>
      <c r="I312" s="298" t="s">
        <v>2367</v>
      </c>
      <c r="J312" s="298" t="s">
        <v>315</v>
      </c>
      <c r="K312" s="298" t="s">
        <v>298</v>
      </c>
      <c r="L312" s="298" t="s">
        <v>493</v>
      </c>
      <c r="M312" s="301" t="s">
        <v>315</v>
      </c>
      <c r="N312" s="301" t="s">
        <v>2368</v>
      </c>
      <c r="O312" s="301" t="s">
        <v>2370</v>
      </c>
      <c r="P312" s="301" t="s">
        <v>2371</v>
      </c>
      <c r="Q312" s="301" t="s">
        <v>2372</v>
      </c>
      <c r="R312" s="301" t="s">
        <v>2373</v>
      </c>
      <c r="S312" s="301" t="s">
        <v>2374</v>
      </c>
      <c r="T312" s="301" t="s">
        <v>2375</v>
      </c>
      <c r="U312" s="301" t="s">
        <v>2376</v>
      </c>
      <c r="V312" s="301" t="s">
        <v>2377</v>
      </c>
      <c r="W312" s="298" t="s">
        <v>684</v>
      </c>
      <c r="X312" s="298" t="s">
        <v>306</v>
      </c>
    </row>
    <row r="313">
      <c r="A313" s="295" t="s">
        <v>2378</v>
      </c>
      <c r="B313" s="298">
        <v>2.0</v>
      </c>
      <c r="C313" s="298" t="s">
        <v>288</v>
      </c>
      <c r="D313" s="298" t="s">
        <v>334</v>
      </c>
      <c r="E313" s="298" t="s">
        <v>311</v>
      </c>
      <c r="F313" s="298" t="str">
        <f>'Character Sheet'!$C$9</f>
        <v/>
      </c>
      <c r="G313" s="298" t="s">
        <v>294</v>
      </c>
      <c r="H313" s="298" t="s">
        <v>295</v>
      </c>
      <c r="I313" s="298" t="s">
        <v>296</v>
      </c>
      <c r="J313" s="298" t="s">
        <v>315</v>
      </c>
      <c r="K313" s="298" t="s">
        <v>325</v>
      </c>
      <c r="L313" s="298" t="s">
        <v>493</v>
      </c>
      <c r="M313" s="301" t="s">
        <v>315</v>
      </c>
      <c r="N313" s="301" t="s">
        <v>2379</v>
      </c>
      <c r="O313" s="301" t="s">
        <v>2379</v>
      </c>
      <c r="P313" s="301" t="s">
        <v>2379</v>
      </c>
      <c r="Q313" s="301" t="s">
        <v>2379</v>
      </c>
      <c r="R313" s="301" t="s">
        <v>2379</v>
      </c>
      <c r="S313" s="301" t="s">
        <v>2379</v>
      </c>
      <c r="T313" s="301" t="s">
        <v>2379</v>
      </c>
      <c r="U313" s="301" t="s">
        <v>2379</v>
      </c>
      <c r="V313" s="301" t="s">
        <v>2379</v>
      </c>
      <c r="W313" s="298" t="s">
        <v>404</v>
      </c>
      <c r="X313" s="298" t="s">
        <v>306</v>
      </c>
    </row>
    <row r="314">
      <c r="A314" s="295" t="s">
        <v>2380</v>
      </c>
      <c r="B314" s="298">
        <v>2.0</v>
      </c>
      <c r="C314" s="298" t="s">
        <v>288</v>
      </c>
      <c r="D314" s="298" t="s">
        <v>462</v>
      </c>
      <c r="E314" s="298" t="s">
        <v>290</v>
      </c>
      <c r="F314" s="298" t="str">
        <f>'Character Sheet'!$C$9</f>
        <v/>
      </c>
      <c r="G314" s="298" t="s">
        <v>294</v>
      </c>
      <c r="H314" s="298" t="s">
        <v>295</v>
      </c>
      <c r="I314" s="298" t="s">
        <v>780</v>
      </c>
      <c r="J314" s="298" t="s">
        <v>315</v>
      </c>
      <c r="K314" s="298" t="s">
        <v>1990</v>
      </c>
      <c r="L314" s="298" t="s">
        <v>493</v>
      </c>
      <c r="M314" s="301" t="s">
        <v>315</v>
      </c>
      <c r="N314" s="301" t="s">
        <v>2382</v>
      </c>
      <c r="O314" s="301" t="s">
        <v>2382</v>
      </c>
      <c r="P314" s="301" t="s">
        <v>2382</v>
      </c>
      <c r="Q314" s="301" t="s">
        <v>2382</v>
      </c>
      <c r="R314" s="301" t="s">
        <v>2383</v>
      </c>
      <c r="S314" s="301" t="s">
        <v>2383</v>
      </c>
      <c r="T314" s="301" t="s">
        <v>2383</v>
      </c>
      <c r="U314" s="301" t="s">
        <v>2383</v>
      </c>
      <c r="V314" s="301" t="s">
        <v>2383</v>
      </c>
      <c r="W314" s="298" t="s">
        <v>305</v>
      </c>
      <c r="X314" s="298" t="s">
        <v>306</v>
      </c>
    </row>
    <row r="315">
      <c r="A315" s="295" t="s">
        <v>2384</v>
      </c>
      <c r="B315" s="298">
        <v>2.0</v>
      </c>
      <c r="C315" s="298" t="s">
        <v>288</v>
      </c>
      <c r="D315" s="298" t="s">
        <v>321</v>
      </c>
      <c r="E315" s="298" t="s">
        <v>290</v>
      </c>
      <c r="F315" s="298" t="str">
        <f>'Character Sheet'!$C$9</f>
        <v/>
      </c>
      <c r="G315" s="298" t="s">
        <v>2188</v>
      </c>
      <c r="H315" s="298" t="s">
        <v>335</v>
      </c>
      <c r="I315" s="298" t="s">
        <v>780</v>
      </c>
      <c r="J315" s="298" t="s">
        <v>315</v>
      </c>
      <c r="K315" s="298" t="s">
        <v>632</v>
      </c>
      <c r="L315" s="298" t="s">
        <v>493</v>
      </c>
      <c r="M315" s="301" t="s">
        <v>315</v>
      </c>
      <c r="N315" s="301" t="s">
        <v>2386</v>
      </c>
      <c r="O315" s="301" t="s">
        <v>2386</v>
      </c>
      <c r="P315" s="301" t="s">
        <v>2387</v>
      </c>
      <c r="Q315" s="301" t="s">
        <v>2387</v>
      </c>
      <c r="R315" s="301" t="s">
        <v>2387</v>
      </c>
      <c r="S315" s="301" t="s">
        <v>2387</v>
      </c>
      <c r="T315" s="301" t="s">
        <v>2387</v>
      </c>
      <c r="U315" s="301" t="s">
        <v>2387</v>
      </c>
      <c r="V315" s="301" t="s">
        <v>2387</v>
      </c>
      <c r="W315" s="298" t="s">
        <v>429</v>
      </c>
      <c r="X315" s="298" t="s">
        <v>306</v>
      </c>
    </row>
    <row r="316">
      <c r="A316" s="295" t="s">
        <v>2389</v>
      </c>
      <c r="B316" s="298">
        <v>2.0</v>
      </c>
      <c r="C316" s="298" t="s">
        <v>288</v>
      </c>
      <c r="D316" s="298" t="s">
        <v>334</v>
      </c>
      <c r="E316" s="298" t="s">
        <v>311</v>
      </c>
      <c r="F316" s="298" t="str">
        <f>'Character Sheet'!$C$9</f>
        <v/>
      </c>
      <c r="G316" s="298" t="s">
        <v>294</v>
      </c>
      <c r="H316" s="298" t="s">
        <v>324</v>
      </c>
      <c r="I316" s="298" t="s">
        <v>324</v>
      </c>
      <c r="J316" s="298" t="s">
        <v>315</v>
      </c>
      <c r="K316" s="298" t="s">
        <v>675</v>
      </c>
      <c r="L316" s="298" t="s">
        <v>493</v>
      </c>
      <c r="M316" s="301" t="s">
        <v>315</v>
      </c>
      <c r="N316" s="301" t="s">
        <v>2391</v>
      </c>
      <c r="O316" s="301" t="s">
        <v>2391</v>
      </c>
      <c r="P316" s="301" t="s">
        <v>2391</v>
      </c>
      <c r="Q316" s="301" t="s">
        <v>2391</v>
      </c>
      <c r="R316" s="301" t="s">
        <v>2391</v>
      </c>
      <c r="S316" s="301" t="s">
        <v>2391</v>
      </c>
      <c r="T316" s="301" t="s">
        <v>2391</v>
      </c>
      <c r="U316" s="301" t="s">
        <v>2391</v>
      </c>
      <c r="V316" s="301" t="s">
        <v>2391</v>
      </c>
      <c r="W316" s="298" t="s">
        <v>305</v>
      </c>
      <c r="X316" s="298" t="s">
        <v>966</v>
      </c>
    </row>
    <row r="317">
      <c r="A317" s="295" t="s">
        <v>2393</v>
      </c>
      <c r="B317" s="298">
        <v>2.0</v>
      </c>
      <c r="C317" s="298" t="s">
        <v>288</v>
      </c>
      <c r="D317" s="298" t="s">
        <v>151</v>
      </c>
      <c r="E317" s="298" t="s">
        <v>311</v>
      </c>
      <c r="F317" s="298" t="str">
        <f>'Character Sheet'!$C$9</f>
        <v/>
      </c>
      <c r="G317" s="298" t="s">
        <v>294</v>
      </c>
      <c r="H317" s="298" t="s">
        <v>324</v>
      </c>
      <c r="I317" s="298" t="s">
        <v>1200</v>
      </c>
      <c r="J317" s="298" t="s">
        <v>315</v>
      </c>
      <c r="K317" s="298" t="s">
        <v>353</v>
      </c>
      <c r="L317" s="298" t="s">
        <v>493</v>
      </c>
      <c r="M317" s="301" t="s">
        <v>315</v>
      </c>
      <c r="N317" s="301" t="s">
        <v>2394</v>
      </c>
      <c r="O317" s="301" t="s">
        <v>2394</v>
      </c>
      <c r="P317" s="301" t="s">
        <v>2394</v>
      </c>
      <c r="Q317" s="301" t="s">
        <v>2394</v>
      </c>
      <c r="R317" s="301" t="s">
        <v>2394</v>
      </c>
      <c r="S317" s="301" t="s">
        <v>2394</v>
      </c>
      <c r="T317" s="301" t="s">
        <v>2394</v>
      </c>
      <c r="U317" s="301" t="s">
        <v>2394</v>
      </c>
      <c r="V317" s="301" t="s">
        <v>2394</v>
      </c>
      <c r="W317" s="298" t="s">
        <v>536</v>
      </c>
      <c r="X317" s="298" t="s">
        <v>318</v>
      </c>
    </row>
    <row r="318">
      <c r="A318" s="295" t="s">
        <v>2396</v>
      </c>
      <c r="B318" s="298">
        <v>2.0</v>
      </c>
      <c r="C318" s="298" t="s">
        <v>288</v>
      </c>
      <c r="D318" s="298" t="s">
        <v>289</v>
      </c>
      <c r="E318" s="298" t="s">
        <v>290</v>
      </c>
      <c r="F318" s="298" t="str">
        <f>'Character Sheet'!$C$9</f>
        <v/>
      </c>
      <c r="G318" s="298" t="s">
        <v>294</v>
      </c>
      <c r="H318" s="298" t="s">
        <v>295</v>
      </c>
      <c r="I318" s="298" t="s">
        <v>1413</v>
      </c>
      <c r="J318" s="298" t="s">
        <v>173</v>
      </c>
      <c r="K318" s="298" t="s">
        <v>298</v>
      </c>
      <c r="L318" s="298" t="s">
        <v>493</v>
      </c>
      <c r="M318" s="301" t="s">
        <v>315</v>
      </c>
      <c r="N318" s="301" t="s">
        <v>2398</v>
      </c>
      <c r="O318" s="301" t="s">
        <v>2399</v>
      </c>
      <c r="P318" s="301" t="s">
        <v>2400</v>
      </c>
      <c r="Q318" s="301" t="s">
        <v>2401</v>
      </c>
      <c r="R318" s="301" t="s">
        <v>2402</v>
      </c>
      <c r="S318" s="301" t="s">
        <v>2403</v>
      </c>
      <c r="T318" s="301" t="s">
        <v>2404</v>
      </c>
      <c r="U318" s="301" t="s">
        <v>2405</v>
      </c>
      <c r="V318" s="301" t="s">
        <v>2406</v>
      </c>
      <c r="W318" s="298" t="s">
        <v>429</v>
      </c>
      <c r="X318" s="298" t="s">
        <v>306</v>
      </c>
    </row>
    <row r="319">
      <c r="A319" s="295" t="s">
        <v>2407</v>
      </c>
      <c r="B319" s="298">
        <v>2.0</v>
      </c>
      <c r="C319" s="298" t="s">
        <v>288</v>
      </c>
      <c r="D319" s="298" t="s">
        <v>310</v>
      </c>
      <c r="E319" s="298" t="s">
        <v>311</v>
      </c>
      <c r="F319" s="298" t="str">
        <f>'Character Sheet'!$C$9</f>
        <v/>
      </c>
      <c r="G319" s="298" t="s">
        <v>294</v>
      </c>
      <c r="H319" s="298" t="s">
        <v>324</v>
      </c>
      <c r="I319" s="298" t="s">
        <v>324</v>
      </c>
      <c r="J319" s="298" t="s">
        <v>315</v>
      </c>
      <c r="K319" s="298" t="s">
        <v>325</v>
      </c>
      <c r="L319" s="298" t="s">
        <v>493</v>
      </c>
      <c r="M319" s="301" t="s">
        <v>315</v>
      </c>
      <c r="N319" s="301" t="s">
        <v>2408</v>
      </c>
      <c r="O319" s="301" t="s">
        <v>2408</v>
      </c>
      <c r="P319" s="301" t="s">
        <v>2408</v>
      </c>
      <c r="Q319" s="301" t="s">
        <v>2408</v>
      </c>
      <c r="R319" s="301" t="s">
        <v>2408</v>
      </c>
      <c r="S319" s="301" t="s">
        <v>2408</v>
      </c>
      <c r="T319" s="301" t="s">
        <v>2408</v>
      </c>
      <c r="U319" s="301" t="s">
        <v>2408</v>
      </c>
      <c r="V319" s="301" t="s">
        <v>2408</v>
      </c>
      <c r="W319" s="298" t="s">
        <v>499</v>
      </c>
      <c r="X319" s="298" t="s">
        <v>306</v>
      </c>
    </row>
    <row r="320">
      <c r="A320" s="295" t="s">
        <v>2409</v>
      </c>
      <c r="B320" s="298">
        <v>2.0</v>
      </c>
      <c r="C320" s="298" t="s">
        <v>288</v>
      </c>
      <c r="D320" s="298" t="s">
        <v>334</v>
      </c>
      <c r="E320" s="298" t="s">
        <v>311</v>
      </c>
      <c r="F320" s="298" t="str">
        <f>'Character Sheet'!$C$9</f>
        <v/>
      </c>
      <c r="G320" s="298" t="s">
        <v>294</v>
      </c>
      <c r="H320" s="298" t="s">
        <v>352</v>
      </c>
      <c r="I320" s="298" t="s">
        <v>315</v>
      </c>
      <c r="J320" s="298" t="s">
        <v>315</v>
      </c>
      <c r="K320" s="298" t="s">
        <v>632</v>
      </c>
      <c r="L320" s="298" t="s">
        <v>493</v>
      </c>
      <c r="M320" s="301" t="s">
        <v>315</v>
      </c>
      <c r="N320" s="301" t="s">
        <v>2411</v>
      </c>
      <c r="O320" s="301" t="s">
        <v>2411</v>
      </c>
      <c r="P320" s="301" t="s">
        <v>2411</v>
      </c>
      <c r="Q320" s="301" t="s">
        <v>2411</v>
      </c>
      <c r="R320" s="301" t="s">
        <v>2411</v>
      </c>
      <c r="S320" s="301" t="s">
        <v>2411</v>
      </c>
      <c r="T320" s="301" t="s">
        <v>2411</v>
      </c>
      <c r="U320" s="301" t="s">
        <v>2411</v>
      </c>
      <c r="V320" s="301" t="s">
        <v>2411</v>
      </c>
      <c r="W320" s="298" t="s">
        <v>460</v>
      </c>
      <c r="X320" s="298" t="s">
        <v>306</v>
      </c>
    </row>
    <row r="321">
      <c r="A321" s="295" t="s">
        <v>2412</v>
      </c>
      <c r="B321" s="298">
        <v>2.0</v>
      </c>
      <c r="C321" s="298" t="s">
        <v>288</v>
      </c>
      <c r="D321" s="298" t="s">
        <v>462</v>
      </c>
      <c r="E321" s="298" t="s">
        <v>290</v>
      </c>
      <c r="F321" s="298" t="str">
        <f>'Character Sheet'!$C$9</f>
        <v/>
      </c>
      <c r="G321" s="298" t="s">
        <v>294</v>
      </c>
      <c r="H321" s="298" t="s">
        <v>335</v>
      </c>
      <c r="I321" s="298" t="s">
        <v>296</v>
      </c>
      <c r="J321" s="298" t="s">
        <v>315</v>
      </c>
      <c r="K321" s="298" t="s">
        <v>325</v>
      </c>
      <c r="L321" s="298" t="s">
        <v>493</v>
      </c>
      <c r="M321" s="301" t="s">
        <v>315</v>
      </c>
      <c r="N321" s="301" t="s">
        <v>2414</v>
      </c>
      <c r="O321" s="301" t="s">
        <v>2414</v>
      </c>
      <c r="P321" s="301" t="s">
        <v>2414</v>
      </c>
      <c r="Q321" s="301" t="s">
        <v>2415</v>
      </c>
      <c r="R321" s="301" t="s">
        <v>2415</v>
      </c>
      <c r="S321" s="301" t="s">
        <v>2415</v>
      </c>
      <c r="T321" s="301" t="s">
        <v>2415</v>
      </c>
      <c r="U321" s="301" t="s">
        <v>2415</v>
      </c>
      <c r="V321" s="301" t="s">
        <v>2415</v>
      </c>
      <c r="W321" s="298" t="s">
        <v>305</v>
      </c>
      <c r="X321" s="298" t="s">
        <v>306</v>
      </c>
    </row>
    <row r="322">
      <c r="A322" s="295" t="s">
        <v>2416</v>
      </c>
      <c r="B322" s="298">
        <v>2.0</v>
      </c>
      <c r="C322" s="298" t="s">
        <v>288</v>
      </c>
      <c r="D322" s="298" t="s">
        <v>310</v>
      </c>
      <c r="E322" s="298" t="s">
        <v>290</v>
      </c>
      <c r="F322" s="298" t="str">
        <f>'Character Sheet'!$C$9</f>
        <v/>
      </c>
      <c r="G322" s="298" t="s">
        <v>294</v>
      </c>
      <c r="H322" s="298" t="s">
        <v>324</v>
      </c>
      <c r="I322" s="298" t="s">
        <v>861</v>
      </c>
      <c r="J322" s="298" t="s">
        <v>315</v>
      </c>
      <c r="K322" s="298" t="s">
        <v>325</v>
      </c>
      <c r="L322" s="298" t="s">
        <v>493</v>
      </c>
      <c r="M322" s="301" t="s">
        <v>315</v>
      </c>
      <c r="N322" s="301" t="s">
        <v>2418</v>
      </c>
      <c r="O322" s="301" t="s">
        <v>2418</v>
      </c>
      <c r="P322" s="301" t="s">
        <v>2418</v>
      </c>
      <c r="Q322" s="301" t="s">
        <v>2418</v>
      </c>
      <c r="R322" s="301" t="s">
        <v>2419</v>
      </c>
      <c r="S322" s="301" t="s">
        <v>2419</v>
      </c>
      <c r="T322" s="301" t="s">
        <v>2419</v>
      </c>
      <c r="U322" s="301" t="s">
        <v>2419</v>
      </c>
      <c r="V322" s="301" t="s">
        <v>2419</v>
      </c>
      <c r="W322" s="298" t="s">
        <v>429</v>
      </c>
      <c r="X322" s="298" t="s">
        <v>678</v>
      </c>
    </row>
    <row r="323">
      <c r="A323" s="295" t="s">
        <v>2420</v>
      </c>
      <c r="B323" s="298">
        <v>2.0</v>
      </c>
      <c r="C323" s="298" t="s">
        <v>288</v>
      </c>
      <c r="D323" s="298" t="s">
        <v>289</v>
      </c>
      <c r="E323" s="298" t="s">
        <v>290</v>
      </c>
      <c r="F323" s="298" t="str">
        <f>'Character Sheet'!$C$9</f>
        <v/>
      </c>
      <c r="G323" s="298" t="s">
        <v>294</v>
      </c>
      <c r="H323" s="298" t="s">
        <v>352</v>
      </c>
      <c r="I323" s="298" t="s">
        <v>315</v>
      </c>
      <c r="J323" s="298" t="s">
        <v>203</v>
      </c>
      <c r="K323" s="298" t="s">
        <v>424</v>
      </c>
      <c r="L323" s="298" t="s">
        <v>493</v>
      </c>
      <c r="M323" s="301" t="s">
        <v>315</v>
      </c>
      <c r="N323" s="301" t="s">
        <v>2422</v>
      </c>
      <c r="O323" s="301" t="s">
        <v>2422</v>
      </c>
      <c r="P323" s="301" t="s">
        <v>2423</v>
      </c>
      <c r="Q323" s="301" t="s">
        <v>2423</v>
      </c>
      <c r="R323" s="301" t="s">
        <v>2424</v>
      </c>
      <c r="S323" s="301" t="s">
        <v>2424</v>
      </c>
      <c r="T323" s="301" t="s">
        <v>2425</v>
      </c>
      <c r="U323" s="301" t="s">
        <v>2425</v>
      </c>
      <c r="V323" s="301" t="s">
        <v>2426</v>
      </c>
      <c r="W323" s="298" t="s">
        <v>429</v>
      </c>
      <c r="X323" s="298" t="s">
        <v>306</v>
      </c>
    </row>
    <row r="324">
      <c r="A324" s="295" t="s">
        <v>2427</v>
      </c>
      <c r="B324" s="298">
        <v>2.0</v>
      </c>
      <c r="C324" s="298" t="s">
        <v>288</v>
      </c>
      <c r="D324" s="298" t="s">
        <v>310</v>
      </c>
      <c r="E324" s="298" t="s">
        <v>290</v>
      </c>
      <c r="F324" s="298" t="str">
        <f>'Character Sheet'!$C$9</f>
        <v/>
      </c>
      <c r="G324" s="298" t="s">
        <v>294</v>
      </c>
      <c r="H324" s="298" t="s">
        <v>335</v>
      </c>
      <c r="I324" s="298" t="s">
        <v>780</v>
      </c>
      <c r="J324" s="298" t="s">
        <v>315</v>
      </c>
      <c r="K324" s="298" t="s">
        <v>2208</v>
      </c>
      <c r="L324" s="298" t="s">
        <v>493</v>
      </c>
      <c r="M324" s="301" t="s">
        <v>315</v>
      </c>
      <c r="N324" s="301" t="s">
        <v>2428</v>
      </c>
      <c r="O324" s="301" t="s">
        <v>2428</v>
      </c>
      <c r="P324" s="301" t="s">
        <v>2429</v>
      </c>
      <c r="Q324" s="301" t="s">
        <v>2429</v>
      </c>
      <c r="R324" s="301" t="s">
        <v>2429</v>
      </c>
      <c r="S324" s="301" t="s">
        <v>2429</v>
      </c>
      <c r="T324" s="301" t="s">
        <v>2429</v>
      </c>
      <c r="U324" s="301" t="s">
        <v>2429</v>
      </c>
      <c r="V324" s="301" t="s">
        <v>2429</v>
      </c>
      <c r="W324" s="298" t="s">
        <v>483</v>
      </c>
      <c r="X324" s="298" t="s">
        <v>306</v>
      </c>
    </row>
    <row r="325">
      <c r="A325" s="295" t="s">
        <v>2430</v>
      </c>
      <c r="B325" s="298">
        <v>2.0</v>
      </c>
      <c r="C325" s="298" t="s">
        <v>288</v>
      </c>
      <c r="D325" s="298" t="s">
        <v>334</v>
      </c>
      <c r="E325" s="298" t="s">
        <v>290</v>
      </c>
      <c r="F325" s="298" t="str">
        <f>'Character Sheet'!$C$9</f>
        <v/>
      </c>
      <c r="G325" s="298" t="s">
        <v>294</v>
      </c>
      <c r="H325" s="298" t="s">
        <v>352</v>
      </c>
      <c r="I325" s="298" t="s">
        <v>1000</v>
      </c>
      <c r="J325" s="298" t="s">
        <v>336</v>
      </c>
      <c r="K325" s="298" t="s">
        <v>298</v>
      </c>
      <c r="L325" s="298" t="s">
        <v>493</v>
      </c>
      <c r="M325" s="301" t="s">
        <v>315</v>
      </c>
      <c r="N325" s="301" t="s">
        <v>2432</v>
      </c>
      <c r="O325" s="301" t="s">
        <v>2433</v>
      </c>
      <c r="P325" s="301" t="s">
        <v>2434</v>
      </c>
      <c r="Q325" s="301" t="s">
        <v>2435</v>
      </c>
      <c r="R325" s="301" t="s">
        <v>2436</v>
      </c>
      <c r="S325" s="301" t="s">
        <v>2437</v>
      </c>
      <c r="T325" s="301" t="s">
        <v>2439</v>
      </c>
      <c r="U325" s="301" t="s">
        <v>2440</v>
      </c>
      <c r="V325" s="301" t="s">
        <v>2441</v>
      </c>
      <c r="W325" s="298" t="s">
        <v>389</v>
      </c>
      <c r="X325" s="298" t="s">
        <v>678</v>
      </c>
    </row>
    <row r="326">
      <c r="A326" s="295" t="s">
        <v>2442</v>
      </c>
      <c r="B326" s="298">
        <v>2.0</v>
      </c>
      <c r="C326" s="298" t="s">
        <v>522</v>
      </c>
      <c r="D326" s="298" t="s">
        <v>289</v>
      </c>
      <c r="E326" s="298" t="s">
        <v>290</v>
      </c>
      <c r="F326" s="298" t="str">
        <f>'Character Sheet'!$C$9</f>
        <v/>
      </c>
      <c r="G326" s="298" t="s">
        <v>294</v>
      </c>
      <c r="H326" s="298" t="s">
        <v>360</v>
      </c>
      <c r="I326" s="298" t="s">
        <v>1136</v>
      </c>
      <c r="J326" s="298" t="s">
        <v>407</v>
      </c>
      <c r="K326" s="298" t="s">
        <v>298</v>
      </c>
      <c r="L326" s="298" t="s">
        <v>493</v>
      </c>
      <c r="M326" s="301" t="s">
        <v>315</v>
      </c>
      <c r="N326" s="301" t="s">
        <v>2443</v>
      </c>
      <c r="O326" s="301" t="s">
        <v>2444</v>
      </c>
      <c r="P326" s="301" t="s">
        <v>2445</v>
      </c>
      <c r="Q326" s="301" t="s">
        <v>2446</v>
      </c>
      <c r="R326" s="301" t="s">
        <v>2447</v>
      </c>
      <c r="S326" s="301" t="s">
        <v>2448</v>
      </c>
      <c r="T326" s="301" t="s">
        <v>2449</v>
      </c>
      <c r="U326" s="301" t="s">
        <v>2450</v>
      </c>
      <c r="V326" s="301" t="s">
        <v>2451</v>
      </c>
      <c r="W326" s="298" t="s">
        <v>305</v>
      </c>
      <c r="X326" s="298" t="s">
        <v>1457</v>
      </c>
    </row>
    <row r="327">
      <c r="A327" s="295" t="s">
        <v>2452</v>
      </c>
      <c r="B327" s="298">
        <v>2.0</v>
      </c>
      <c r="C327" s="298" t="s">
        <v>288</v>
      </c>
      <c r="D327" s="298" t="s">
        <v>151</v>
      </c>
      <c r="E327" s="298" t="s">
        <v>290</v>
      </c>
      <c r="F327" s="298" t="str">
        <f>'Character Sheet'!$E$9</f>
        <v/>
      </c>
      <c r="G327" s="298" t="s">
        <v>674</v>
      </c>
      <c r="H327" s="298" t="s">
        <v>295</v>
      </c>
      <c r="I327" s="298" t="s">
        <v>315</v>
      </c>
      <c r="J327" s="298" t="s">
        <v>315</v>
      </c>
      <c r="K327" s="298" t="s">
        <v>424</v>
      </c>
      <c r="L327" s="298" t="s">
        <v>493</v>
      </c>
      <c r="M327" s="301" t="s">
        <v>315</v>
      </c>
      <c r="N327" s="301" t="s">
        <v>2453</v>
      </c>
      <c r="O327" s="301" t="s">
        <v>2454</v>
      </c>
      <c r="P327" s="301" t="s">
        <v>2455</v>
      </c>
      <c r="Q327" s="301" t="s">
        <v>2456</v>
      </c>
      <c r="R327" s="301" t="s">
        <v>2457</v>
      </c>
      <c r="S327" s="301" t="s">
        <v>2458</v>
      </c>
      <c r="T327" s="301" t="s">
        <v>2459</v>
      </c>
      <c r="U327" s="301" t="s">
        <v>2460</v>
      </c>
      <c r="V327" s="301" t="s">
        <v>2461</v>
      </c>
      <c r="W327" s="298" t="s">
        <v>305</v>
      </c>
      <c r="X327" s="298" t="s">
        <v>306</v>
      </c>
    </row>
    <row r="328">
      <c r="A328" s="295" t="s">
        <v>2462</v>
      </c>
      <c r="B328" s="298">
        <v>2.0</v>
      </c>
      <c r="C328" s="298" t="s">
        <v>288</v>
      </c>
      <c r="D328" s="298" t="s">
        <v>334</v>
      </c>
      <c r="E328" s="298" t="s">
        <v>311</v>
      </c>
      <c r="F328" s="298" t="s">
        <v>999</v>
      </c>
      <c r="G328" s="298" t="s">
        <v>674</v>
      </c>
      <c r="H328" s="298" t="s">
        <v>324</v>
      </c>
      <c r="I328" s="298" t="s">
        <v>709</v>
      </c>
      <c r="J328" s="298" t="s">
        <v>315</v>
      </c>
      <c r="K328" s="298" t="s">
        <v>1972</v>
      </c>
      <c r="L328" s="298" t="s">
        <v>493</v>
      </c>
      <c r="M328" s="301" t="s">
        <v>315</v>
      </c>
      <c r="N328" s="301" t="s">
        <v>2463</v>
      </c>
      <c r="O328" s="301" t="s">
        <v>2463</v>
      </c>
      <c r="P328" s="301" t="s">
        <v>2463</v>
      </c>
      <c r="Q328" s="301" t="s">
        <v>2463</v>
      </c>
      <c r="R328" s="301" t="s">
        <v>2463</v>
      </c>
      <c r="S328" s="301" t="s">
        <v>2463</v>
      </c>
      <c r="T328" s="301" t="s">
        <v>2463</v>
      </c>
      <c r="U328" s="301" t="s">
        <v>2463</v>
      </c>
      <c r="V328" s="301" t="s">
        <v>2463</v>
      </c>
      <c r="W328" s="298" t="s">
        <v>317</v>
      </c>
      <c r="X328" s="298" t="s">
        <v>318</v>
      </c>
    </row>
    <row r="329">
      <c r="A329" s="295" t="s">
        <v>2465</v>
      </c>
      <c r="B329" s="298">
        <v>2.0</v>
      </c>
      <c r="C329" s="298" t="s">
        <v>288</v>
      </c>
      <c r="D329" s="298" t="s">
        <v>462</v>
      </c>
      <c r="E329" s="298" t="s">
        <v>290</v>
      </c>
      <c r="F329" s="298" t="str">
        <f>'Character Sheet'!$C$9</f>
        <v/>
      </c>
      <c r="G329" s="298" t="s">
        <v>294</v>
      </c>
      <c r="H329" s="298" t="s">
        <v>335</v>
      </c>
      <c r="I329" s="298" t="s">
        <v>709</v>
      </c>
      <c r="J329" s="298" t="s">
        <v>315</v>
      </c>
      <c r="K329" s="298" t="s">
        <v>325</v>
      </c>
      <c r="L329" s="298" t="s">
        <v>493</v>
      </c>
      <c r="M329" s="301" t="s">
        <v>315</v>
      </c>
      <c r="N329" s="301" t="s">
        <v>2466</v>
      </c>
      <c r="O329" s="301" t="s">
        <v>2466</v>
      </c>
      <c r="P329" s="301" t="s">
        <v>2467</v>
      </c>
      <c r="Q329" s="301" t="s">
        <v>2467</v>
      </c>
      <c r="R329" s="301" t="s">
        <v>2467</v>
      </c>
      <c r="S329" s="301" t="s">
        <v>2467</v>
      </c>
      <c r="T329" s="301" t="s">
        <v>2467</v>
      </c>
      <c r="U329" s="301" t="s">
        <v>2467</v>
      </c>
      <c r="V329" s="301" t="s">
        <v>2467</v>
      </c>
      <c r="W329" s="298" t="s">
        <v>317</v>
      </c>
      <c r="X329" s="298" t="s">
        <v>318</v>
      </c>
    </row>
    <row r="330">
      <c r="A330" s="295" t="s">
        <v>2469</v>
      </c>
      <c r="B330" s="298">
        <v>2.0</v>
      </c>
      <c r="C330" s="298" t="s">
        <v>522</v>
      </c>
      <c r="D330" s="298" t="s">
        <v>289</v>
      </c>
      <c r="E330" s="298" t="s">
        <v>290</v>
      </c>
      <c r="F330" s="298" t="str">
        <f>'Character Sheet'!$C$9</f>
        <v/>
      </c>
      <c r="G330" s="298" t="s">
        <v>294</v>
      </c>
      <c r="H330" s="298" t="s">
        <v>295</v>
      </c>
      <c r="I330" s="298" t="s">
        <v>2470</v>
      </c>
      <c r="J330" s="298" t="s">
        <v>1953</v>
      </c>
      <c r="K330" s="298" t="s">
        <v>632</v>
      </c>
      <c r="L330" s="298" t="s">
        <v>493</v>
      </c>
      <c r="M330" s="301" t="s">
        <v>315</v>
      </c>
      <c r="N330" s="301" t="s">
        <v>2471</v>
      </c>
      <c r="O330" s="301" t="s">
        <v>2471</v>
      </c>
      <c r="P330" s="301" t="s">
        <v>2472</v>
      </c>
      <c r="Q330" s="301" t="s">
        <v>2472</v>
      </c>
      <c r="R330" s="301" t="s">
        <v>2473</v>
      </c>
      <c r="S330" s="301" t="s">
        <v>2473</v>
      </c>
      <c r="T330" s="301" t="s">
        <v>2474</v>
      </c>
      <c r="U330" s="301" t="s">
        <v>2474</v>
      </c>
      <c r="V330" s="301" t="s">
        <v>2475</v>
      </c>
      <c r="W330" s="298" t="s">
        <v>331</v>
      </c>
      <c r="X330" s="298" t="s">
        <v>2136</v>
      </c>
    </row>
    <row r="331">
      <c r="A331" s="295" t="s">
        <v>2477</v>
      </c>
      <c r="B331" s="298">
        <v>2.0</v>
      </c>
      <c r="C331" s="298" t="s">
        <v>522</v>
      </c>
      <c r="D331" s="298" t="s">
        <v>321</v>
      </c>
      <c r="E331" s="298" t="s">
        <v>290</v>
      </c>
      <c r="F331" s="298" t="str">
        <f>'Character Sheet'!$C$9</f>
        <v/>
      </c>
      <c r="G331" s="298" t="s">
        <v>294</v>
      </c>
      <c r="H331" s="298" t="s">
        <v>295</v>
      </c>
      <c r="I331" s="298" t="s">
        <v>2478</v>
      </c>
      <c r="J331" s="298" t="s">
        <v>192</v>
      </c>
      <c r="K331" s="298" t="s">
        <v>632</v>
      </c>
      <c r="L331" s="298" t="s">
        <v>493</v>
      </c>
      <c r="M331" s="301" t="s">
        <v>315</v>
      </c>
      <c r="N331" s="301" t="s">
        <v>2479</v>
      </c>
      <c r="O331" s="301" t="s">
        <v>2479</v>
      </c>
      <c r="P331" s="301" t="s">
        <v>2481</v>
      </c>
      <c r="Q331" s="301" t="s">
        <v>2481</v>
      </c>
      <c r="R331" s="301" t="s">
        <v>2482</v>
      </c>
      <c r="S331" s="301" t="s">
        <v>2482</v>
      </c>
      <c r="T331" s="301" t="s">
        <v>2483</v>
      </c>
      <c r="U331" s="301" t="s">
        <v>2483</v>
      </c>
      <c r="V331" s="301" t="s">
        <v>2484</v>
      </c>
      <c r="W331" s="298" t="s">
        <v>536</v>
      </c>
      <c r="X331" s="298" t="s">
        <v>2136</v>
      </c>
    </row>
    <row r="332">
      <c r="A332" s="295" t="s">
        <v>2485</v>
      </c>
      <c r="B332" s="298">
        <v>2.0</v>
      </c>
      <c r="C332" s="298" t="s">
        <v>288</v>
      </c>
      <c r="D332" s="298" t="s">
        <v>289</v>
      </c>
      <c r="E332" s="298" t="s">
        <v>311</v>
      </c>
      <c r="F332" s="298" t="str">
        <f>'Character Sheet'!$C$9</f>
        <v/>
      </c>
      <c r="G332" s="298" t="s">
        <v>294</v>
      </c>
      <c r="H332" s="298" t="s">
        <v>360</v>
      </c>
      <c r="I332" s="298" t="s">
        <v>296</v>
      </c>
      <c r="J332" s="298" t="s">
        <v>203</v>
      </c>
      <c r="K332" s="298" t="s">
        <v>298</v>
      </c>
      <c r="L332" s="298" t="s">
        <v>493</v>
      </c>
      <c r="M332" s="301" t="s">
        <v>315</v>
      </c>
      <c r="N332" s="301" t="s">
        <v>2487</v>
      </c>
      <c r="O332" s="301" t="s">
        <v>2487</v>
      </c>
      <c r="P332" s="301" t="s">
        <v>2487</v>
      </c>
      <c r="Q332" s="301" t="s">
        <v>2487</v>
      </c>
      <c r="R332" s="301" t="s">
        <v>2487</v>
      </c>
      <c r="S332" s="301" t="s">
        <v>2487</v>
      </c>
      <c r="T332" s="301" t="s">
        <v>2487</v>
      </c>
      <c r="U332" s="301" t="s">
        <v>2487</v>
      </c>
      <c r="V332" s="301" t="s">
        <v>2487</v>
      </c>
      <c r="W332" s="298" t="s">
        <v>460</v>
      </c>
      <c r="X332" s="298" t="s">
        <v>306</v>
      </c>
    </row>
    <row r="333">
      <c r="A333" s="295" t="s">
        <v>2488</v>
      </c>
      <c r="B333" s="298">
        <v>2.0</v>
      </c>
      <c r="C333" s="298" t="s">
        <v>288</v>
      </c>
      <c r="D333" s="298" t="s">
        <v>289</v>
      </c>
      <c r="E333" s="298" t="s">
        <v>290</v>
      </c>
      <c r="F333" s="298" t="str">
        <f>'Character Sheet'!$C$9</f>
        <v/>
      </c>
      <c r="G333" s="298" t="s">
        <v>294</v>
      </c>
      <c r="H333" s="298" t="s">
        <v>295</v>
      </c>
      <c r="I333" s="298" t="s">
        <v>2490</v>
      </c>
      <c r="J333" s="298" t="s">
        <v>315</v>
      </c>
      <c r="K333" s="298" t="s">
        <v>632</v>
      </c>
      <c r="L333" s="298" t="s">
        <v>493</v>
      </c>
      <c r="M333" s="301" t="s">
        <v>315</v>
      </c>
      <c r="N333" s="301" t="s">
        <v>2491</v>
      </c>
      <c r="O333" s="301" t="s">
        <v>2491</v>
      </c>
      <c r="P333" s="301" t="s">
        <v>2492</v>
      </c>
      <c r="Q333" s="301" t="s">
        <v>2492</v>
      </c>
      <c r="R333" s="301" t="s">
        <v>2493</v>
      </c>
      <c r="S333" s="301" t="s">
        <v>2493</v>
      </c>
      <c r="T333" s="301" t="s">
        <v>2494</v>
      </c>
      <c r="U333" s="301" t="s">
        <v>2494</v>
      </c>
      <c r="V333" s="301" t="s">
        <v>2495</v>
      </c>
      <c r="W333" s="298" t="s">
        <v>684</v>
      </c>
      <c r="X333" s="298" t="s">
        <v>318</v>
      </c>
    </row>
    <row r="334">
      <c r="A334" s="295" t="s">
        <v>2496</v>
      </c>
      <c r="B334" s="298">
        <v>2.0</v>
      </c>
      <c r="C334" s="298" t="s">
        <v>288</v>
      </c>
      <c r="D334" s="298" t="s">
        <v>310</v>
      </c>
      <c r="E334" s="298" t="s">
        <v>311</v>
      </c>
      <c r="F334" s="298" t="str">
        <f>'Character Sheet'!$B$9</f>
        <v/>
      </c>
      <c r="G334" s="298" t="s">
        <v>493</v>
      </c>
      <c r="H334" s="298" t="s">
        <v>335</v>
      </c>
      <c r="I334" s="298" t="s">
        <v>2497</v>
      </c>
      <c r="J334" s="298" t="s">
        <v>315</v>
      </c>
      <c r="K334" s="298" t="s">
        <v>424</v>
      </c>
      <c r="L334" s="298" t="s">
        <v>493</v>
      </c>
      <c r="M334" s="301" t="s">
        <v>315</v>
      </c>
      <c r="N334" s="301" t="s">
        <v>2498</v>
      </c>
      <c r="O334" s="301" t="s">
        <v>2498</v>
      </c>
      <c r="P334" s="301" t="s">
        <v>2498</v>
      </c>
      <c r="Q334" s="301" t="s">
        <v>2498</v>
      </c>
      <c r="R334" s="301" t="s">
        <v>2498</v>
      </c>
      <c r="S334" s="301" t="s">
        <v>2498</v>
      </c>
      <c r="T334" s="301" t="s">
        <v>2498</v>
      </c>
      <c r="U334" s="301" t="s">
        <v>2498</v>
      </c>
      <c r="V334" s="301" t="s">
        <v>2498</v>
      </c>
      <c r="W334" s="298" t="s">
        <v>460</v>
      </c>
      <c r="X334" s="298" t="s">
        <v>318</v>
      </c>
    </row>
    <row r="335">
      <c r="A335" s="295" t="s">
        <v>2500</v>
      </c>
      <c r="B335" s="298">
        <v>2.0</v>
      </c>
      <c r="C335" s="298" t="s">
        <v>288</v>
      </c>
      <c r="D335" s="298" t="s">
        <v>359</v>
      </c>
      <c r="E335" s="298" t="s">
        <v>311</v>
      </c>
      <c r="F335" s="298" t="str">
        <f>'Character Sheet'!$C$9</f>
        <v/>
      </c>
      <c r="G335" s="298" t="s">
        <v>294</v>
      </c>
      <c r="H335" s="298" t="s">
        <v>335</v>
      </c>
      <c r="I335" s="298" t="s">
        <v>2038</v>
      </c>
      <c r="J335" s="298" t="s">
        <v>192</v>
      </c>
      <c r="K335" s="298" t="s">
        <v>632</v>
      </c>
      <c r="L335" s="298" t="s">
        <v>493</v>
      </c>
      <c r="M335" s="301" t="s">
        <v>315</v>
      </c>
      <c r="N335" s="301" t="s">
        <v>2502</v>
      </c>
      <c r="O335" s="301" t="s">
        <v>2502</v>
      </c>
      <c r="P335" s="301" t="s">
        <v>2502</v>
      </c>
      <c r="Q335" s="301" t="s">
        <v>2502</v>
      </c>
      <c r="R335" s="301" t="s">
        <v>2502</v>
      </c>
      <c r="S335" s="301" t="s">
        <v>2502</v>
      </c>
      <c r="T335" s="301" t="s">
        <v>2502</v>
      </c>
      <c r="U335" s="301" t="s">
        <v>2502</v>
      </c>
      <c r="V335" s="301" t="s">
        <v>2502</v>
      </c>
      <c r="W335" s="298" t="s">
        <v>460</v>
      </c>
      <c r="X335" s="298" t="s">
        <v>306</v>
      </c>
    </row>
    <row r="336">
      <c r="A336" s="295" t="s">
        <v>2504</v>
      </c>
      <c r="B336" s="298">
        <v>2.0</v>
      </c>
      <c r="C336" s="298" t="s">
        <v>288</v>
      </c>
      <c r="D336" s="298" t="s">
        <v>462</v>
      </c>
      <c r="E336" s="298" t="s">
        <v>311</v>
      </c>
      <c r="F336" s="298" t="str">
        <f>'Character Sheet'!$C$9</f>
        <v/>
      </c>
      <c r="G336" s="298" t="s">
        <v>294</v>
      </c>
      <c r="H336" s="298" t="s">
        <v>324</v>
      </c>
      <c r="I336" s="298" t="s">
        <v>324</v>
      </c>
      <c r="J336" s="298" t="s">
        <v>315</v>
      </c>
      <c r="K336" s="298" t="s">
        <v>1001</v>
      </c>
      <c r="L336" s="298" t="s">
        <v>493</v>
      </c>
      <c r="M336" s="301" t="s">
        <v>315</v>
      </c>
      <c r="N336" s="301" t="s">
        <v>2506</v>
      </c>
      <c r="O336" s="301" t="s">
        <v>2506</v>
      </c>
      <c r="P336" s="301" t="s">
        <v>2506</v>
      </c>
      <c r="Q336" s="301" t="s">
        <v>2506</v>
      </c>
      <c r="R336" s="301" t="s">
        <v>2506</v>
      </c>
      <c r="S336" s="301" t="s">
        <v>2506</v>
      </c>
      <c r="T336" s="301" t="s">
        <v>2506</v>
      </c>
      <c r="U336" s="301" t="s">
        <v>2506</v>
      </c>
      <c r="V336" s="301" t="s">
        <v>2506</v>
      </c>
      <c r="W336" s="298" t="s">
        <v>499</v>
      </c>
      <c r="X336" s="298" t="s">
        <v>306</v>
      </c>
    </row>
    <row r="337">
      <c r="A337" s="295" t="s">
        <v>2507</v>
      </c>
      <c r="B337" s="298">
        <v>2.0</v>
      </c>
      <c r="C337" s="298" t="s">
        <v>288</v>
      </c>
      <c r="D337" s="298" t="s">
        <v>321</v>
      </c>
      <c r="E337" s="298" t="s">
        <v>311</v>
      </c>
      <c r="F337" s="298" t="str">
        <f>'Character Sheet'!$C$9</f>
        <v/>
      </c>
      <c r="G337" s="298" t="s">
        <v>294</v>
      </c>
      <c r="H337" s="298" t="s">
        <v>324</v>
      </c>
      <c r="I337" s="298" t="s">
        <v>335</v>
      </c>
      <c r="J337" s="298" t="s">
        <v>315</v>
      </c>
      <c r="K337" s="298" t="s">
        <v>2509</v>
      </c>
      <c r="L337" s="298" t="s">
        <v>493</v>
      </c>
      <c r="M337" s="301" t="s">
        <v>315</v>
      </c>
      <c r="N337" s="301" t="s">
        <v>2510</v>
      </c>
      <c r="O337" s="301" t="s">
        <v>2511</v>
      </c>
      <c r="P337" s="301" t="s">
        <v>2512</v>
      </c>
      <c r="Q337" s="301" t="s">
        <v>2513</v>
      </c>
      <c r="R337" s="301" t="s">
        <v>2514</v>
      </c>
      <c r="S337" s="301" t="s">
        <v>2516</v>
      </c>
      <c r="T337" s="301" t="s">
        <v>2517</v>
      </c>
      <c r="U337" s="301" t="s">
        <v>2518</v>
      </c>
      <c r="V337" s="301" t="s">
        <v>2519</v>
      </c>
      <c r="W337" s="298" t="s">
        <v>460</v>
      </c>
      <c r="X337" s="298" t="s">
        <v>318</v>
      </c>
    </row>
    <row r="338">
      <c r="A338" s="295" t="s">
        <v>2520</v>
      </c>
      <c r="B338" s="298">
        <v>2.0</v>
      </c>
      <c r="C338" s="298" t="s">
        <v>522</v>
      </c>
      <c r="D338" s="298" t="s">
        <v>321</v>
      </c>
      <c r="E338" s="298" t="s">
        <v>311</v>
      </c>
      <c r="F338" s="298" t="str">
        <f>'Character Sheet'!$C$9</f>
        <v/>
      </c>
      <c r="G338" s="298" t="s">
        <v>294</v>
      </c>
      <c r="H338" s="298" t="s">
        <v>324</v>
      </c>
      <c r="I338" s="298" t="s">
        <v>335</v>
      </c>
      <c r="J338" s="298" t="s">
        <v>315</v>
      </c>
      <c r="K338" s="298" t="s">
        <v>2509</v>
      </c>
      <c r="L338" s="298" t="s">
        <v>493</v>
      </c>
      <c r="M338" s="301" t="s">
        <v>315</v>
      </c>
      <c r="N338" s="301" t="s">
        <v>2522</v>
      </c>
      <c r="O338" s="301" t="s">
        <v>2522</v>
      </c>
      <c r="P338" s="301" t="s">
        <v>2522</v>
      </c>
      <c r="Q338" s="301" t="s">
        <v>2522</v>
      </c>
      <c r="R338" s="301" t="s">
        <v>2522</v>
      </c>
      <c r="S338" s="301" t="s">
        <v>2522</v>
      </c>
      <c r="T338" s="301" t="s">
        <v>2522</v>
      </c>
      <c r="U338" s="301" t="s">
        <v>2522</v>
      </c>
      <c r="V338" s="301" t="s">
        <v>2522</v>
      </c>
      <c r="W338" s="298" t="s">
        <v>460</v>
      </c>
      <c r="X338" s="298" t="s">
        <v>2136</v>
      </c>
    </row>
    <row r="339">
      <c r="A339" s="295" t="s">
        <v>2523</v>
      </c>
      <c r="B339" s="298">
        <v>2.0</v>
      </c>
      <c r="C339" s="298" t="s">
        <v>522</v>
      </c>
      <c r="D339" s="298" t="s">
        <v>421</v>
      </c>
      <c r="E339" s="298" t="s">
        <v>311</v>
      </c>
      <c r="F339" s="298" t="s">
        <v>625</v>
      </c>
      <c r="G339" s="298" t="s">
        <v>674</v>
      </c>
      <c r="H339" s="298" t="s">
        <v>335</v>
      </c>
      <c r="I339" s="298" t="s">
        <v>1136</v>
      </c>
      <c r="J339" s="298" t="s">
        <v>315</v>
      </c>
      <c r="K339" s="298" t="s">
        <v>1972</v>
      </c>
      <c r="L339" s="298" t="s">
        <v>493</v>
      </c>
      <c r="M339" s="301" t="s">
        <v>315</v>
      </c>
      <c r="N339" s="301" t="s">
        <v>2524</v>
      </c>
      <c r="O339" s="301" t="s">
        <v>2524</v>
      </c>
      <c r="P339" s="301" t="s">
        <v>2524</v>
      </c>
      <c r="Q339" s="301" t="s">
        <v>2524</v>
      </c>
      <c r="R339" s="301" t="s">
        <v>2524</v>
      </c>
      <c r="S339" s="301" t="s">
        <v>2524</v>
      </c>
      <c r="T339" s="301" t="s">
        <v>2524</v>
      </c>
      <c r="U339" s="301" t="s">
        <v>2524</v>
      </c>
      <c r="V339" s="301" t="s">
        <v>2524</v>
      </c>
      <c r="W339" s="298" t="s">
        <v>429</v>
      </c>
      <c r="X339" s="298" t="s">
        <v>306</v>
      </c>
    </row>
    <row r="340">
      <c r="A340" s="295" t="s">
        <v>2526</v>
      </c>
      <c r="B340" s="298">
        <v>2.0</v>
      </c>
      <c r="C340" s="298" t="s">
        <v>522</v>
      </c>
      <c r="D340" s="298" t="s">
        <v>359</v>
      </c>
      <c r="E340" s="298" t="s">
        <v>290</v>
      </c>
      <c r="F340" s="298" t="str">
        <f>'Character Sheet'!$C$9</f>
        <v/>
      </c>
      <c r="G340" s="298" t="s">
        <v>294</v>
      </c>
      <c r="H340" s="298" t="s">
        <v>295</v>
      </c>
      <c r="I340" s="298" t="s">
        <v>296</v>
      </c>
      <c r="J340" s="298" t="s">
        <v>192</v>
      </c>
      <c r="K340" s="298" t="s">
        <v>424</v>
      </c>
      <c r="L340" s="298" t="s">
        <v>493</v>
      </c>
      <c r="M340" s="301" t="s">
        <v>315</v>
      </c>
      <c r="N340" s="301" t="s">
        <v>2527</v>
      </c>
      <c r="O340" s="301" t="s">
        <v>2527</v>
      </c>
      <c r="P340" s="301" t="s">
        <v>2528</v>
      </c>
      <c r="Q340" s="301" t="s">
        <v>2528</v>
      </c>
      <c r="R340" s="301" t="s">
        <v>2528</v>
      </c>
      <c r="S340" s="301" t="s">
        <v>2528</v>
      </c>
      <c r="T340" s="301" t="s">
        <v>2528</v>
      </c>
      <c r="U340" s="301" t="s">
        <v>2528</v>
      </c>
      <c r="V340" s="301" t="s">
        <v>2528</v>
      </c>
      <c r="W340" s="298" t="s">
        <v>331</v>
      </c>
      <c r="X340" s="298" t="s">
        <v>2136</v>
      </c>
    </row>
    <row r="341">
      <c r="A341" s="295" t="s">
        <v>2529</v>
      </c>
      <c r="B341" s="298">
        <v>2.0</v>
      </c>
      <c r="C341" s="298" t="s">
        <v>288</v>
      </c>
      <c r="D341" s="298" t="s">
        <v>289</v>
      </c>
      <c r="E341" s="298" t="s">
        <v>290</v>
      </c>
      <c r="F341" s="298" t="str">
        <f>'Character Sheet'!$C$9</f>
        <v/>
      </c>
      <c r="G341" s="298" t="s">
        <v>294</v>
      </c>
      <c r="H341" s="298" t="s">
        <v>324</v>
      </c>
      <c r="I341" s="298" t="s">
        <v>2051</v>
      </c>
      <c r="J341" s="298" t="s">
        <v>407</v>
      </c>
      <c r="K341" s="298" t="s">
        <v>298</v>
      </c>
      <c r="L341" s="298" t="s">
        <v>493</v>
      </c>
      <c r="M341" s="301" t="s">
        <v>315</v>
      </c>
      <c r="N341" s="301" t="s">
        <v>2530</v>
      </c>
      <c r="O341" s="301" t="s">
        <v>2531</v>
      </c>
      <c r="P341" s="301" t="s">
        <v>2532</v>
      </c>
      <c r="Q341" s="301" t="s">
        <v>2533</v>
      </c>
      <c r="R341" s="301" t="s">
        <v>2535</v>
      </c>
      <c r="S341" s="301" t="s">
        <v>2536</v>
      </c>
      <c r="T341" s="301" t="s">
        <v>2537</v>
      </c>
      <c r="U341" s="301" t="s">
        <v>2538</v>
      </c>
      <c r="V341" s="301" t="s">
        <v>2539</v>
      </c>
      <c r="W341" s="298" t="s">
        <v>357</v>
      </c>
      <c r="X341" s="298" t="s">
        <v>678</v>
      </c>
    </row>
    <row r="342">
      <c r="A342" s="295" t="s">
        <v>2540</v>
      </c>
      <c r="B342" s="298">
        <v>2.0</v>
      </c>
      <c r="C342" s="298" t="s">
        <v>288</v>
      </c>
      <c r="D342" s="298" t="s">
        <v>359</v>
      </c>
      <c r="E342" s="298" t="s">
        <v>290</v>
      </c>
      <c r="F342" s="298" t="str">
        <f>'Character Sheet'!$C$9</f>
        <v/>
      </c>
      <c r="G342" s="298" t="s">
        <v>294</v>
      </c>
      <c r="H342" s="298" t="s">
        <v>335</v>
      </c>
      <c r="I342" s="298" t="s">
        <v>296</v>
      </c>
      <c r="J342" s="298" t="s">
        <v>192</v>
      </c>
      <c r="K342" s="298" t="s">
        <v>1174</v>
      </c>
      <c r="L342" s="298" t="s">
        <v>493</v>
      </c>
      <c r="M342" s="301" t="s">
        <v>315</v>
      </c>
      <c r="N342" s="301" t="s">
        <v>2542</v>
      </c>
      <c r="O342" s="301" t="s">
        <v>2542</v>
      </c>
      <c r="P342" s="301" t="s">
        <v>2543</v>
      </c>
      <c r="Q342" s="301" t="s">
        <v>2543</v>
      </c>
      <c r="R342" s="301" t="s">
        <v>2544</v>
      </c>
      <c r="S342" s="301" t="s">
        <v>2544</v>
      </c>
      <c r="T342" s="301" t="s">
        <v>2546</v>
      </c>
      <c r="U342" s="301" t="s">
        <v>2546</v>
      </c>
      <c r="V342" s="301" t="s">
        <v>2547</v>
      </c>
      <c r="W342" s="298" t="s">
        <v>331</v>
      </c>
      <c r="X342" s="298" t="s">
        <v>318</v>
      </c>
    </row>
    <row r="343">
      <c r="A343" s="295" t="s">
        <v>2548</v>
      </c>
      <c r="B343" s="298">
        <v>2.0</v>
      </c>
      <c r="C343" s="298" t="s">
        <v>288</v>
      </c>
      <c r="D343" s="298" t="s">
        <v>462</v>
      </c>
      <c r="E343" s="298" t="s">
        <v>290</v>
      </c>
      <c r="F343" s="298" t="s">
        <v>625</v>
      </c>
      <c r="G343" s="298" t="s">
        <v>294</v>
      </c>
      <c r="H343" s="298" t="s">
        <v>295</v>
      </c>
      <c r="I343" s="298" t="s">
        <v>2549</v>
      </c>
      <c r="J343" s="298" t="s">
        <v>315</v>
      </c>
      <c r="K343" s="298" t="s">
        <v>675</v>
      </c>
      <c r="L343" s="298" t="s">
        <v>493</v>
      </c>
      <c r="M343" s="301" t="s">
        <v>315</v>
      </c>
      <c r="N343" s="301" t="s">
        <v>2550</v>
      </c>
      <c r="O343" s="301" t="s">
        <v>2551</v>
      </c>
      <c r="P343" s="301" t="s">
        <v>2552</v>
      </c>
      <c r="Q343" s="301" t="s">
        <v>2552</v>
      </c>
      <c r="R343" s="301" t="s">
        <v>2552</v>
      </c>
      <c r="S343" s="301" t="s">
        <v>2552</v>
      </c>
      <c r="T343" s="301" t="s">
        <v>2552</v>
      </c>
      <c r="U343" s="301" t="s">
        <v>2552</v>
      </c>
      <c r="V343" s="301" t="s">
        <v>2552</v>
      </c>
      <c r="W343" s="298" t="s">
        <v>993</v>
      </c>
      <c r="X343" s="298" t="s">
        <v>306</v>
      </c>
    </row>
    <row r="344">
      <c r="A344" s="295" t="s">
        <v>2554</v>
      </c>
      <c r="B344" s="298">
        <v>2.0</v>
      </c>
      <c r="C344" s="298" t="s">
        <v>288</v>
      </c>
      <c r="D344" s="298" t="s">
        <v>462</v>
      </c>
      <c r="E344" s="298" t="s">
        <v>290</v>
      </c>
      <c r="F344" s="298" t="str">
        <f>'Character Sheet'!$C$9</f>
        <v/>
      </c>
      <c r="G344" s="298" t="s">
        <v>294</v>
      </c>
      <c r="H344" s="298" t="s">
        <v>335</v>
      </c>
      <c r="I344" s="298" t="s">
        <v>296</v>
      </c>
      <c r="J344" s="298" t="s">
        <v>315</v>
      </c>
      <c r="K344" s="298" t="s">
        <v>325</v>
      </c>
      <c r="L344" s="298" t="s">
        <v>493</v>
      </c>
      <c r="M344" s="301" t="s">
        <v>315</v>
      </c>
      <c r="N344" s="301" t="s">
        <v>2555</v>
      </c>
      <c r="O344" s="301" t="s">
        <v>2556</v>
      </c>
      <c r="P344" s="301" t="s">
        <v>2556</v>
      </c>
      <c r="Q344" s="301" t="s">
        <v>2556</v>
      </c>
      <c r="R344" s="301" t="s">
        <v>2556</v>
      </c>
      <c r="S344" s="301" t="s">
        <v>2556</v>
      </c>
      <c r="T344" s="301" t="s">
        <v>2556</v>
      </c>
      <c r="U344" s="301" t="s">
        <v>2556</v>
      </c>
      <c r="V344" s="301" t="s">
        <v>2556</v>
      </c>
      <c r="W344" s="298" t="s">
        <v>993</v>
      </c>
      <c r="X344" s="298" t="s">
        <v>306</v>
      </c>
    </row>
    <row r="345">
      <c r="A345" s="295" t="s">
        <v>2558</v>
      </c>
      <c r="B345" s="298">
        <v>2.0</v>
      </c>
      <c r="C345" s="298" t="s">
        <v>288</v>
      </c>
      <c r="D345" s="298" t="s">
        <v>151</v>
      </c>
      <c r="E345" s="298" t="s">
        <v>290</v>
      </c>
      <c r="F345" s="298" t="str">
        <f>'Character Sheet'!$E$9</f>
        <v/>
      </c>
      <c r="G345" s="298" t="s">
        <v>674</v>
      </c>
      <c r="H345" s="298" t="s">
        <v>295</v>
      </c>
      <c r="I345" s="298" t="s">
        <v>1413</v>
      </c>
      <c r="J345" s="298" t="s">
        <v>2560</v>
      </c>
      <c r="K345" s="298" t="s">
        <v>632</v>
      </c>
      <c r="L345" s="298" t="s">
        <v>493</v>
      </c>
      <c r="M345" s="301" t="s">
        <v>315</v>
      </c>
      <c r="N345" s="301" t="s">
        <v>2561</v>
      </c>
      <c r="O345" s="301" t="s">
        <v>2561</v>
      </c>
      <c r="P345" s="301" t="s">
        <v>2562</v>
      </c>
      <c r="Q345" s="301" t="s">
        <v>2562</v>
      </c>
      <c r="R345" s="301" t="s">
        <v>2562</v>
      </c>
      <c r="S345" s="301" t="s">
        <v>2562</v>
      </c>
      <c r="T345" s="301" t="s">
        <v>2562</v>
      </c>
      <c r="U345" s="301" t="s">
        <v>2562</v>
      </c>
      <c r="V345" s="301" t="s">
        <v>2562</v>
      </c>
      <c r="W345" s="298" t="s">
        <v>305</v>
      </c>
      <c r="X345" s="298" t="s">
        <v>306</v>
      </c>
    </row>
    <row r="346">
      <c r="A346" s="428" t="s">
        <v>2563</v>
      </c>
      <c r="B346" s="429">
        <v>2.0</v>
      </c>
      <c r="C346" s="429" t="s">
        <v>432</v>
      </c>
      <c r="D346" s="429" t="s">
        <v>334</v>
      </c>
      <c r="E346" s="429" t="s">
        <v>290</v>
      </c>
      <c r="F346" s="343" t="str">
        <f>'Character Sheet'!$C$9</f>
        <v/>
      </c>
      <c r="G346" s="343" t="s">
        <v>294</v>
      </c>
      <c r="H346" s="429" t="s">
        <v>295</v>
      </c>
      <c r="I346" s="429" t="s">
        <v>2564</v>
      </c>
      <c r="J346" s="429" t="s">
        <v>173</v>
      </c>
      <c r="K346" s="429" t="s">
        <v>1174</v>
      </c>
      <c r="L346" s="429" t="s">
        <v>493</v>
      </c>
      <c r="M346" s="430" t="s">
        <v>315</v>
      </c>
      <c r="N346" s="430" t="s">
        <v>2565</v>
      </c>
      <c r="O346" s="430" t="s">
        <v>2565</v>
      </c>
      <c r="P346" s="430" t="s">
        <v>2566</v>
      </c>
      <c r="Q346" s="430" t="s">
        <v>2566</v>
      </c>
      <c r="R346" s="430" t="s">
        <v>2567</v>
      </c>
      <c r="S346" s="430" t="s">
        <v>2567</v>
      </c>
      <c r="T346" s="430" t="s">
        <v>2569</v>
      </c>
      <c r="U346" s="430" t="s">
        <v>2569</v>
      </c>
      <c r="V346" s="430" t="s">
        <v>2570</v>
      </c>
      <c r="W346" s="429" t="s">
        <v>684</v>
      </c>
      <c r="X346" s="429" t="s">
        <v>2571</v>
      </c>
    </row>
    <row r="347">
      <c r="A347" s="295" t="s">
        <v>2572</v>
      </c>
      <c r="B347" s="298">
        <v>3.0</v>
      </c>
      <c r="C347" s="298" t="s">
        <v>288</v>
      </c>
      <c r="D347" s="298" t="s">
        <v>359</v>
      </c>
      <c r="E347" s="298" t="s">
        <v>290</v>
      </c>
      <c r="F347" s="298" t="str">
        <f>'Character Sheet'!$C$9</f>
        <v/>
      </c>
      <c r="G347" s="298" t="s">
        <v>294</v>
      </c>
      <c r="H347" s="298" t="s">
        <v>360</v>
      </c>
      <c r="I347" s="298" t="s">
        <v>296</v>
      </c>
      <c r="J347" s="298" t="s">
        <v>192</v>
      </c>
      <c r="K347" s="298" t="s">
        <v>298</v>
      </c>
      <c r="L347" s="298" t="s">
        <v>493</v>
      </c>
      <c r="M347" s="301" t="s">
        <v>315</v>
      </c>
      <c r="N347" s="301" t="s">
        <v>315</v>
      </c>
      <c r="O347" s="301" t="s">
        <v>2574</v>
      </c>
      <c r="P347" s="301" t="s">
        <v>2575</v>
      </c>
      <c r="Q347" s="301" t="s">
        <v>2576</v>
      </c>
      <c r="R347" s="301" t="s">
        <v>2577</v>
      </c>
      <c r="S347" s="301" t="s">
        <v>2578</v>
      </c>
      <c r="T347" s="301" t="s">
        <v>2579</v>
      </c>
      <c r="U347" s="301" t="s">
        <v>2581</v>
      </c>
      <c r="V347" s="301" t="s">
        <v>2582</v>
      </c>
      <c r="W347" s="298" t="s">
        <v>331</v>
      </c>
      <c r="X347" s="298" t="s">
        <v>678</v>
      </c>
    </row>
    <row r="348">
      <c r="A348" s="295" t="s">
        <v>2583</v>
      </c>
      <c r="B348" s="298">
        <v>3.0</v>
      </c>
      <c r="C348" s="298" t="s">
        <v>288</v>
      </c>
      <c r="D348" s="298" t="s">
        <v>310</v>
      </c>
      <c r="E348" s="298" t="s">
        <v>311</v>
      </c>
      <c r="F348" s="298" t="s">
        <v>625</v>
      </c>
      <c r="G348" s="298" t="s">
        <v>674</v>
      </c>
      <c r="H348" s="298" t="s">
        <v>352</v>
      </c>
      <c r="I348" s="298" t="s">
        <v>2165</v>
      </c>
      <c r="J348" s="298" t="s">
        <v>315</v>
      </c>
      <c r="K348" s="298" t="s">
        <v>675</v>
      </c>
      <c r="L348" s="298" t="s">
        <v>493</v>
      </c>
      <c r="M348" s="301" t="s">
        <v>315</v>
      </c>
      <c r="N348" s="301" t="s">
        <v>315</v>
      </c>
      <c r="O348" s="301" t="s">
        <v>2584</v>
      </c>
      <c r="P348" s="301" t="s">
        <v>2584</v>
      </c>
      <c r="Q348" s="301" t="s">
        <v>2584</v>
      </c>
      <c r="R348" s="301" t="s">
        <v>2584</v>
      </c>
      <c r="S348" s="301" t="s">
        <v>2584</v>
      </c>
      <c r="T348" s="301" t="s">
        <v>2584</v>
      </c>
      <c r="U348" s="301" t="s">
        <v>2584</v>
      </c>
      <c r="V348" s="301" t="s">
        <v>2584</v>
      </c>
      <c r="W348" s="298" t="s">
        <v>499</v>
      </c>
      <c r="X348" s="298" t="s">
        <v>306</v>
      </c>
    </row>
    <row r="349">
      <c r="A349" s="295" t="s">
        <v>2585</v>
      </c>
      <c r="B349" s="298">
        <v>3.0</v>
      </c>
      <c r="C349" s="298" t="s">
        <v>288</v>
      </c>
      <c r="D349" s="298" t="s">
        <v>151</v>
      </c>
      <c r="E349" s="298" t="s">
        <v>311</v>
      </c>
      <c r="F349" s="298" t="str">
        <f>'Character Sheet'!$C$9</f>
        <v/>
      </c>
      <c r="G349" s="298" t="s">
        <v>294</v>
      </c>
      <c r="H349" s="298" t="s">
        <v>360</v>
      </c>
      <c r="I349" s="298" t="s">
        <v>315</v>
      </c>
      <c r="J349" s="298" t="s">
        <v>180</v>
      </c>
      <c r="K349" s="298" t="s">
        <v>424</v>
      </c>
      <c r="L349" s="298" t="s">
        <v>493</v>
      </c>
      <c r="M349" s="301" t="s">
        <v>315</v>
      </c>
      <c r="N349" s="301" t="s">
        <v>315</v>
      </c>
      <c r="O349" s="301" t="s">
        <v>2587</v>
      </c>
      <c r="P349" s="301" t="s">
        <v>2587</v>
      </c>
      <c r="Q349" s="301" t="s">
        <v>2587</v>
      </c>
      <c r="R349" s="301" t="s">
        <v>2587</v>
      </c>
      <c r="S349" s="301" t="s">
        <v>2587</v>
      </c>
      <c r="T349" s="301" t="s">
        <v>2587</v>
      </c>
      <c r="U349" s="301" t="s">
        <v>2587</v>
      </c>
      <c r="V349" s="301" t="s">
        <v>2587</v>
      </c>
      <c r="W349" s="298" t="s">
        <v>305</v>
      </c>
      <c r="X349" s="298" t="s">
        <v>678</v>
      </c>
    </row>
    <row r="350">
      <c r="A350" s="295" t="s">
        <v>2588</v>
      </c>
      <c r="B350" s="298">
        <v>3.0</v>
      </c>
      <c r="C350" s="298" t="s">
        <v>288</v>
      </c>
      <c r="D350" s="298" t="s">
        <v>310</v>
      </c>
      <c r="E350" s="298" t="s">
        <v>290</v>
      </c>
      <c r="F350" s="298" t="str">
        <f>'Character Sheet'!$C$9</f>
        <v/>
      </c>
      <c r="G350" s="298" t="s">
        <v>294</v>
      </c>
      <c r="H350" s="298" t="s">
        <v>295</v>
      </c>
      <c r="I350" s="298" t="s">
        <v>296</v>
      </c>
      <c r="J350" s="298" t="s">
        <v>192</v>
      </c>
      <c r="K350" s="298" t="s">
        <v>478</v>
      </c>
      <c r="L350" s="298" t="s">
        <v>493</v>
      </c>
      <c r="M350" s="301" t="s">
        <v>315</v>
      </c>
      <c r="N350" s="301" t="s">
        <v>315</v>
      </c>
      <c r="O350" s="301" t="s">
        <v>2591</v>
      </c>
      <c r="P350" s="301" t="s">
        <v>2591</v>
      </c>
      <c r="Q350" s="301" t="s">
        <v>2591</v>
      </c>
      <c r="R350" s="301" t="s">
        <v>2591</v>
      </c>
      <c r="S350" s="301" t="s">
        <v>2592</v>
      </c>
      <c r="T350" s="301" t="s">
        <v>2592</v>
      </c>
      <c r="U350" s="301" t="s">
        <v>2592</v>
      </c>
      <c r="V350" s="301" t="s">
        <v>2592</v>
      </c>
      <c r="W350" s="298" t="s">
        <v>429</v>
      </c>
      <c r="X350" s="298" t="s">
        <v>569</v>
      </c>
    </row>
    <row r="351">
      <c r="A351" s="295" t="s">
        <v>2594</v>
      </c>
      <c r="B351" s="298">
        <v>3.0</v>
      </c>
      <c r="C351" s="298" t="s">
        <v>288</v>
      </c>
      <c r="D351" s="298" t="s">
        <v>334</v>
      </c>
      <c r="E351" s="298" t="s">
        <v>311</v>
      </c>
      <c r="F351" s="298" t="str">
        <f>'Character Sheet'!$C$9</f>
        <v/>
      </c>
      <c r="G351" s="298" t="s">
        <v>294</v>
      </c>
      <c r="H351" s="298" t="s">
        <v>295</v>
      </c>
      <c r="I351" s="298" t="s">
        <v>2596</v>
      </c>
      <c r="J351" s="298" t="s">
        <v>315</v>
      </c>
      <c r="K351" s="298" t="s">
        <v>545</v>
      </c>
      <c r="L351" s="298" t="s">
        <v>493</v>
      </c>
      <c r="M351" s="301" t="s">
        <v>315</v>
      </c>
      <c r="N351" s="301" t="s">
        <v>315</v>
      </c>
      <c r="O351" s="301" t="s">
        <v>2597</v>
      </c>
      <c r="P351" s="301" t="s">
        <v>2598</v>
      </c>
      <c r="Q351" s="301" t="s">
        <v>2599</v>
      </c>
      <c r="R351" s="301" t="s">
        <v>2600</v>
      </c>
      <c r="S351" s="301" t="s">
        <v>2601</v>
      </c>
      <c r="T351" s="301" t="s">
        <v>2602</v>
      </c>
      <c r="U351" s="301" t="s">
        <v>2603</v>
      </c>
      <c r="V351" s="301" t="s">
        <v>2604</v>
      </c>
      <c r="W351" s="298" t="s">
        <v>331</v>
      </c>
      <c r="X351" s="298" t="s">
        <v>306</v>
      </c>
    </row>
    <row r="352">
      <c r="A352" s="295" t="s">
        <v>2605</v>
      </c>
      <c r="B352" s="298">
        <v>3.0</v>
      </c>
      <c r="C352" s="298" t="s">
        <v>288</v>
      </c>
      <c r="D352" s="298" t="s">
        <v>289</v>
      </c>
      <c r="E352" s="298" t="s">
        <v>290</v>
      </c>
      <c r="F352" s="298" t="str">
        <f>'Character Sheet'!$C$9</f>
        <v/>
      </c>
      <c r="G352" s="298" t="s">
        <v>294</v>
      </c>
      <c r="H352" s="298" t="s">
        <v>324</v>
      </c>
      <c r="I352" s="298" t="s">
        <v>2607</v>
      </c>
      <c r="J352" s="298" t="s">
        <v>407</v>
      </c>
      <c r="K352" s="298" t="s">
        <v>298</v>
      </c>
      <c r="L352" s="298" t="s">
        <v>493</v>
      </c>
      <c r="M352" s="301" t="s">
        <v>315</v>
      </c>
      <c r="N352" s="301" t="s">
        <v>315</v>
      </c>
      <c r="O352" s="301" t="s">
        <v>2608</v>
      </c>
      <c r="P352" s="301" t="s">
        <v>2609</v>
      </c>
      <c r="Q352" s="301" t="s">
        <v>2610</v>
      </c>
      <c r="R352" s="301" t="s">
        <v>2611</v>
      </c>
      <c r="S352" s="301" t="s">
        <v>2612</v>
      </c>
      <c r="T352" s="301" t="s">
        <v>2613</v>
      </c>
      <c r="U352" s="301" t="s">
        <v>2614</v>
      </c>
      <c r="V352" s="301" t="s">
        <v>2615</v>
      </c>
      <c r="W352" s="298" t="s">
        <v>305</v>
      </c>
      <c r="X352" s="298" t="s">
        <v>318</v>
      </c>
    </row>
    <row r="353">
      <c r="A353" s="295" t="s">
        <v>2616</v>
      </c>
      <c r="B353" s="298">
        <v>3.0</v>
      </c>
      <c r="C353" s="298" t="s">
        <v>288</v>
      </c>
      <c r="D353" s="298" t="s">
        <v>334</v>
      </c>
      <c r="E353" s="298" t="s">
        <v>311</v>
      </c>
      <c r="F353" s="298" t="str">
        <f>'Character Sheet'!$C$9</f>
        <v/>
      </c>
      <c r="G353" s="298" t="s">
        <v>294</v>
      </c>
      <c r="H353" s="298" t="s">
        <v>295</v>
      </c>
      <c r="I353" s="298" t="s">
        <v>296</v>
      </c>
      <c r="J353" s="298" t="s">
        <v>173</v>
      </c>
      <c r="K353" s="298" t="s">
        <v>1174</v>
      </c>
      <c r="L353" s="298" t="s">
        <v>493</v>
      </c>
      <c r="M353" s="301" t="s">
        <v>315</v>
      </c>
      <c r="N353" s="301" t="s">
        <v>315</v>
      </c>
      <c r="O353" s="301" t="s">
        <v>2618</v>
      </c>
      <c r="P353" s="301" t="s">
        <v>2618</v>
      </c>
      <c r="Q353" s="301" t="s">
        <v>2618</v>
      </c>
      <c r="R353" s="301" t="s">
        <v>2618</v>
      </c>
      <c r="S353" s="301" t="s">
        <v>2618</v>
      </c>
      <c r="T353" s="301" t="s">
        <v>2618</v>
      </c>
      <c r="U353" s="301" t="s">
        <v>2618</v>
      </c>
      <c r="V353" s="301" t="s">
        <v>2618</v>
      </c>
      <c r="W353" s="298" t="s">
        <v>317</v>
      </c>
      <c r="X353" s="298" t="s">
        <v>306</v>
      </c>
    </row>
    <row r="354">
      <c r="A354" s="295" t="s">
        <v>2619</v>
      </c>
      <c r="B354" s="298">
        <v>3.0</v>
      </c>
      <c r="C354" s="298" t="s">
        <v>288</v>
      </c>
      <c r="D354" s="298" t="s">
        <v>151</v>
      </c>
      <c r="E354" s="298" t="s">
        <v>290</v>
      </c>
      <c r="F354" s="298" t="str">
        <f>'Character Sheet'!$E$9</f>
        <v/>
      </c>
      <c r="G354" s="298" t="s">
        <v>674</v>
      </c>
      <c r="H354" s="298" t="s">
        <v>335</v>
      </c>
      <c r="I354" s="298" t="s">
        <v>780</v>
      </c>
      <c r="J354" s="298" t="s">
        <v>315</v>
      </c>
      <c r="K354" s="298" t="s">
        <v>675</v>
      </c>
      <c r="L354" s="298" t="s">
        <v>493</v>
      </c>
      <c r="M354" s="301" t="s">
        <v>315</v>
      </c>
      <c r="N354" s="301" t="s">
        <v>315</v>
      </c>
      <c r="O354" s="301" t="s">
        <v>2620</v>
      </c>
      <c r="P354" s="301" t="s">
        <v>2620</v>
      </c>
      <c r="Q354" s="301" t="s">
        <v>2621</v>
      </c>
      <c r="R354" s="301" t="s">
        <v>2621</v>
      </c>
      <c r="S354" s="301" t="s">
        <v>2621</v>
      </c>
      <c r="T354" s="301" t="s">
        <v>2621</v>
      </c>
      <c r="U354" s="301" t="s">
        <v>2621</v>
      </c>
      <c r="V354" s="301" t="s">
        <v>2621</v>
      </c>
      <c r="W354" s="298" t="s">
        <v>357</v>
      </c>
      <c r="X354" s="298" t="s">
        <v>318</v>
      </c>
    </row>
    <row r="355">
      <c r="A355" s="295" t="s">
        <v>2622</v>
      </c>
      <c r="B355" s="298">
        <v>3.0</v>
      </c>
      <c r="C355" s="298" t="s">
        <v>288</v>
      </c>
      <c r="D355" s="298" t="s">
        <v>289</v>
      </c>
      <c r="E355" s="298" t="s">
        <v>311</v>
      </c>
      <c r="F355" s="298" t="str">
        <f>'Character Sheet'!$C$9</f>
        <v/>
      </c>
      <c r="G355" s="298" t="s">
        <v>294</v>
      </c>
      <c r="H355" s="298" t="s">
        <v>324</v>
      </c>
      <c r="I355" s="298" t="s">
        <v>324</v>
      </c>
      <c r="J355" s="298" t="s">
        <v>315</v>
      </c>
      <c r="K355" s="298" t="s">
        <v>632</v>
      </c>
      <c r="L355" s="298" t="s">
        <v>493</v>
      </c>
      <c r="M355" s="301" t="s">
        <v>315</v>
      </c>
      <c r="N355" s="301" t="s">
        <v>315</v>
      </c>
      <c r="O355" s="301" t="s">
        <v>2624</v>
      </c>
      <c r="P355" s="301" t="s">
        <v>2624</v>
      </c>
      <c r="Q355" s="301" t="s">
        <v>2624</v>
      </c>
      <c r="R355" s="301" t="s">
        <v>2624</v>
      </c>
      <c r="S355" s="301" t="s">
        <v>2624</v>
      </c>
      <c r="T355" s="301" t="s">
        <v>2624</v>
      </c>
      <c r="U355" s="301" t="s">
        <v>2624</v>
      </c>
      <c r="V355" s="301" t="s">
        <v>2624</v>
      </c>
      <c r="W355" s="298" t="s">
        <v>460</v>
      </c>
      <c r="X355" s="298" t="s">
        <v>569</v>
      </c>
    </row>
    <row r="356">
      <c r="A356" s="295" t="s">
        <v>2625</v>
      </c>
      <c r="B356" s="298">
        <v>3.0</v>
      </c>
      <c r="C356" s="298" t="s">
        <v>522</v>
      </c>
      <c r="D356" s="298" t="s">
        <v>421</v>
      </c>
      <c r="E356" s="298" t="s">
        <v>290</v>
      </c>
      <c r="F356" s="298" t="str">
        <f>'Character Sheet'!$E$9</f>
        <v/>
      </c>
      <c r="G356" s="298" t="s">
        <v>674</v>
      </c>
      <c r="H356" s="298" t="s">
        <v>360</v>
      </c>
      <c r="I356" s="298" t="s">
        <v>296</v>
      </c>
      <c r="J356" s="298" t="s">
        <v>192</v>
      </c>
      <c r="K356" s="298" t="s">
        <v>632</v>
      </c>
      <c r="L356" s="298" t="s">
        <v>493</v>
      </c>
      <c r="M356" s="301" t="s">
        <v>315</v>
      </c>
      <c r="N356" s="301" t="s">
        <v>315</v>
      </c>
      <c r="O356" s="301" t="s">
        <v>2627</v>
      </c>
      <c r="P356" s="301" t="s">
        <v>2628</v>
      </c>
      <c r="Q356" s="301" t="s">
        <v>2629</v>
      </c>
      <c r="R356" s="301" t="s">
        <v>2629</v>
      </c>
      <c r="S356" s="301" t="s">
        <v>2629</v>
      </c>
      <c r="T356" s="301" t="s">
        <v>2629</v>
      </c>
      <c r="U356" s="301" t="s">
        <v>2629</v>
      </c>
      <c r="V356" s="301" t="s">
        <v>2629</v>
      </c>
      <c r="W356" s="298" t="s">
        <v>317</v>
      </c>
      <c r="X356" s="298" t="s">
        <v>2632</v>
      </c>
    </row>
    <row r="357">
      <c r="A357" s="295" t="s">
        <v>2633</v>
      </c>
      <c r="B357" s="298">
        <v>3.0</v>
      </c>
      <c r="C357" s="298" t="s">
        <v>288</v>
      </c>
      <c r="D357" s="298" t="s">
        <v>289</v>
      </c>
      <c r="E357" s="298" t="s">
        <v>290</v>
      </c>
      <c r="F357" s="298" t="str">
        <f>'Character Sheet'!$C$9</f>
        <v/>
      </c>
      <c r="G357" s="298" t="s">
        <v>294</v>
      </c>
      <c r="H357" s="298" t="s">
        <v>352</v>
      </c>
      <c r="I357" s="298" t="s">
        <v>296</v>
      </c>
      <c r="J357" s="298" t="s">
        <v>203</v>
      </c>
      <c r="K357" s="298" t="s">
        <v>298</v>
      </c>
      <c r="L357" s="298" t="s">
        <v>493</v>
      </c>
      <c r="M357" s="301" t="s">
        <v>315</v>
      </c>
      <c r="N357" s="301" t="s">
        <v>315</v>
      </c>
      <c r="O357" s="301" t="s">
        <v>2634</v>
      </c>
      <c r="P357" s="301" t="s">
        <v>2635</v>
      </c>
      <c r="Q357" s="301" t="s">
        <v>2636</v>
      </c>
      <c r="R357" s="301" t="s">
        <v>2637</v>
      </c>
      <c r="S357" s="301" t="s">
        <v>2638</v>
      </c>
      <c r="T357" s="301" t="s">
        <v>2640</v>
      </c>
      <c r="U357" s="301" t="s">
        <v>2642</v>
      </c>
      <c r="V357" s="301" t="s">
        <v>2643</v>
      </c>
      <c r="W357" s="298" t="s">
        <v>404</v>
      </c>
      <c r="X357" s="298" t="s">
        <v>306</v>
      </c>
    </row>
    <row r="358">
      <c r="A358" s="295" t="s">
        <v>2644</v>
      </c>
      <c r="B358" s="298">
        <v>3.0</v>
      </c>
      <c r="C358" s="298" t="s">
        <v>522</v>
      </c>
      <c r="D358" s="298" t="s">
        <v>421</v>
      </c>
      <c r="E358" s="298" t="s">
        <v>290</v>
      </c>
      <c r="F358" s="298" t="str">
        <f>'Character Sheet'!$E$9</f>
        <v/>
      </c>
      <c r="G358" s="298" t="s">
        <v>674</v>
      </c>
      <c r="H358" s="298" t="s">
        <v>335</v>
      </c>
      <c r="I358" s="298" t="s">
        <v>2607</v>
      </c>
      <c r="J358" s="298" t="s">
        <v>315</v>
      </c>
      <c r="K358" s="298" t="s">
        <v>632</v>
      </c>
      <c r="L358" s="298" t="s">
        <v>493</v>
      </c>
      <c r="M358" s="301" t="s">
        <v>315</v>
      </c>
      <c r="N358" s="301" t="s">
        <v>315</v>
      </c>
      <c r="O358" s="301" t="s">
        <v>2646</v>
      </c>
      <c r="P358" s="301" t="s">
        <v>2647</v>
      </c>
      <c r="Q358" s="301" t="s">
        <v>2647</v>
      </c>
      <c r="R358" s="301" t="s">
        <v>2647</v>
      </c>
      <c r="S358" s="301" t="s">
        <v>2647</v>
      </c>
      <c r="T358" s="301" t="s">
        <v>2647</v>
      </c>
      <c r="U358" s="301" t="s">
        <v>2647</v>
      </c>
      <c r="V358" s="301" t="s">
        <v>2647</v>
      </c>
      <c r="W358" s="298" t="s">
        <v>429</v>
      </c>
      <c r="X358" s="298" t="s">
        <v>306</v>
      </c>
    </row>
    <row r="359">
      <c r="A359" s="295" t="s">
        <v>2648</v>
      </c>
      <c r="B359" s="298">
        <v>3.0</v>
      </c>
      <c r="C359" s="298" t="s">
        <v>288</v>
      </c>
      <c r="D359" s="298" t="s">
        <v>334</v>
      </c>
      <c r="E359" s="298" t="s">
        <v>311</v>
      </c>
      <c r="F359" s="298" t="str">
        <f>'Character Sheet'!$C$9</f>
        <v/>
      </c>
      <c r="G359" s="298" t="s">
        <v>294</v>
      </c>
      <c r="H359" s="298" t="s">
        <v>335</v>
      </c>
      <c r="I359" s="298" t="s">
        <v>296</v>
      </c>
      <c r="J359" s="298" t="s">
        <v>315</v>
      </c>
      <c r="K359" s="298" t="s">
        <v>1990</v>
      </c>
      <c r="L359" s="298" t="s">
        <v>493</v>
      </c>
      <c r="M359" s="301" t="s">
        <v>315</v>
      </c>
      <c r="N359" s="301" t="s">
        <v>315</v>
      </c>
      <c r="O359" s="301" t="s">
        <v>2652</v>
      </c>
      <c r="P359" s="301" t="s">
        <v>2652</v>
      </c>
      <c r="Q359" s="301" t="s">
        <v>2652</v>
      </c>
      <c r="R359" s="301" t="s">
        <v>2652</v>
      </c>
      <c r="S359" s="301" t="s">
        <v>2652</v>
      </c>
      <c r="T359" s="301" t="s">
        <v>2652</v>
      </c>
      <c r="U359" s="301" t="s">
        <v>2652</v>
      </c>
      <c r="V359" s="301" t="s">
        <v>2652</v>
      </c>
      <c r="W359" s="298" t="s">
        <v>429</v>
      </c>
      <c r="X359" s="298" t="s">
        <v>318</v>
      </c>
    </row>
    <row r="360">
      <c r="A360" s="295" t="s">
        <v>2653</v>
      </c>
      <c r="B360" s="298">
        <v>3.0</v>
      </c>
      <c r="C360" s="298" t="s">
        <v>288</v>
      </c>
      <c r="D360" s="298" t="s">
        <v>310</v>
      </c>
      <c r="E360" s="298" t="s">
        <v>311</v>
      </c>
      <c r="F360" s="298" t="s">
        <v>625</v>
      </c>
      <c r="G360" s="298" t="s">
        <v>674</v>
      </c>
      <c r="H360" s="298" t="s">
        <v>1278</v>
      </c>
      <c r="I360" s="298" t="s">
        <v>315</v>
      </c>
      <c r="J360" s="298" t="s">
        <v>315</v>
      </c>
      <c r="K360" s="298" t="s">
        <v>325</v>
      </c>
      <c r="L360" s="298" t="s">
        <v>493</v>
      </c>
      <c r="M360" s="301" t="s">
        <v>315</v>
      </c>
      <c r="N360" s="301" t="s">
        <v>315</v>
      </c>
      <c r="O360" s="301" t="s">
        <v>2655</v>
      </c>
      <c r="P360" s="301" t="s">
        <v>2655</v>
      </c>
      <c r="Q360" s="301" t="s">
        <v>2655</v>
      </c>
      <c r="R360" s="301" t="s">
        <v>2655</v>
      </c>
      <c r="S360" s="301" t="s">
        <v>2655</v>
      </c>
      <c r="T360" s="301" t="s">
        <v>2655</v>
      </c>
      <c r="U360" s="301" t="s">
        <v>2655</v>
      </c>
      <c r="V360" s="301" t="s">
        <v>2655</v>
      </c>
      <c r="W360" s="298" t="s">
        <v>460</v>
      </c>
      <c r="X360" s="298" t="s">
        <v>306</v>
      </c>
    </row>
    <row r="361">
      <c r="A361" s="295" t="s">
        <v>2657</v>
      </c>
      <c r="B361" s="298">
        <v>3.0</v>
      </c>
      <c r="C361" s="298" t="s">
        <v>522</v>
      </c>
      <c r="D361" s="298" t="s">
        <v>462</v>
      </c>
      <c r="E361" s="298" t="s">
        <v>290</v>
      </c>
      <c r="F361" s="298" t="str">
        <f>'Character Sheet'!$C$9</f>
        <v/>
      </c>
      <c r="G361" s="298" t="s">
        <v>294</v>
      </c>
      <c r="H361" s="298" t="s">
        <v>324</v>
      </c>
      <c r="I361" s="298" t="s">
        <v>324</v>
      </c>
      <c r="J361" s="298" t="s">
        <v>315</v>
      </c>
      <c r="K361" s="298" t="s">
        <v>632</v>
      </c>
      <c r="L361" s="298" t="s">
        <v>493</v>
      </c>
      <c r="M361" s="301" t="s">
        <v>315</v>
      </c>
      <c r="N361" s="301" t="s">
        <v>315</v>
      </c>
      <c r="O361" s="301" t="s">
        <v>2659</v>
      </c>
      <c r="P361" s="301" t="s">
        <v>2659</v>
      </c>
      <c r="Q361" s="301" t="s">
        <v>2659</v>
      </c>
      <c r="R361" s="301" t="s">
        <v>2660</v>
      </c>
      <c r="S361" s="301" t="s">
        <v>2660</v>
      </c>
      <c r="T361" s="301" t="s">
        <v>2660</v>
      </c>
      <c r="U361" s="301" t="s">
        <v>2661</v>
      </c>
      <c r="V361" s="301" t="s">
        <v>2661</v>
      </c>
      <c r="W361" s="298" t="s">
        <v>404</v>
      </c>
      <c r="X361" s="298" t="s">
        <v>1082</v>
      </c>
    </row>
    <row r="362">
      <c r="A362" s="295" t="s">
        <v>2662</v>
      </c>
      <c r="B362" s="298">
        <v>3.0</v>
      </c>
      <c r="C362" s="298" t="s">
        <v>288</v>
      </c>
      <c r="D362" s="298" t="s">
        <v>151</v>
      </c>
      <c r="E362" s="298" t="s">
        <v>311</v>
      </c>
      <c r="F362" s="298" t="s">
        <v>625</v>
      </c>
      <c r="G362" s="298" t="s">
        <v>674</v>
      </c>
      <c r="H362" s="298" t="s">
        <v>295</v>
      </c>
      <c r="I362" s="298" t="s">
        <v>315</v>
      </c>
      <c r="J362" s="298" t="s">
        <v>315</v>
      </c>
      <c r="K362" s="298" t="s">
        <v>2664</v>
      </c>
      <c r="L362" s="298" t="s">
        <v>493</v>
      </c>
      <c r="M362" s="301" t="s">
        <v>315</v>
      </c>
      <c r="N362" s="301" t="s">
        <v>315</v>
      </c>
      <c r="O362" s="301" t="s">
        <v>2665</v>
      </c>
      <c r="P362" s="301" t="s">
        <v>2665</v>
      </c>
      <c r="Q362" s="301" t="s">
        <v>2665</v>
      </c>
      <c r="R362" s="301" t="s">
        <v>2665</v>
      </c>
      <c r="S362" s="301" t="s">
        <v>2665</v>
      </c>
      <c r="T362" s="301" t="s">
        <v>2665</v>
      </c>
      <c r="U362" s="301" t="s">
        <v>2665</v>
      </c>
      <c r="V362" s="301" t="s">
        <v>2665</v>
      </c>
      <c r="W362" s="298" t="s">
        <v>460</v>
      </c>
      <c r="X362" s="298" t="s">
        <v>678</v>
      </c>
    </row>
    <row r="363">
      <c r="A363" s="295" t="s">
        <v>2667</v>
      </c>
      <c r="B363" s="298">
        <v>3.0</v>
      </c>
      <c r="C363" s="298" t="s">
        <v>288</v>
      </c>
      <c r="D363" s="298" t="s">
        <v>289</v>
      </c>
      <c r="E363" s="298" t="s">
        <v>290</v>
      </c>
      <c r="F363" s="298" t="str">
        <f>'Character Sheet'!$C$9</f>
        <v/>
      </c>
      <c r="G363" s="298" t="s">
        <v>294</v>
      </c>
      <c r="H363" s="298" t="s">
        <v>324</v>
      </c>
      <c r="I363" s="298" t="s">
        <v>2051</v>
      </c>
      <c r="J363" s="298" t="s">
        <v>407</v>
      </c>
      <c r="K363" s="298" t="s">
        <v>298</v>
      </c>
      <c r="L363" s="298" t="s">
        <v>493</v>
      </c>
      <c r="M363" s="301" t="s">
        <v>315</v>
      </c>
      <c r="N363" s="301" t="s">
        <v>315</v>
      </c>
      <c r="O363" s="301" t="s">
        <v>2668</v>
      </c>
      <c r="P363" s="301" t="s">
        <v>2669</v>
      </c>
      <c r="Q363" s="301" t="s">
        <v>2670</v>
      </c>
      <c r="R363" s="301" t="s">
        <v>2671</v>
      </c>
      <c r="S363" s="301" t="s">
        <v>2672</v>
      </c>
      <c r="T363" s="301" t="s">
        <v>2673</v>
      </c>
      <c r="U363" s="301" t="s">
        <v>2674</v>
      </c>
      <c r="V363" s="301" t="s">
        <v>2676</v>
      </c>
      <c r="W363" s="298" t="s">
        <v>305</v>
      </c>
      <c r="X363" s="298" t="s">
        <v>678</v>
      </c>
    </row>
    <row r="364">
      <c r="A364" s="295" t="s">
        <v>2677</v>
      </c>
      <c r="B364" s="298">
        <v>3.0</v>
      </c>
      <c r="C364" s="298" t="s">
        <v>288</v>
      </c>
      <c r="D364" s="298" t="s">
        <v>359</v>
      </c>
      <c r="E364" s="298" t="s">
        <v>290</v>
      </c>
      <c r="F364" s="298" t="str">
        <f>'Character Sheet'!$C$9</f>
        <v/>
      </c>
      <c r="G364" s="298" t="s">
        <v>294</v>
      </c>
      <c r="H364" s="298" t="s">
        <v>295</v>
      </c>
      <c r="I364" s="298" t="s">
        <v>296</v>
      </c>
      <c r="J364" s="298" t="s">
        <v>192</v>
      </c>
      <c r="K364" s="298" t="s">
        <v>298</v>
      </c>
      <c r="L364" s="298" t="s">
        <v>493</v>
      </c>
      <c r="M364" s="301" t="s">
        <v>315</v>
      </c>
      <c r="N364" s="301" t="s">
        <v>315</v>
      </c>
      <c r="O364" s="301" t="s">
        <v>2678</v>
      </c>
      <c r="P364" s="301" t="s">
        <v>2679</v>
      </c>
      <c r="Q364" s="301" t="s">
        <v>2680</v>
      </c>
      <c r="R364" s="301" t="s">
        <v>2681</v>
      </c>
      <c r="S364" s="301" t="s">
        <v>2682</v>
      </c>
      <c r="T364" s="301" t="s">
        <v>2683</v>
      </c>
      <c r="U364" s="301" t="s">
        <v>2684</v>
      </c>
      <c r="V364" s="301" t="s">
        <v>2686</v>
      </c>
      <c r="W364" s="298" t="s">
        <v>404</v>
      </c>
      <c r="X364" s="298" t="s">
        <v>306</v>
      </c>
    </row>
    <row r="365">
      <c r="A365" s="295" t="s">
        <v>2687</v>
      </c>
      <c r="B365" s="298">
        <v>3.0</v>
      </c>
      <c r="C365" s="298" t="s">
        <v>288</v>
      </c>
      <c r="D365" s="298" t="s">
        <v>334</v>
      </c>
      <c r="E365" s="298" t="s">
        <v>290</v>
      </c>
      <c r="F365" s="298" t="str">
        <f>'Character Sheet'!$E$9</f>
        <v/>
      </c>
      <c r="G365" s="298" t="s">
        <v>674</v>
      </c>
      <c r="H365" s="298" t="s">
        <v>295</v>
      </c>
      <c r="I365" s="298" t="s">
        <v>2038</v>
      </c>
      <c r="J365" s="298" t="s">
        <v>173</v>
      </c>
      <c r="K365" s="298" t="s">
        <v>545</v>
      </c>
      <c r="L365" s="298" t="s">
        <v>493</v>
      </c>
      <c r="M365" s="301" t="s">
        <v>315</v>
      </c>
      <c r="N365" s="301" t="s">
        <v>315</v>
      </c>
      <c r="O365" s="301" t="s">
        <v>2688</v>
      </c>
      <c r="P365" s="301" t="s">
        <v>2688</v>
      </c>
      <c r="Q365" s="301" t="s">
        <v>2688</v>
      </c>
      <c r="R365" s="301" t="s">
        <v>2689</v>
      </c>
      <c r="S365" s="301" t="s">
        <v>2689</v>
      </c>
      <c r="T365" s="301" t="s">
        <v>2689</v>
      </c>
      <c r="U365" s="301" t="s">
        <v>2690</v>
      </c>
      <c r="V365" s="301" t="s">
        <v>2690</v>
      </c>
      <c r="W365" s="298" t="s">
        <v>357</v>
      </c>
      <c r="X365" s="298" t="s">
        <v>966</v>
      </c>
    </row>
    <row r="366">
      <c r="A366" s="295" t="s">
        <v>2691</v>
      </c>
      <c r="B366" s="298">
        <v>3.0</v>
      </c>
      <c r="C366" s="298" t="s">
        <v>288</v>
      </c>
      <c r="D366" s="298" t="s">
        <v>462</v>
      </c>
      <c r="E366" s="298" t="s">
        <v>290</v>
      </c>
      <c r="F366" s="298" t="str">
        <f>'Character Sheet'!$C$9</f>
        <v/>
      </c>
      <c r="G366" s="298" t="s">
        <v>294</v>
      </c>
      <c r="H366" s="298" t="s">
        <v>335</v>
      </c>
      <c r="I366" s="298" t="s">
        <v>1568</v>
      </c>
      <c r="J366" s="298" t="s">
        <v>173</v>
      </c>
      <c r="K366" s="298" t="s">
        <v>1174</v>
      </c>
      <c r="L366" s="298" t="s">
        <v>493</v>
      </c>
      <c r="M366" s="301" t="s">
        <v>315</v>
      </c>
      <c r="N366" s="301" t="s">
        <v>315</v>
      </c>
      <c r="O366" s="301" t="s">
        <v>2693</v>
      </c>
      <c r="P366" s="301" t="s">
        <v>2694</v>
      </c>
      <c r="Q366" s="301" t="s">
        <v>2695</v>
      </c>
      <c r="R366" s="301" t="s">
        <v>2697</v>
      </c>
      <c r="S366" s="301" t="s">
        <v>2698</v>
      </c>
      <c r="T366" s="301" t="s">
        <v>2699</v>
      </c>
      <c r="U366" s="301" t="s">
        <v>2700</v>
      </c>
      <c r="V366" s="301" t="s">
        <v>2701</v>
      </c>
      <c r="W366" s="298" t="s">
        <v>357</v>
      </c>
      <c r="X366" s="298" t="s">
        <v>678</v>
      </c>
    </row>
    <row r="367">
      <c r="A367" s="295" t="s">
        <v>2702</v>
      </c>
      <c r="B367" s="298">
        <v>3.0</v>
      </c>
      <c r="C367" s="298" t="s">
        <v>288</v>
      </c>
      <c r="D367" s="298" t="s">
        <v>462</v>
      </c>
      <c r="E367" s="298" t="s">
        <v>290</v>
      </c>
      <c r="F367" s="298" t="str">
        <f>'Character Sheet'!$C$9</f>
        <v/>
      </c>
      <c r="G367" s="298" t="s">
        <v>294</v>
      </c>
      <c r="H367" s="298" t="s">
        <v>352</v>
      </c>
      <c r="I367" s="298" t="s">
        <v>2038</v>
      </c>
      <c r="J367" s="298" t="s">
        <v>173</v>
      </c>
      <c r="K367" s="298" t="s">
        <v>632</v>
      </c>
      <c r="L367" s="298" t="s">
        <v>493</v>
      </c>
      <c r="M367" s="301" t="s">
        <v>315</v>
      </c>
      <c r="N367" s="301" t="s">
        <v>315</v>
      </c>
      <c r="O367" s="301" t="s">
        <v>2704</v>
      </c>
      <c r="P367" s="301" t="s">
        <v>2704</v>
      </c>
      <c r="Q367" s="301" t="s">
        <v>2704</v>
      </c>
      <c r="R367" s="301" t="s">
        <v>2705</v>
      </c>
      <c r="S367" s="301" t="s">
        <v>2705</v>
      </c>
      <c r="T367" s="301" t="s">
        <v>2705</v>
      </c>
      <c r="U367" s="301" t="s">
        <v>2705</v>
      </c>
      <c r="V367" s="301" t="s">
        <v>2705</v>
      </c>
      <c r="W367" s="298" t="s">
        <v>357</v>
      </c>
      <c r="X367" s="298" t="s">
        <v>318</v>
      </c>
    </row>
    <row r="368">
      <c r="A368" s="295" t="s">
        <v>2706</v>
      </c>
      <c r="B368" s="298">
        <v>3.0</v>
      </c>
      <c r="C368" s="298" t="s">
        <v>288</v>
      </c>
      <c r="D368" s="298" t="s">
        <v>321</v>
      </c>
      <c r="E368" s="298" t="s">
        <v>290</v>
      </c>
      <c r="F368" s="298" t="str">
        <f>'Character Sheet'!$C$9</f>
        <v/>
      </c>
      <c r="G368" s="298" t="s">
        <v>294</v>
      </c>
      <c r="H368" s="298" t="s">
        <v>295</v>
      </c>
      <c r="I368" s="298" t="s">
        <v>296</v>
      </c>
      <c r="J368" s="298" t="s">
        <v>192</v>
      </c>
      <c r="K368" s="298" t="s">
        <v>1174</v>
      </c>
      <c r="L368" s="298" t="s">
        <v>493</v>
      </c>
      <c r="M368" s="301" t="s">
        <v>315</v>
      </c>
      <c r="N368" s="301" t="s">
        <v>315</v>
      </c>
      <c r="O368" s="301" t="s">
        <v>2707</v>
      </c>
      <c r="P368" s="301" t="s">
        <v>2707</v>
      </c>
      <c r="Q368" s="301" t="s">
        <v>2707</v>
      </c>
      <c r="R368" s="301" t="s">
        <v>2707</v>
      </c>
      <c r="S368" s="301" t="s">
        <v>2708</v>
      </c>
      <c r="T368" s="301" t="s">
        <v>2708</v>
      </c>
      <c r="U368" s="301" t="s">
        <v>2708</v>
      </c>
      <c r="V368" s="301" t="s">
        <v>2708</v>
      </c>
      <c r="W368" s="298" t="s">
        <v>460</v>
      </c>
      <c r="X368" s="298" t="s">
        <v>318</v>
      </c>
    </row>
    <row r="369">
      <c r="A369" s="295" t="s">
        <v>2709</v>
      </c>
      <c r="B369" s="298">
        <v>3.0</v>
      </c>
      <c r="C369" s="298" t="s">
        <v>522</v>
      </c>
      <c r="D369" s="298" t="s">
        <v>462</v>
      </c>
      <c r="E369" s="298" t="s">
        <v>290</v>
      </c>
      <c r="F369" s="298" t="str">
        <f>'Character Sheet'!$E$9</f>
        <v/>
      </c>
      <c r="G369" s="298" t="s">
        <v>674</v>
      </c>
      <c r="H369" s="298" t="s">
        <v>352</v>
      </c>
      <c r="I369" s="298" t="s">
        <v>315</v>
      </c>
      <c r="J369" s="298" t="s">
        <v>315</v>
      </c>
      <c r="K369" s="298" t="s">
        <v>632</v>
      </c>
      <c r="L369" s="298" t="s">
        <v>493</v>
      </c>
      <c r="M369" s="301" t="s">
        <v>315</v>
      </c>
      <c r="N369" s="301" t="s">
        <v>315</v>
      </c>
      <c r="O369" s="301" t="s">
        <v>2710</v>
      </c>
      <c r="P369" s="301" t="s">
        <v>2710</v>
      </c>
      <c r="Q369" s="301" t="s">
        <v>2711</v>
      </c>
      <c r="R369" s="301" t="s">
        <v>2711</v>
      </c>
      <c r="S369" s="301" t="s">
        <v>2713</v>
      </c>
      <c r="T369" s="301" t="s">
        <v>2713</v>
      </c>
      <c r="U369" s="301" t="s">
        <v>2714</v>
      </c>
      <c r="V369" s="301" t="s">
        <v>2714</v>
      </c>
      <c r="W369" s="298" t="s">
        <v>305</v>
      </c>
      <c r="X369" s="298" t="s">
        <v>1082</v>
      </c>
    </row>
    <row r="370">
      <c r="A370" s="295" t="s">
        <v>2715</v>
      </c>
      <c r="B370" s="298">
        <v>3.0</v>
      </c>
      <c r="C370" s="298" t="s">
        <v>288</v>
      </c>
      <c r="D370" s="298" t="s">
        <v>359</v>
      </c>
      <c r="E370" s="298" t="s">
        <v>290</v>
      </c>
      <c r="F370" s="298" t="s">
        <v>999</v>
      </c>
      <c r="G370" s="298" t="s">
        <v>294</v>
      </c>
      <c r="H370" s="298" t="s">
        <v>2115</v>
      </c>
      <c r="I370" s="298" t="s">
        <v>2716</v>
      </c>
      <c r="J370" s="298" t="s">
        <v>315</v>
      </c>
      <c r="K370" s="298" t="s">
        <v>1972</v>
      </c>
      <c r="L370" s="298" t="s">
        <v>493</v>
      </c>
      <c r="M370" s="301" t="s">
        <v>315</v>
      </c>
      <c r="N370" s="301" t="s">
        <v>315</v>
      </c>
      <c r="O370" s="301" t="s">
        <v>2717</v>
      </c>
      <c r="P370" s="301" t="s">
        <v>2718</v>
      </c>
      <c r="Q370" s="301" t="s">
        <v>2718</v>
      </c>
      <c r="R370" s="301" t="s">
        <v>2718</v>
      </c>
      <c r="S370" s="301" t="s">
        <v>2718</v>
      </c>
      <c r="T370" s="301" t="s">
        <v>2718</v>
      </c>
      <c r="U370" s="301" t="s">
        <v>2718</v>
      </c>
      <c r="V370" s="301" t="s">
        <v>2718</v>
      </c>
      <c r="W370" s="298" t="s">
        <v>331</v>
      </c>
      <c r="X370" s="298" t="s">
        <v>306</v>
      </c>
    </row>
    <row r="371">
      <c r="A371" s="295" t="s">
        <v>2719</v>
      </c>
      <c r="B371" s="298">
        <v>3.0</v>
      </c>
      <c r="C371" s="298" t="s">
        <v>288</v>
      </c>
      <c r="D371" s="298" t="s">
        <v>462</v>
      </c>
      <c r="E371" s="298" t="s">
        <v>311</v>
      </c>
      <c r="F371" s="298" t="str">
        <f>'Character Sheet'!$C$9</f>
        <v/>
      </c>
      <c r="G371" s="298" t="s">
        <v>294</v>
      </c>
      <c r="H371" s="298" t="s">
        <v>352</v>
      </c>
      <c r="I371" s="298" t="s">
        <v>2720</v>
      </c>
      <c r="J371" s="298" t="s">
        <v>173</v>
      </c>
      <c r="K371" s="298" t="s">
        <v>1174</v>
      </c>
      <c r="L371" s="298" t="s">
        <v>493</v>
      </c>
      <c r="M371" s="301" t="s">
        <v>315</v>
      </c>
      <c r="N371" s="301" t="s">
        <v>315</v>
      </c>
      <c r="O371" s="301" t="s">
        <v>2721</v>
      </c>
      <c r="P371" s="301" t="s">
        <v>2721</v>
      </c>
      <c r="Q371" s="301" t="s">
        <v>2721</v>
      </c>
      <c r="R371" s="301" t="s">
        <v>2721</v>
      </c>
      <c r="S371" s="301" t="s">
        <v>2721</v>
      </c>
      <c r="T371" s="301" t="s">
        <v>2721</v>
      </c>
      <c r="U371" s="301" t="s">
        <v>2721</v>
      </c>
      <c r="V371" s="301" t="s">
        <v>2721</v>
      </c>
      <c r="W371" s="298" t="s">
        <v>305</v>
      </c>
      <c r="X371" s="298" t="s">
        <v>306</v>
      </c>
    </row>
    <row r="372">
      <c r="A372" s="295" t="s">
        <v>2723</v>
      </c>
      <c r="B372" s="298">
        <v>3.0</v>
      </c>
      <c r="C372" s="298" t="s">
        <v>288</v>
      </c>
      <c r="D372" s="298" t="s">
        <v>421</v>
      </c>
      <c r="E372" s="298" t="s">
        <v>290</v>
      </c>
      <c r="F372" s="298" t="str">
        <f>'Character Sheet'!$C$9</f>
        <v/>
      </c>
      <c r="G372" s="298" t="s">
        <v>294</v>
      </c>
      <c r="H372" s="298" t="s">
        <v>324</v>
      </c>
      <c r="I372" s="298" t="s">
        <v>324</v>
      </c>
      <c r="J372" s="298" t="s">
        <v>315</v>
      </c>
      <c r="K372" s="298" t="s">
        <v>632</v>
      </c>
      <c r="L372" s="298" t="s">
        <v>493</v>
      </c>
      <c r="M372" s="301" t="s">
        <v>315</v>
      </c>
      <c r="N372" s="301" t="s">
        <v>315</v>
      </c>
      <c r="O372" s="301" t="s">
        <v>2724</v>
      </c>
      <c r="P372" s="301" t="s">
        <v>2724</v>
      </c>
      <c r="Q372" s="301" t="s">
        <v>2724</v>
      </c>
      <c r="R372" s="301" t="s">
        <v>2725</v>
      </c>
      <c r="S372" s="301" t="s">
        <v>2725</v>
      </c>
      <c r="T372" s="301" t="s">
        <v>2725</v>
      </c>
      <c r="U372" s="301" t="s">
        <v>2726</v>
      </c>
      <c r="V372" s="301" t="s">
        <v>2726</v>
      </c>
      <c r="W372" s="298" t="s">
        <v>305</v>
      </c>
      <c r="X372" s="298" t="s">
        <v>318</v>
      </c>
    </row>
    <row r="373">
      <c r="A373" s="295" t="s">
        <v>2727</v>
      </c>
      <c r="B373" s="298">
        <v>3.0</v>
      </c>
      <c r="C373" s="298" t="s">
        <v>288</v>
      </c>
      <c r="D373" s="298" t="s">
        <v>289</v>
      </c>
      <c r="E373" s="298" t="s">
        <v>290</v>
      </c>
      <c r="F373" s="298" t="str">
        <f>'Character Sheet'!$N$9</f>
        <v/>
      </c>
      <c r="G373" s="298" t="s">
        <v>674</v>
      </c>
      <c r="H373" s="298" t="s">
        <v>324</v>
      </c>
      <c r="I373" s="298" t="s">
        <v>2051</v>
      </c>
      <c r="J373" s="298" t="s">
        <v>407</v>
      </c>
      <c r="K373" s="298" t="s">
        <v>298</v>
      </c>
      <c r="L373" s="298" t="s">
        <v>493</v>
      </c>
      <c r="M373" s="301" t="s">
        <v>315</v>
      </c>
      <c r="N373" s="301" t="s">
        <v>315</v>
      </c>
      <c r="O373" s="301" t="s">
        <v>2728</v>
      </c>
      <c r="P373" s="301" t="s">
        <v>2728</v>
      </c>
      <c r="Q373" s="301" t="s">
        <v>2729</v>
      </c>
      <c r="R373" s="301" t="s">
        <v>2729</v>
      </c>
      <c r="S373" s="301" t="s">
        <v>2730</v>
      </c>
      <c r="T373" s="301" t="s">
        <v>2730</v>
      </c>
      <c r="U373" s="301" t="s">
        <v>2731</v>
      </c>
      <c r="V373" s="301" t="s">
        <v>2731</v>
      </c>
      <c r="W373" s="298" t="s">
        <v>305</v>
      </c>
      <c r="X373" s="298" t="s">
        <v>318</v>
      </c>
    </row>
    <row r="374">
      <c r="A374" s="295" t="s">
        <v>2732</v>
      </c>
      <c r="B374" s="298">
        <v>3.0</v>
      </c>
      <c r="C374" s="298" t="s">
        <v>288</v>
      </c>
      <c r="D374" s="298" t="s">
        <v>359</v>
      </c>
      <c r="E374" s="298" t="s">
        <v>311</v>
      </c>
      <c r="F374" s="298" t="str">
        <f>'Character Sheet'!$C$9</f>
        <v/>
      </c>
      <c r="G374" s="298" t="s">
        <v>294</v>
      </c>
      <c r="H374" s="298" t="s">
        <v>352</v>
      </c>
      <c r="I374" s="298" t="s">
        <v>2733</v>
      </c>
      <c r="J374" s="298" t="s">
        <v>192</v>
      </c>
      <c r="K374" s="298" t="s">
        <v>1753</v>
      </c>
      <c r="L374" s="298" t="s">
        <v>493</v>
      </c>
      <c r="M374" s="301" t="s">
        <v>315</v>
      </c>
      <c r="N374" s="301" t="s">
        <v>315</v>
      </c>
      <c r="O374" s="301" t="s">
        <v>2734</v>
      </c>
      <c r="P374" s="301" t="s">
        <v>2734</v>
      </c>
      <c r="Q374" s="301" t="s">
        <v>2734</v>
      </c>
      <c r="R374" s="301" t="s">
        <v>2734</v>
      </c>
      <c r="S374" s="301" t="s">
        <v>2734</v>
      </c>
      <c r="T374" s="301" t="s">
        <v>2734</v>
      </c>
      <c r="U374" s="301" t="s">
        <v>2734</v>
      </c>
      <c r="V374" s="301" t="s">
        <v>2734</v>
      </c>
      <c r="W374" s="298" t="s">
        <v>460</v>
      </c>
      <c r="X374" s="298" t="s">
        <v>306</v>
      </c>
    </row>
    <row r="375">
      <c r="A375" s="295" t="s">
        <v>2735</v>
      </c>
      <c r="B375" s="298">
        <v>3.0</v>
      </c>
      <c r="C375" s="298" t="s">
        <v>288</v>
      </c>
      <c r="D375" s="298" t="s">
        <v>334</v>
      </c>
      <c r="E375" s="298" t="s">
        <v>290</v>
      </c>
      <c r="F375" s="298" t="str">
        <f>'Character Sheet'!$C$9</f>
        <v/>
      </c>
      <c r="G375" s="298" t="s">
        <v>294</v>
      </c>
      <c r="H375" s="298" t="s">
        <v>295</v>
      </c>
      <c r="I375" s="298" t="s">
        <v>2490</v>
      </c>
      <c r="J375" s="298" t="s">
        <v>315</v>
      </c>
      <c r="K375" s="298" t="s">
        <v>632</v>
      </c>
      <c r="L375" s="298" t="s">
        <v>493</v>
      </c>
      <c r="M375" s="301" t="s">
        <v>315</v>
      </c>
      <c r="N375" s="301" t="s">
        <v>315</v>
      </c>
      <c r="O375" s="301" t="s">
        <v>2736</v>
      </c>
      <c r="P375" s="301" t="s">
        <v>2736</v>
      </c>
      <c r="Q375" s="301" t="s">
        <v>2736</v>
      </c>
      <c r="R375" s="301" t="s">
        <v>2737</v>
      </c>
      <c r="S375" s="301" t="s">
        <v>2737</v>
      </c>
      <c r="T375" s="301" t="s">
        <v>2737</v>
      </c>
      <c r="U375" s="301" t="s">
        <v>2738</v>
      </c>
      <c r="V375" s="301" t="s">
        <v>2738</v>
      </c>
      <c r="W375" s="298" t="s">
        <v>499</v>
      </c>
      <c r="X375" s="298" t="s">
        <v>318</v>
      </c>
    </row>
    <row r="376">
      <c r="A376" s="295" t="s">
        <v>2739</v>
      </c>
      <c r="B376" s="298">
        <v>3.0</v>
      </c>
      <c r="C376" s="298" t="s">
        <v>288</v>
      </c>
      <c r="D376" s="298" t="s">
        <v>310</v>
      </c>
      <c r="E376" s="298" t="s">
        <v>311</v>
      </c>
      <c r="F376" s="298" t="str">
        <f>'Character Sheet'!$C$9</f>
        <v/>
      </c>
      <c r="G376" s="298" t="s">
        <v>294</v>
      </c>
      <c r="H376" s="298" t="s">
        <v>2740</v>
      </c>
      <c r="I376" s="298" t="s">
        <v>2741</v>
      </c>
      <c r="J376" s="298" t="s">
        <v>315</v>
      </c>
      <c r="K376" s="298" t="s">
        <v>1753</v>
      </c>
      <c r="L376" s="298" t="s">
        <v>493</v>
      </c>
      <c r="M376" s="301" t="s">
        <v>315</v>
      </c>
      <c r="N376" s="301" t="s">
        <v>315</v>
      </c>
      <c r="O376" s="301" t="s">
        <v>2742</v>
      </c>
      <c r="P376" s="301" t="s">
        <v>2742</v>
      </c>
      <c r="Q376" s="301" t="s">
        <v>2742</v>
      </c>
      <c r="R376" s="301" t="s">
        <v>2742</v>
      </c>
      <c r="S376" s="301" t="s">
        <v>2742</v>
      </c>
      <c r="T376" s="301" t="s">
        <v>2742</v>
      </c>
      <c r="U376" s="301" t="s">
        <v>2742</v>
      </c>
      <c r="V376" s="301" t="s">
        <v>2742</v>
      </c>
      <c r="W376" s="298" t="s">
        <v>317</v>
      </c>
      <c r="X376" s="298" t="s">
        <v>678</v>
      </c>
    </row>
    <row r="377">
      <c r="A377" s="295" t="s">
        <v>2743</v>
      </c>
      <c r="B377" s="298">
        <v>3.0</v>
      </c>
      <c r="C377" s="298" t="s">
        <v>522</v>
      </c>
      <c r="D377" s="298" t="s">
        <v>310</v>
      </c>
      <c r="E377" s="298" t="s">
        <v>311</v>
      </c>
      <c r="F377" s="298" t="str">
        <f>'Character Sheet'!$C$9</f>
        <v/>
      </c>
      <c r="G377" s="298" t="s">
        <v>294</v>
      </c>
      <c r="H377" s="298" t="s">
        <v>324</v>
      </c>
      <c r="I377" s="298" t="s">
        <v>324</v>
      </c>
      <c r="J377" s="298" t="s">
        <v>315</v>
      </c>
      <c r="K377" s="298" t="s">
        <v>325</v>
      </c>
      <c r="L377" s="298" t="s">
        <v>493</v>
      </c>
      <c r="M377" s="301" t="s">
        <v>315</v>
      </c>
      <c r="N377" s="301" t="s">
        <v>315</v>
      </c>
      <c r="O377" s="301" t="s">
        <v>2744</v>
      </c>
      <c r="P377" s="301" t="s">
        <v>2744</v>
      </c>
      <c r="Q377" s="301" t="s">
        <v>2744</v>
      </c>
      <c r="R377" s="301" t="s">
        <v>2744</v>
      </c>
      <c r="S377" s="301" t="s">
        <v>2744</v>
      </c>
      <c r="T377" s="301" t="s">
        <v>2744</v>
      </c>
      <c r="U377" s="301" t="s">
        <v>2744</v>
      </c>
      <c r="V377" s="301" t="s">
        <v>2744</v>
      </c>
      <c r="W377" s="298" t="s">
        <v>684</v>
      </c>
      <c r="X377" s="298" t="s">
        <v>2746</v>
      </c>
    </row>
    <row r="378">
      <c r="A378" s="295" t="s">
        <v>2747</v>
      </c>
      <c r="B378" s="298">
        <v>3.0</v>
      </c>
      <c r="C378" s="298" t="s">
        <v>288</v>
      </c>
      <c r="D378" s="298" t="s">
        <v>462</v>
      </c>
      <c r="E378" s="298" t="s">
        <v>290</v>
      </c>
      <c r="F378" s="298" t="str">
        <f>'Character Sheet'!$C$9</f>
        <v/>
      </c>
      <c r="G378" s="298" t="s">
        <v>294</v>
      </c>
      <c r="H378" s="298" t="s">
        <v>335</v>
      </c>
      <c r="I378" s="298" t="s">
        <v>780</v>
      </c>
      <c r="J378" s="298" t="s">
        <v>315</v>
      </c>
      <c r="K378" s="298" t="s">
        <v>325</v>
      </c>
      <c r="L378" s="298" t="s">
        <v>493</v>
      </c>
      <c r="M378" s="301" t="s">
        <v>315</v>
      </c>
      <c r="N378" s="301" t="s">
        <v>315</v>
      </c>
      <c r="O378" s="301" t="s">
        <v>2749</v>
      </c>
      <c r="P378" s="301" t="s">
        <v>2749</v>
      </c>
      <c r="Q378" s="301" t="s">
        <v>2749</v>
      </c>
      <c r="R378" s="301" t="s">
        <v>2750</v>
      </c>
      <c r="S378" s="301" t="s">
        <v>2750</v>
      </c>
      <c r="T378" s="301" t="s">
        <v>2750</v>
      </c>
      <c r="U378" s="301" t="s">
        <v>2750</v>
      </c>
      <c r="V378" s="301" t="s">
        <v>2750</v>
      </c>
      <c r="W378" s="298" t="s">
        <v>305</v>
      </c>
      <c r="X378" s="298" t="s">
        <v>306</v>
      </c>
    </row>
    <row r="379">
      <c r="A379" s="295" t="s">
        <v>2751</v>
      </c>
      <c r="B379" s="298">
        <v>3.0</v>
      </c>
      <c r="C379" s="298" t="s">
        <v>288</v>
      </c>
      <c r="D379" s="298" t="s">
        <v>289</v>
      </c>
      <c r="E379" s="298" t="s">
        <v>290</v>
      </c>
      <c r="F379" s="298" t="str">
        <f>'Character Sheet'!$C$9</f>
        <v/>
      </c>
      <c r="G379" s="298" t="s">
        <v>294</v>
      </c>
      <c r="H379" s="298" t="s">
        <v>1278</v>
      </c>
      <c r="I379" s="298" t="s">
        <v>1000</v>
      </c>
      <c r="J379" s="298" t="s">
        <v>407</v>
      </c>
      <c r="K379" s="298" t="s">
        <v>298</v>
      </c>
      <c r="L379" s="298" t="s">
        <v>493</v>
      </c>
      <c r="M379" s="301" t="s">
        <v>315</v>
      </c>
      <c r="N379" s="301" t="s">
        <v>315</v>
      </c>
      <c r="O379" s="301" t="s">
        <v>2752</v>
      </c>
      <c r="P379" s="301" t="s">
        <v>2753</v>
      </c>
      <c r="Q379" s="301" t="s">
        <v>2754</v>
      </c>
      <c r="R379" s="301" t="s">
        <v>2755</v>
      </c>
      <c r="S379" s="301" t="s">
        <v>2756</v>
      </c>
      <c r="T379" s="301" t="s">
        <v>2757</v>
      </c>
      <c r="U379" s="301" t="s">
        <v>2758</v>
      </c>
      <c r="V379" s="301" t="s">
        <v>2759</v>
      </c>
      <c r="W379" s="298" t="s">
        <v>305</v>
      </c>
      <c r="X379" s="298" t="s">
        <v>306</v>
      </c>
    </row>
    <row r="380">
      <c r="A380" s="295" t="s">
        <v>2760</v>
      </c>
      <c r="B380" s="298">
        <v>3.0</v>
      </c>
      <c r="C380" s="298" t="s">
        <v>288</v>
      </c>
      <c r="D380" s="298" t="s">
        <v>359</v>
      </c>
      <c r="E380" s="298" t="s">
        <v>311</v>
      </c>
      <c r="F380" s="298" t="str">
        <f>'Character Sheet'!$B$9</f>
        <v/>
      </c>
      <c r="G380" s="298" t="s">
        <v>294</v>
      </c>
      <c r="H380" s="298" t="s">
        <v>324</v>
      </c>
      <c r="I380" s="298" t="s">
        <v>2763</v>
      </c>
      <c r="J380" s="298" t="s">
        <v>315</v>
      </c>
      <c r="K380" s="298" t="s">
        <v>424</v>
      </c>
      <c r="L380" s="298" t="s">
        <v>493</v>
      </c>
      <c r="M380" s="301" t="s">
        <v>315</v>
      </c>
      <c r="N380" s="301" t="s">
        <v>315</v>
      </c>
      <c r="O380" s="301" t="s">
        <v>2764</v>
      </c>
      <c r="P380" s="301" t="s">
        <v>2764</v>
      </c>
      <c r="Q380" s="301" t="s">
        <v>2764</v>
      </c>
      <c r="R380" s="301" t="s">
        <v>2764</v>
      </c>
      <c r="S380" s="301" t="s">
        <v>2764</v>
      </c>
      <c r="T380" s="301" t="s">
        <v>2764</v>
      </c>
      <c r="U380" s="301" t="s">
        <v>2764</v>
      </c>
      <c r="V380" s="301" t="s">
        <v>2764</v>
      </c>
      <c r="W380" s="298" t="s">
        <v>429</v>
      </c>
      <c r="X380" s="298" t="s">
        <v>569</v>
      </c>
    </row>
    <row r="381">
      <c r="A381" s="295" t="s">
        <v>2765</v>
      </c>
      <c r="B381" s="298">
        <v>3.0</v>
      </c>
      <c r="C381" s="298" t="s">
        <v>522</v>
      </c>
      <c r="D381" s="298" t="s">
        <v>289</v>
      </c>
      <c r="E381" s="298" t="s">
        <v>311</v>
      </c>
      <c r="F381" s="298" t="str">
        <f>'Character Sheet'!$C$9</f>
        <v/>
      </c>
      <c r="G381" s="298" t="s">
        <v>294</v>
      </c>
      <c r="H381" s="298" t="s">
        <v>295</v>
      </c>
      <c r="I381" s="298" t="s">
        <v>1413</v>
      </c>
      <c r="J381" s="298" t="s">
        <v>336</v>
      </c>
      <c r="K381" s="298" t="s">
        <v>424</v>
      </c>
      <c r="L381" s="298" t="s">
        <v>493</v>
      </c>
      <c r="M381" s="301" t="s">
        <v>315</v>
      </c>
      <c r="N381" s="301" t="s">
        <v>315</v>
      </c>
      <c r="O381" s="301" t="s">
        <v>2767</v>
      </c>
      <c r="P381" s="301" t="s">
        <v>2767</v>
      </c>
      <c r="Q381" s="301" t="s">
        <v>2767</v>
      </c>
      <c r="R381" s="301" t="s">
        <v>2767</v>
      </c>
      <c r="S381" s="301" t="s">
        <v>2767</v>
      </c>
      <c r="T381" s="301" t="s">
        <v>2767</v>
      </c>
      <c r="U381" s="301" t="s">
        <v>2767</v>
      </c>
      <c r="V381" s="301" t="s">
        <v>2767</v>
      </c>
      <c r="W381" s="298" t="s">
        <v>305</v>
      </c>
      <c r="X381" s="298" t="s">
        <v>1714</v>
      </c>
    </row>
    <row r="382">
      <c r="A382" s="295" t="s">
        <v>2769</v>
      </c>
      <c r="B382" s="298">
        <v>3.0</v>
      </c>
      <c r="C382" s="298" t="s">
        <v>288</v>
      </c>
      <c r="D382" s="298" t="s">
        <v>462</v>
      </c>
      <c r="E382" s="298" t="s">
        <v>311</v>
      </c>
      <c r="F382" s="298" t="str">
        <f>'Character Sheet'!$C$9</f>
        <v/>
      </c>
      <c r="G382" s="298" t="s">
        <v>294</v>
      </c>
      <c r="H382" s="298" t="s">
        <v>335</v>
      </c>
      <c r="I382" s="298" t="s">
        <v>1156</v>
      </c>
      <c r="J382" s="298" t="s">
        <v>315</v>
      </c>
      <c r="K382" s="298" t="s">
        <v>1990</v>
      </c>
      <c r="L382" s="298" t="s">
        <v>493</v>
      </c>
      <c r="M382" s="301" t="s">
        <v>315</v>
      </c>
      <c r="N382" s="301" t="s">
        <v>315</v>
      </c>
      <c r="O382" s="301" t="s">
        <v>2770</v>
      </c>
      <c r="P382" s="301" t="s">
        <v>2770</v>
      </c>
      <c r="Q382" s="301" t="s">
        <v>2770</v>
      </c>
      <c r="R382" s="301" t="s">
        <v>2770</v>
      </c>
      <c r="S382" s="301" t="s">
        <v>2770</v>
      </c>
      <c r="T382" s="301" t="s">
        <v>2770</v>
      </c>
      <c r="U382" s="301" t="s">
        <v>2770</v>
      </c>
      <c r="V382" s="301" t="s">
        <v>2770</v>
      </c>
      <c r="W382" s="298" t="s">
        <v>460</v>
      </c>
      <c r="X382" s="298" t="s">
        <v>306</v>
      </c>
    </row>
    <row r="383">
      <c r="A383" s="295" t="s">
        <v>2772</v>
      </c>
      <c r="B383" s="298">
        <v>3.0</v>
      </c>
      <c r="C383" s="298" t="s">
        <v>288</v>
      </c>
      <c r="D383" s="298" t="s">
        <v>421</v>
      </c>
      <c r="E383" s="298" t="s">
        <v>311</v>
      </c>
      <c r="F383" s="298" t="s">
        <v>999</v>
      </c>
      <c r="G383" s="298" t="s">
        <v>674</v>
      </c>
      <c r="H383" s="298" t="s">
        <v>335</v>
      </c>
      <c r="I383" s="298" t="s">
        <v>2773</v>
      </c>
      <c r="J383" s="298" t="s">
        <v>315</v>
      </c>
      <c r="K383" s="298" t="s">
        <v>1283</v>
      </c>
      <c r="L383" s="298" t="s">
        <v>493</v>
      </c>
      <c r="M383" s="301" t="s">
        <v>315</v>
      </c>
      <c r="N383" s="301" t="s">
        <v>315</v>
      </c>
      <c r="O383" s="301" t="s">
        <v>2774</v>
      </c>
      <c r="P383" s="301" t="s">
        <v>2774</v>
      </c>
      <c r="Q383" s="301" t="s">
        <v>2774</v>
      </c>
      <c r="R383" s="301" t="s">
        <v>2774</v>
      </c>
      <c r="S383" s="301" t="s">
        <v>2774</v>
      </c>
      <c r="T383" s="301" t="s">
        <v>2774</v>
      </c>
      <c r="U383" s="301" t="s">
        <v>2774</v>
      </c>
      <c r="V383" s="301" t="s">
        <v>2774</v>
      </c>
      <c r="W383" s="298" t="s">
        <v>317</v>
      </c>
      <c r="X383" s="298" t="s">
        <v>306</v>
      </c>
    </row>
    <row r="384">
      <c r="A384" s="295" t="s">
        <v>2776</v>
      </c>
      <c r="B384" s="298">
        <v>3.0</v>
      </c>
      <c r="C384" s="298" t="s">
        <v>288</v>
      </c>
      <c r="D384" s="298" t="s">
        <v>289</v>
      </c>
      <c r="E384" s="298" t="s">
        <v>311</v>
      </c>
      <c r="F384" s="298" t="str">
        <f>'Character Sheet'!$C$9</f>
        <v/>
      </c>
      <c r="G384" s="298" t="s">
        <v>294</v>
      </c>
      <c r="H384" s="298" t="s">
        <v>352</v>
      </c>
      <c r="I384" s="298" t="s">
        <v>2777</v>
      </c>
      <c r="J384" s="298" t="s">
        <v>180</v>
      </c>
      <c r="K384" s="298" t="s">
        <v>298</v>
      </c>
      <c r="L384" s="298" t="s">
        <v>493</v>
      </c>
      <c r="M384" s="301" t="s">
        <v>315</v>
      </c>
      <c r="N384" s="301" t="s">
        <v>315</v>
      </c>
      <c r="O384" s="301" t="s">
        <v>2778</v>
      </c>
      <c r="P384" s="301" t="s">
        <v>2778</v>
      </c>
      <c r="Q384" s="301" t="s">
        <v>2778</v>
      </c>
      <c r="R384" s="301" t="s">
        <v>2778</v>
      </c>
      <c r="S384" s="301" t="s">
        <v>2778</v>
      </c>
      <c r="T384" s="301" t="s">
        <v>2778</v>
      </c>
      <c r="U384" s="301" t="s">
        <v>2778</v>
      </c>
      <c r="V384" s="301" t="s">
        <v>2778</v>
      </c>
      <c r="W384" s="298" t="s">
        <v>460</v>
      </c>
      <c r="X384" s="298" t="s">
        <v>318</v>
      </c>
    </row>
    <row r="385">
      <c r="A385" s="295" t="s">
        <v>2780</v>
      </c>
      <c r="B385" s="298">
        <v>3.0</v>
      </c>
      <c r="C385" s="298" t="s">
        <v>288</v>
      </c>
      <c r="D385" s="298" t="s">
        <v>462</v>
      </c>
      <c r="E385" s="298" t="s">
        <v>290</v>
      </c>
      <c r="F385" s="298" t="str">
        <f>'Character Sheet'!$C$9</f>
        <v/>
      </c>
      <c r="G385" s="298" t="s">
        <v>294</v>
      </c>
      <c r="H385" s="298" t="s">
        <v>295</v>
      </c>
      <c r="I385" s="298" t="s">
        <v>296</v>
      </c>
      <c r="J385" s="298" t="s">
        <v>315</v>
      </c>
      <c r="K385" s="298" t="s">
        <v>632</v>
      </c>
      <c r="L385" s="298" t="s">
        <v>493</v>
      </c>
      <c r="M385" s="301" t="s">
        <v>315</v>
      </c>
      <c r="N385" s="301" t="s">
        <v>315</v>
      </c>
      <c r="O385" s="301" t="s">
        <v>2782</v>
      </c>
      <c r="P385" s="301" t="s">
        <v>2782</v>
      </c>
      <c r="Q385" s="301" t="s">
        <v>2782</v>
      </c>
      <c r="R385" s="301" t="s">
        <v>2782</v>
      </c>
      <c r="S385" s="301" t="s">
        <v>2783</v>
      </c>
      <c r="T385" s="301" t="s">
        <v>2783</v>
      </c>
      <c r="U385" s="301" t="s">
        <v>2783</v>
      </c>
      <c r="V385" s="301" t="s">
        <v>2783</v>
      </c>
      <c r="W385" s="298" t="s">
        <v>357</v>
      </c>
      <c r="X385" s="298" t="s">
        <v>306</v>
      </c>
    </row>
    <row r="386">
      <c r="A386" s="295" t="s">
        <v>2784</v>
      </c>
      <c r="B386" s="298">
        <v>3.0</v>
      </c>
      <c r="C386" s="298" t="s">
        <v>288</v>
      </c>
      <c r="D386" s="298" t="s">
        <v>359</v>
      </c>
      <c r="E386" s="298" t="s">
        <v>290</v>
      </c>
      <c r="F386" s="298" t="str">
        <f>'Character Sheet'!$C$9</f>
        <v/>
      </c>
      <c r="G386" s="298" t="s">
        <v>294</v>
      </c>
      <c r="H386" s="298" t="s">
        <v>335</v>
      </c>
      <c r="I386" s="298" t="s">
        <v>296</v>
      </c>
      <c r="J386" s="298" t="s">
        <v>315</v>
      </c>
      <c r="K386" s="298" t="s">
        <v>325</v>
      </c>
      <c r="L386" s="298" t="s">
        <v>493</v>
      </c>
      <c r="M386" s="301" t="s">
        <v>315</v>
      </c>
      <c r="N386" s="301" t="s">
        <v>315</v>
      </c>
      <c r="O386" s="301" t="s">
        <v>2786</v>
      </c>
      <c r="P386" s="301" t="s">
        <v>2786</v>
      </c>
      <c r="Q386" s="301" t="s">
        <v>2786</v>
      </c>
      <c r="R386" s="301" t="s">
        <v>2787</v>
      </c>
      <c r="S386" s="301" t="s">
        <v>2787</v>
      </c>
      <c r="T386" s="301" t="s">
        <v>2787</v>
      </c>
      <c r="U386" s="301" t="s">
        <v>2788</v>
      </c>
      <c r="V386" s="301" t="s">
        <v>2788</v>
      </c>
      <c r="W386" s="298" t="s">
        <v>429</v>
      </c>
      <c r="X386" s="298" t="s">
        <v>306</v>
      </c>
    </row>
    <row r="387">
      <c r="A387" s="295" t="s">
        <v>2789</v>
      </c>
      <c r="B387" s="298">
        <v>3.0</v>
      </c>
      <c r="C387" s="298" t="s">
        <v>288</v>
      </c>
      <c r="D387" s="298" t="s">
        <v>310</v>
      </c>
      <c r="E387" s="298" t="s">
        <v>311</v>
      </c>
      <c r="F387" s="298" t="str">
        <f>'Character Sheet'!$B$9</f>
        <v/>
      </c>
      <c r="G387" s="298" t="s">
        <v>477</v>
      </c>
      <c r="H387" s="298" t="s">
        <v>324</v>
      </c>
      <c r="I387" s="298" t="s">
        <v>324</v>
      </c>
      <c r="J387" s="298" t="s">
        <v>315</v>
      </c>
      <c r="K387" s="298" t="s">
        <v>298</v>
      </c>
      <c r="L387" s="298" t="s">
        <v>493</v>
      </c>
      <c r="M387" s="301" t="s">
        <v>315</v>
      </c>
      <c r="N387" s="301" t="s">
        <v>315</v>
      </c>
      <c r="O387" s="301" t="s">
        <v>2790</v>
      </c>
      <c r="P387" s="301" t="s">
        <v>2790</v>
      </c>
      <c r="Q387" s="301" t="s">
        <v>2790</v>
      </c>
      <c r="R387" s="301" t="s">
        <v>2790</v>
      </c>
      <c r="S387" s="301" t="s">
        <v>2790</v>
      </c>
      <c r="T387" s="301" t="s">
        <v>2790</v>
      </c>
      <c r="U387" s="301" t="s">
        <v>2790</v>
      </c>
      <c r="V387" s="301" t="s">
        <v>2790</v>
      </c>
      <c r="W387" s="298" t="s">
        <v>536</v>
      </c>
      <c r="X387" s="298" t="s">
        <v>306</v>
      </c>
    </row>
    <row r="388">
      <c r="A388" s="295" t="s">
        <v>2791</v>
      </c>
      <c r="B388" s="298">
        <v>3.0</v>
      </c>
      <c r="C388" s="298" t="s">
        <v>288</v>
      </c>
      <c r="D388" s="298" t="s">
        <v>321</v>
      </c>
      <c r="E388" s="298" t="s">
        <v>311</v>
      </c>
      <c r="F388" s="298" t="str">
        <f>'Character Sheet'!$C$9</f>
        <v/>
      </c>
      <c r="G388" s="298" t="s">
        <v>2188</v>
      </c>
      <c r="H388" s="298" t="s">
        <v>352</v>
      </c>
      <c r="I388" s="298" t="s">
        <v>1413</v>
      </c>
      <c r="J388" s="298" t="s">
        <v>192</v>
      </c>
      <c r="K388" s="298" t="s">
        <v>424</v>
      </c>
      <c r="L388" s="298" t="s">
        <v>493</v>
      </c>
      <c r="M388" s="301" t="s">
        <v>315</v>
      </c>
      <c r="N388" s="301" t="s">
        <v>315</v>
      </c>
      <c r="O388" s="301" t="s">
        <v>2792</v>
      </c>
      <c r="P388" s="301" t="s">
        <v>2792</v>
      </c>
      <c r="Q388" s="301" t="s">
        <v>2792</v>
      </c>
      <c r="R388" s="301" t="s">
        <v>2792</v>
      </c>
      <c r="S388" s="301" t="s">
        <v>2792</v>
      </c>
      <c r="T388" s="301" t="s">
        <v>2792</v>
      </c>
      <c r="U388" s="301" t="s">
        <v>2792</v>
      </c>
      <c r="V388" s="301" t="s">
        <v>2792</v>
      </c>
      <c r="W388" s="298" t="s">
        <v>460</v>
      </c>
      <c r="X388" s="298" t="s">
        <v>306</v>
      </c>
    </row>
    <row r="389">
      <c r="A389" s="295" t="s">
        <v>2793</v>
      </c>
      <c r="B389" s="298">
        <v>3.0</v>
      </c>
      <c r="C389" s="298" t="s">
        <v>288</v>
      </c>
      <c r="D389" s="298" t="s">
        <v>310</v>
      </c>
      <c r="E389" s="298" t="s">
        <v>290</v>
      </c>
      <c r="F389" s="298" t="str">
        <f>'Character Sheet'!$C$9</f>
        <v/>
      </c>
      <c r="G389" s="298" t="s">
        <v>2188</v>
      </c>
      <c r="H389" s="298" t="s">
        <v>295</v>
      </c>
      <c r="I389" s="298" t="s">
        <v>2038</v>
      </c>
      <c r="J389" s="298" t="s">
        <v>192</v>
      </c>
      <c r="K389" s="298" t="s">
        <v>2509</v>
      </c>
      <c r="L389" s="298" t="s">
        <v>493</v>
      </c>
      <c r="M389" s="301" t="s">
        <v>315</v>
      </c>
      <c r="N389" s="301" t="s">
        <v>315</v>
      </c>
      <c r="O389" s="301" t="s">
        <v>2795</v>
      </c>
      <c r="P389" s="301" t="s">
        <v>2796</v>
      </c>
      <c r="Q389" s="301" t="s">
        <v>2797</v>
      </c>
      <c r="R389" s="301" t="s">
        <v>2798</v>
      </c>
      <c r="S389" s="301" t="s">
        <v>2799</v>
      </c>
      <c r="T389" s="301" t="s">
        <v>2800</v>
      </c>
      <c r="U389" s="301" t="s">
        <v>2801</v>
      </c>
      <c r="V389" s="301" t="s">
        <v>2802</v>
      </c>
      <c r="W389" s="298" t="s">
        <v>331</v>
      </c>
      <c r="X389" s="298" t="s">
        <v>318</v>
      </c>
    </row>
    <row r="390">
      <c r="A390" s="295" t="s">
        <v>2803</v>
      </c>
      <c r="B390" s="298">
        <v>3.0</v>
      </c>
      <c r="C390" s="298" t="s">
        <v>288</v>
      </c>
      <c r="D390" s="298" t="s">
        <v>462</v>
      </c>
      <c r="E390" s="298" t="s">
        <v>290</v>
      </c>
      <c r="F390" s="298" t="str">
        <f>'Character Sheet'!$C$9</f>
        <v/>
      </c>
      <c r="G390" s="298" t="s">
        <v>294</v>
      </c>
      <c r="H390" s="298" t="s">
        <v>324</v>
      </c>
      <c r="I390" s="298" t="s">
        <v>324</v>
      </c>
      <c r="J390" s="298" t="s">
        <v>315</v>
      </c>
      <c r="K390" s="298" t="s">
        <v>632</v>
      </c>
      <c r="L390" s="298" t="s">
        <v>493</v>
      </c>
      <c r="M390" s="301" t="s">
        <v>315</v>
      </c>
      <c r="N390" s="301" t="s">
        <v>315</v>
      </c>
      <c r="O390" s="301" t="s">
        <v>2805</v>
      </c>
      <c r="P390" s="301" t="s">
        <v>2806</v>
      </c>
      <c r="Q390" s="301" t="s">
        <v>2807</v>
      </c>
      <c r="R390" s="301" t="s">
        <v>2807</v>
      </c>
      <c r="S390" s="301" t="s">
        <v>2807</v>
      </c>
      <c r="T390" s="301" t="s">
        <v>2807</v>
      </c>
      <c r="U390" s="301" t="s">
        <v>2807</v>
      </c>
      <c r="V390" s="301" t="s">
        <v>2807</v>
      </c>
      <c r="W390" s="298" t="s">
        <v>499</v>
      </c>
      <c r="X390" s="298" t="s">
        <v>306</v>
      </c>
    </row>
    <row r="391">
      <c r="A391" s="295" t="s">
        <v>2808</v>
      </c>
      <c r="B391" s="298">
        <v>3.0</v>
      </c>
      <c r="C391" s="298" t="s">
        <v>288</v>
      </c>
      <c r="D391" s="298" t="s">
        <v>321</v>
      </c>
      <c r="E391" s="298" t="s">
        <v>290</v>
      </c>
      <c r="F391" s="298" t="str">
        <f>'Character Sheet'!$C$9</f>
        <v/>
      </c>
      <c r="G391" s="298" t="s">
        <v>2188</v>
      </c>
      <c r="H391" s="298" t="s">
        <v>324</v>
      </c>
      <c r="I391" s="298" t="s">
        <v>2607</v>
      </c>
      <c r="J391" s="298" t="s">
        <v>315</v>
      </c>
      <c r="K391" s="298" t="s">
        <v>325</v>
      </c>
      <c r="L391" s="298" t="s">
        <v>493</v>
      </c>
      <c r="M391" s="301" t="s">
        <v>315</v>
      </c>
      <c r="N391" s="301" t="s">
        <v>315</v>
      </c>
      <c r="O391" s="301" t="s">
        <v>2810</v>
      </c>
      <c r="P391" s="301" t="s">
        <v>2810</v>
      </c>
      <c r="Q391" s="301" t="s">
        <v>2811</v>
      </c>
      <c r="R391" s="301" t="s">
        <v>2811</v>
      </c>
      <c r="S391" s="301" t="s">
        <v>2811</v>
      </c>
      <c r="T391" s="301" t="s">
        <v>2811</v>
      </c>
      <c r="U391" s="301" t="s">
        <v>2811</v>
      </c>
      <c r="V391" s="301" t="s">
        <v>2811</v>
      </c>
      <c r="W391" s="298" t="s">
        <v>460</v>
      </c>
      <c r="X391" s="298" t="s">
        <v>306</v>
      </c>
    </row>
    <row r="392">
      <c r="A392" s="295" t="s">
        <v>2812</v>
      </c>
      <c r="B392" s="298">
        <v>3.0</v>
      </c>
      <c r="C392" s="298" t="s">
        <v>288</v>
      </c>
      <c r="D392" s="298" t="s">
        <v>289</v>
      </c>
      <c r="E392" s="298" t="s">
        <v>311</v>
      </c>
      <c r="F392" s="298" t="str">
        <f>'Character Sheet'!$C$9</f>
        <v/>
      </c>
      <c r="G392" s="298" t="s">
        <v>294</v>
      </c>
      <c r="H392" s="298" t="s">
        <v>335</v>
      </c>
      <c r="I392" s="298" t="s">
        <v>2813</v>
      </c>
      <c r="J392" s="298" t="s">
        <v>315</v>
      </c>
      <c r="K392" s="298" t="s">
        <v>1990</v>
      </c>
      <c r="L392" s="298" t="s">
        <v>493</v>
      </c>
      <c r="M392" s="301" t="s">
        <v>315</v>
      </c>
      <c r="N392" s="301" t="s">
        <v>315</v>
      </c>
      <c r="O392" s="301" t="s">
        <v>2814</v>
      </c>
      <c r="P392" s="301" t="s">
        <v>2814</v>
      </c>
      <c r="Q392" s="301" t="s">
        <v>2814</v>
      </c>
      <c r="R392" s="301" t="s">
        <v>2814</v>
      </c>
      <c r="S392" s="301" t="s">
        <v>2814</v>
      </c>
      <c r="T392" s="301" t="s">
        <v>2814</v>
      </c>
      <c r="U392" s="301" t="s">
        <v>2814</v>
      </c>
      <c r="V392" s="301" t="s">
        <v>2814</v>
      </c>
      <c r="W392" s="298" t="s">
        <v>460</v>
      </c>
      <c r="X392" s="298" t="s">
        <v>306</v>
      </c>
    </row>
    <row r="393">
      <c r="A393" s="295" t="s">
        <v>2816</v>
      </c>
      <c r="B393" s="298">
        <v>3.0</v>
      </c>
      <c r="C393" s="298" t="s">
        <v>288</v>
      </c>
      <c r="D393" s="298" t="s">
        <v>334</v>
      </c>
      <c r="E393" s="298" t="s">
        <v>311</v>
      </c>
      <c r="F393" s="298" t="s">
        <v>999</v>
      </c>
      <c r="G393" s="298" t="s">
        <v>674</v>
      </c>
      <c r="H393" s="298" t="s">
        <v>335</v>
      </c>
      <c r="I393" s="298" t="s">
        <v>2038</v>
      </c>
      <c r="J393" s="298" t="s">
        <v>315</v>
      </c>
      <c r="K393" s="298" t="s">
        <v>545</v>
      </c>
      <c r="L393" s="298" t="s">
        <v>493</v>
      </c>
      <c r="M393" s="301" t="s">
        <v>315</v>
      </c>
      <c r="N393" s="301" t="s">
        <v>315</v>
      </c>
      <c r="O393" s="301" t="s">
        <v>2817</v>
      </c>
      <c r="P393" s="301" t="s">
        <v>2817</v>
      </c>
      <c r="Q393" s="301" t="s">
        <v>2817</v>
      </c>
      <c r="R393" s="301" t="s">
        <v>2817</v>
      </c>
      <c r="S393" s="301" t="s">
        <v>2817</v>
      </c>
      <c r="T393" s="301" t="s">
        <v>2817</v>
      </c>
      <c r="U393" s="301" t="s">
        <v>2817</v>
      </c>
      <c r="V393" s="301" t="s">
        <v>2817</v>
      </c>
      <c r="W393" s="298" t="s">
        <v>389</v>
      </c>
      <c r="X393" s="298" t="s">
        <v>318</v>
      </c>
    </row>
    <row r="394">
      <c r="A394" s="295" t="s">
        <v>2819</v>
      </c>
      <c r="B394" s="298">
        <v>3.0</v>
      </c>
      <c r="C394" s="298" t="s">
        <v>522</v>
      </c>
      <c r="D394" s="298" t="s">
        <v>334</v>
      </c>
      <c r="E394" s="298" t="s">
        <v>290</v>
      </c>
      <c r="F394" s="298" t="s">
        <v>625</v>
      </c>
      <c r="G394" s="298" t="s">
        <v>674</v>
      </c>
      <c r="H394" s="298" t="s">
        <v>335</v>
      </c>
      <c r="I394" s="298" t="s">
        <v>2820</v>
      </c>
      <c r="J394" s="298" t="s">
        <v>315</v>
      </c>
      <c r="K394" s="298" t="s">
        <v>325</v>
      </c>
      <c r="L394" s="298" t="s">
        <v>493</v>
      </c>
      <c r="M394" s="301" t="s">
        <v>315</v>
      </c>
      <c r="N394" s="301" t="s">
        <v>315</v>
      </c>
      <c r="O394" s="301" t="s">
        <v>2821</v>
      </c>
      <c r="P394" s="301" t="s">
        <v>2822</v>
      </c>
      <c r="Q394" s="301" t="s">
        <v>2823</v>
      </c>
      <c r="R394" s="301" t="s">
        <v>2824</v>
      </c>
      <c r="S394" s="301" t="s">
        <v>2825</v>
      </c>
      <c r="T394" s="301" t="s">
        <v>2826</v>
      </c>
      <c r="U394" s="301" t="s">
        <v>2827</v>
      </c>
      <c r="V394" s="301" t="s">
        <v>2828</v>
      </c>
      <c r="W394" s="298" t="s">
        <v>483</v>
      </c>
      <c r="X394" s="298" t="s">
        <v>1082</v>
      </c>
    </row>
    <row r="395">
      <c r="A395" s="295" t="s">
        <v>2830</v>
      </c>
      <c r="B395" s="298">
        <v>3.0</v>
      </c>
      <c r="C395" s="298" t="s">
        <v>288</v>
      </c>
      <c r="D395" s="298" t="s">
        <v>289</v>
      </c>
      <c r="E395" s="298" t="s">
        <v>290</v>
      </c>
      <c r="F395" s="298" t="str">
        <f>'Character Sheet'!$C$9</f>
        <v/>
      </c>
      <c r="G395" s="298" t="s">
        <v>294</v>
      </c>
      <c r="H395" s="298" t="s">
        <v>324</v>
      </c>
      <c r="I395" s="298" t="s">
        <v>2831</v>
      </c>
      <c r="J395" s="298" t="s">
        <v>407</v>
      </c>
      <c r="K395" s="298" t="s">
        <v>298</v>
      </c>
      <c r="L395" s="298" t="s">
        <v>493</v>
      </c>
      <c r="M395" s="301" t="s">
        <v>315</v>
      </c>
      <c r="N395" s="301" t="s">
        <v>315</v>
      </c>
      <c r="O395" s="301" t="s">
        <v>2832</v>
      </c>
      <c r="P395" s="301" t="s">
        <v>2833</v>
      </c>
      <c r="Q395" s="301" t="s">
        <v>2834</v>
      </c>
      <c r="R395" s="301" t="s">
        <v>2835</v>
      </c>
      <c r="S395" s="301" t="s">
        <v>2836</v>
      </c>
      <c r="T395" s="301" t="s">
        <v>2837</v>
      </c>
      <c r="U395" s="301" t="s">
        <v>2838</v>
      </c>
      <c r="V395" s="301" t="s">
        <v>2839</v>
      </c>
      <c r="W395" s="298" t="s">
        <v>305</v>
      </c>
      <c r="X395" s="298" t="s">
        <v>306</v>
      </c>
    </row>
    <row r="396">
      <c r="A396" s="295" t="s">
        <v>2840</v>
      </c>
      <c r="B396" s="298">
        <v>3.0</v>
      </c>
      <c r="C396" s="298" t="s">
        <v>522</v>
      </c>
      <c r="D396" s="298" t="s">
        <v>310</v>
      </c>
      <c r="E396" s="298" t="s">
        <v>290</v>
      </c>
      <c r="F396" s="298" t="s">
        <v>999</v>
      </c>
      <c r="G396" s="298" t="s">
        <v>674</v>
      </c>
      <c r="H396" s="298" t="s">
        <v>1278</v>
      </c>
      <c r="I396" s="298" t="s">
        <v>435</v>
      </c>
      <c r="J396" s="298" t="s">
        <v>315</v>
      </c>
      <c r="K396" s="298" t="s">
        <v>1753</v>
      </c>
      <c r="L396" s="298" t="s">
        <v>493</v>
      </c>
      <c r="M396" s="301" t="s">
        <v>315</v>
      </c>
      <c r="N396" s="301" t="s">
        <v>315</v>
      </c>
      <c r="O396" s="301" t="s">
        <v>2841</v>
      </c>
      <c r="P396" s="301" t="s">
        <v>2841</v>
      </c>
      <c r="Q396" s="301" t="s">
        <v>2842</v>
      </c>
      <c r="R396" s="301" t="s">
        <v>2842</v>
      </c>
      <c r="S396" s="301" t="s">
        <v>2842</v>
      </c>
      <c r="T396" s="301" t="s">
        <v>2842</v>
      </c>
      <c r="U396" s="301" t="s">
        <v>2842</v>
      </c>
      <c r="V396" s="301" t="s">
        <v>2842</v>
      </c>
      <c r="W396" s="298" t="s">
        <v>331</v>
      </c>
      <c r="X396" s="298" t="s">
        <v>306</v>
      </c>
    </row>
    <row r="397">
      <c r="A397" s="295" t="s">
        <v>2843</v>
      </c>
      <c r="B397" s="298">
        <v>3.0</v>
      </c>
      <c r="C397" s="298" t="s">
        <v>288</v>
      </c>
      <c r="D397" s="298" t="s">
        <v>151</v>
      </c>
      <c r="E397" s="298" t="s">
        <v>311</v>
      </c>
      <c r="F397" s="298" t="str">
        <f>'Character Sheet'!$C$9</f>
        <v/>
      </c>
      <c r="G397" s="298" t="s">
        <v>294</v>
      </c>
      <c r="H397" s="298" t="s">
        <v>295</v>
      </c>
      <c r="I397" s="298" t="s">
        <v>955</v>
      </c>
      <c r="J397" s="298" t="s">
        <v>315</v>
      </c>
      <c r="K397" s="298" t="s">
        <v>424</v>
      </c>
      <c r="L397" s="298" t="s">
        <v>493</v>
      </c>
      <c r="M397" s="301" t="s">
        <v>315</v>
      </c>
      <c r="N397" s="301" t="s">
        <v>315</v>
      </c>
      <c r="O397" s="301" t="s">
        <v>2844</v>
      </c>
      <c r="P397" s="301" t="s">
        <v>2844</v>
      </c>
      <c r="Q397" s="301" t="s">
        <v>2844</v>
      </c>
      <c r="R397" s="301" t="s">
        <v>2844</v>
      </c>
      <c r="S397" s="301" t="s">
        <v>2844</v>
      </c>
      <c r="T397" s="301" t="s">
        <v>2844</v>
      </c>
      <c r="U397" s="301" t="s">
        <v>2844</v>
      </c>
      <c r="V397" s="301" t="s">
        <v>2844</v>
      </c>
      <c r="W397" s="298" t="s">
        <v>499</v>
      </c>
      <c r="X397" s="298" t="s">
        <v>678</v>
      </c>
    </row>
    <row r="398">
      <c r="A398" s="295" t="s">
        <v>2845</v>
      </c>
      <c r="B398" s="298">
        <v>3.0</v>
      </c>
      <c r="C398" s="298" t="s">
        <v>522</v>
      </c>
      <c r="D398" s="298" t="s">
        <v>151</v>
      </c>
      <c r="E398" s="298" t="s">
        <v>311</v>
      </c>
      <c r="F398" s="298" t="str">
        <f>'Character Sheet'!$C$9</f>
        <v/>
      </c>
      <c r="G398" s="298" t="s">
        <v>294</v>
      </c>
      <c r="H398" s="298" t="s">
        <v>360</v>
      </c>
      <c r="I398" s="298" t="s">
        <v>296</v>
      </c>
      <c r="J398" s="298" t="s">
        <v>180</v>
      </c>
      <c r="K398" s="298" t="s">
        <v>632</v>
      </c>
      <c r="L398" s="298" t="s">
        <v>493</v>
      </c>
      <c r="M398" s="301" t="s">
        <v>315</v>
      </c>
      <c r="N398" s="301" t="s">
        <v>315</v>
      </c>
      <c r="O398" s="301" t="s">
        <v>2846</v>
      </c>
      <c r="P398" s="301" t="s">
        <v>2846</v>
      </c>
      <c r="Q398" s="301" t="s">
        <v>2846</v>
      </c>
      <c r="R398" s="301" t="s">
        <v>2846</v>
      </c>
      <c r="S398" s="301" t="s">
        <v>2846</v>
      </c>
      <c r="T398" s="301" t="s">
        <v>2846</v>
      </c>
      <c r="U398" s="301" t="s">
        <v>2846</v>
      </c>
      <c r="V398" s="301" t="s">
        <v>2846</v>
      </c>
      <c r="W398" s="298" t="s">
        <v>460</v>
      </c>
      <c r="X398" s="298" t="s">
        <v>979</v>
      </c>
    </row>
    <row r="399">
      <c r="A399" s="295" t="s">
        <v>2847</v>
      </c>
      <c r="B399" s="298">
        <v>3.0</v>
      </c>
      <c r="C399" s="298" t="s">
        <v>288</v>
      </c>
      <c r="D399" s="298" t="s">
        <v>289</v>
      </c>
      <c r="E399" s="298" t="s">
        <v>290</v>
      </c>
      <c r="F399" s="298" t="str">
        <f>'Character Sheet'!$C$9</f>
        <v/>
      </c>
      <c r="G399" s="298" t="s">
        <v>294</v>
      </c>
      <c r="H399" s="298" t="s">
        <v>352</v>
      </c>
      <c r="I399" s="298" t="s">
        <v>1136</v>
      </c>
      <c r="J399" s="298" t="s">
        <v>203</v>
      </c>
      <c r="K399" s="298" t="s">
        <v>298</v>
      </c>
      <c r="L399" s="298" t="s">
        <v>493</v>
      </c>
      <c r="M399" s="301" t="s">
        <v>315</v>
      </c>
      <c r="N399" s="301" t="s">
        <v>315</v>
      </c>
      <c r="O399" s="301" t="s">
        <v>2849</v>
      </c>
      <c r="P399" s="301" t="s">
        <v>2850</v>
      </c>
      <c r="Q399" s="301" t="s">
        <v>2851</v>
      </c>
      <c r="R399" s="301" t="s">
        <v>2852</v>
      </c>
      <c r="S399" s="301" t="s">
        <v>2853</v>
      </c>
      <c r="T399" s="301" t="s">
        <v>2854</v>
      </c>
      <c r="U399" s="301" t="s">
        <v>2855</v>
      </c>
      <c r="V399" s="301" t="s">
        <v>2856</v>
      </c>
      <c r="W399" s="298" t="s">
        <v>305</v>
      </c>
      <c r="X399" s="298" t="s">
        <v>318</v>
      </c>
    </row>
    <row r="400">
      <c r="A400" s="295" t="s">
        <v>2857</v>
      </c>
      <c r="B400" s="298">
        <v>3.0</v>
      </c>
      <c r="C400" s="298" t="s">
        <v>522</v>
      </c>
      <c r="D400" s="298" t="s">
        <v>334</v>
      </c>
      <c r="E400" s="298" t="s">
        <v>311</v>
      </c>
      <c r="F400" s="298" t="str">
        <f>'Character Sheet'!$K$9</f>
        <v/>
      </c>
      <c r="G400" s="298" t="s">
        <v>477</v>
      </c>
      <c r="H400" s="298" t="s">
        <v>360</v>
      </c>
      <c r="I400" s="298" t="s">
        <v>2038</v>
      </c>
      <c r="J400" s="298" t="s">
        <v>315</v>
      </c>
      <c r="K400" s="298" t="s">
        <v>298</v>
      </c>
      <c r="L400" s="298" t="s">
        <v>493</v>
      </c>
      <c r="M400" s="301" t="s">
        <v>315</v>
      </c>
      <c r="N400" s="301" t="s">
        <v>315</v>
      </c>
      <c r="O400" s="301" t="s">
        <v>2859</v>
      </c>
      <c r="P400" s="301" t="s">
        <v>2859</v>
      </c>
      <c r="Q400" s="301" t="s">
        <v>2859</v>
      </c>
      <c r="R400" s="301" t="s">
        <v>2859</v>
      </c>
      <c r="S400" s="301" t="s">
        <v>2859</v>
      </c>
      <c r="T400" s="301" t="s">
        <v>2859</v>
      </c>
      <c r="U400" s="301" t="s">
        <v>2859</v>
      </c>
      <c r="V400" s="301" t="s">
        <v>2859</v>
      </c>
      <c r="W400" s="298" t="s">
        <v>483</v>
      </c>
      <c r="X400" s="298" t="s">
        <v>1082</v>
      </c>
    </row>
    <row r="401">
      <c r="A401" s="295" t="s">
        <v>2860</v>
      </c>
      <c r="B401" s="298">
        <v>3.0</v>
      </c>
      <c r="C401" s="298" t="s">
        <v>288</v>
      </c>
      <c r="D401" s="298" t="s">
        <v>462</v>
      </c>
      <c r="E401" s="298" t="s">
        <v>311</v>
      </c>
      <c r="F401" s="298" t="str">
        <f>'Character Sheet'!$C$9</f>
        <v/>
      </c>
      <c r="G401" s="298" t="s">
        <v>294</v>
      </c>
      <c r="H401" s="298" t="s">
        <v>324</v>
      </c>
      <c r="I401" s="298" t="s">
        <v>324</v>
      </c>
      <c r="J401" s="298" t="s">
        <v>315</v>
      </c>
      <c r="K401" s="298" t="s">
        <v>325</v>
      </c>
      <c r="L401" s="298" t="s">
        <v>493</v>
      </c>
      <c r="M401" s="301" t="s">
        <v>315</v>
      </c>
      <c r="N401" s="301" t="s">
        <v>315</v>
      </c>
      <c r="O401" s="301" t="s">
        <v>2861</v>
      </c>
      <c r="P401" s="301" t="s">
        <v>2861</v>
      </c>
      <c r="Q401" s="301" t="s">
        <v>2861</v>
      </c>
      <c r="R401" s="301" t="s">
        <v>2861</v>
      </c>
      <c r="S401" s="301" t="s">
        <v>2861</v>
      </c>
      <c r="T401" s="301" t="s">
        <v>2861</v>
      </c>
      <c r="U401" s="301" t="s">
        <v>2861</v>
      </c>
      <c r="V401" s="301" t="s">
        <v>2861</v>
      </c>
      <c r="W401" s="298" t="s">
        <v>305</v>
      </c>
      <c r="X401" s="298" t="s">
        <v>306</v>
      </c>
    </row>
    <row r="402">
      <c r="A402" s="295" t="s">
        <v>2862</v>
      </c>
      <c r="B402" s="298">
        <v>3.0</v>
      </c>
      <c r="C402" s="298" t="s">
        <v>288</v>
      </c>
      <c r="D402" s="298" t="s">
        <v>359</v>
      </c>
      <c r="E402" s="298" t="s">
        <v>311</v>
      </c>
      <c r="F402" s="298" t="s">
        <v>999</v>
      </c>
      <c r="G402" s="298" t="s">
        <v>674</v>
      </c>
      <c r="H402" s="298" t="s">
        <v>324</v>
      </c>
      <c r="I402" s="298" t="s">
        <v>324</v>
      </c>
      <c r="J402" s="298" t="s">
        <v>315</v>
      </c>
      <c r="K402" s="298" t="s">
        <v>545</v>
      </c>
      <c r="L402" s="298" t="s">
        <v>493</v>
      </c>
      <c r="M402" s="301" t="s">
        <v>315</v>
      </c>
      <c r="N402" s="301" t="s">
        <v>315</v>
      </c>
      <c r="O402" s="301" t="s">
        <v>2864</v>
      </c>
      <c r="P402" s="301" t="s">
        <v>2864</v>
      </c>
      <c r="Q402" s="301" t="s">
        <v>2864</v>
      </c>
      <c r="R402" s="301" t="s">
        <v>2864</v>
      </c>
      <c r="S402" s="301" t="s">
        <v>2864</v>
      </c>
      <c r="T402" s="301" t="s">
        <v>2864</v>
      </c>
      <c r="U402" s="301" t="s">
        <v>2864</v>
      </c>
      <c r="V402" s="301" t="s">
        <v>2864</v>
      </c>
      <c r="W402" s="298" t="s">
        <v>317</v>
      </c>
      <c r="X402" s="298" t="s">
        <v>318</v>
      </c>
    </row>
    <row r="403">
      <c r="A403" s="295" t="s">
        <v>2866</v>
      </c>
      <c r="B403" s="298">
        <v>3.0</v>
      </c>
      <c r="C403" s="298" t="s">
        <v>522</v>
      </c>
      <c r="D403" s="298" t="s">
        <v>310</v>
      </c>
      <c r="E403" s="298" t="s">
        <v>311</v>
      </c>
      <c r="F403" s="298" t="str">
        <f>'Character Sheet'!$C$9</f>
        <v/>
      </c>
      <c r="G403" s="298" t="s">
        <v>294</v>
      </c>
      <c r="H403" s="298" t="s">
        <v>295</v>
      </c>
      <c r="I403" s="298" t="s">
        <v>296</v>
      </c>
      <c r="J403" s="298" t="s">
        <v>192</v>
      </c>
      <c r="K403" s="298" t="s">
        <v>424</v>
      </c>
      <c r="L403" s="298" t="s">
        <v>493</v>
      </c>
      <c r="M403" s="301" t="s">
        <v>315</v>
      </c>
      <c r="N403" s="301" t="s">
        <v>315</v>
      </c>
      <c r="O403" s="301" t="s">
        <v>2867</v>
      </c>
      <c r="P403" s="301" t="s">
        <v>2867</v>
      </c>
      <c r="Q403" s="301" t="s">
        <v>2867</v>
      </c>
      <c r="R403" s="301" t="s">
        <v>2867</v>
      </c>
      <c r="S403" s="301" t="s">
        <v>2867</v>
      </c>
      <c r="T403" s="301" t="s">
        <v>2867</v>
      </c>
      <c r="U403" s="301" t="s">
        <v>2867</v>
      </c>
      <c r="V403" s="301" t="s">
        <v>2867</v>
      </c>
      <c r="W403" s="298" t="s">
        <v>460</v>
      </c>
      <c r="X403" s="298" t="s">
        <v>306</v>
      </c>
    </row>
    <row r="404">
      <c r="A404" s="295" t="s">
        <v>2868</v>
      </c>
      <c r="B404" s="298">
        <v>3.0</v>
      </c>
      <c r="C404" s="298" t="s">
        <v>522</v>
      </c>
      <c r="D404" s="298" t="s">
        <v>289</v>
      </c>
      <c r="E404" s="298" t="s">
        <v>290</v>
      </c>
      <c r="F404" s="298" t="str">
        <f>'Character Sheet'!$C$9</f>
        <v/>
      </c>
      <c r="G404" s="298" t="s">
        <v>294</v>
      </c>
      <c r="H404" s="298" t="s">
        <v>352</v>
      </c>
      <c r="I404" s="298" t="s">
        <v>296</v>
      </c>
      <c r="J404" s="298" t="s">
        <v>203</v>
      </c>
      <c r="K404" s="298" t="s">
        <v>298</v>
      </c>
      <c r="L404" s="298" t="s">
        <v>493</v>
      </c>
      <c r="M404" s="301" t="s">
        <v>315</v>
      </c>
      <c r="N404" s="301" t="s">
        <v>315</v>
      </c>
      <c r="O404" s="301" t="s">
        <v>2869</v>
      </c>
      <c r="P404" s="301" t="s">
        <v>2870</v>
      </c>
      <c r="Q404" s="301" t="s">
        <v>2871</v>
      </c>
      <c r="R404" s="301" t="s">
        <v>2872</v>
      </c>
      <c r="S404" s="301" t="s">
        <v>2874</v>
      </c>
      <c r="T404" s="301" t="s">
        <v>2875</v>
      </c>
      <c r="U404" s="301" t="s">
        <v>2876</v>
      </c>
      <c r="V404" s="301" t="s">
        <v>2877</v>
      </c>
      <c r="W404" s="298" t="s">
        <v>389</v>
      </c>
      <c r="X404" s="298" t="s">
        <v>2035</v>
      </c>
    </row>
    <row r="405">
      <c r="A405" s="295" t="s">
        <v>2878</v>
      </c>
      <c r="B405" s="298">
        <v>3.0</v>
      </c>
      <c r="C405" s="298" t="s">
        <v>288</v>
      </c>
      <c r="D405" s="298" t="s">
        <v>334</v>
      </c>
      <c r="E405" s="298" t="s">
        <v>290</v>
      </c>
      <c r="F405" s="298" t="str">
        <f>'Character Sheet'!$C$9</f>
        <v/>
      </c>
      <c r="G405" s="298" t="s">
        <v>294</v>
      </c>
      <c r="H405" s="298" t="s">
        <v>324</v>
      </c>
      <c r="I405" s="298" t="s">
        <v>324</v>
      </c>
      <c r="J405" s="298" t="s">
        <v>315</v>
      </c>
      <c r="K405" s="298" t="s">
        <v>675</v>
      </c>
      <c r="L405" s="298" t="s">
        <v>493</v>
      </c>
      <c r="M405" s="301" t="s">
        <v>315</v>
      </c>
      <c r="N405" s="301" t="s">
        <v>315</v>
      </c>
      <c r="O405" s="301" t="s">
        <v>2880</v>
      </c>
      <c r="P405" s="301" t="s">
        <v>2881</v>
      </c>
      <c r="Q405" s="301" t="s">
        <v>2882</v>
      </c>
      <c r="R405" s="301" t="s">
        <v>2883</v>
      </c>
      <c r="S405" s="301" t="s">
        <v>2884</v>
      </c>
      <c r="T405" s="301" t="s">
        <v>2885</v>
      </c>
      <c r="U405" s="301" t="s">
        <v>2886</v>
      </c>
      <c r="V405" s="301" t="s">
        <v>2887</v>
      </c>
      <c r="W405" s="298" t="s">
        <v>684</v>
      </c>
      <c r="X405" s="298" t="s">
        <v>569</v>
      </c>
    </row>
    <row r="406">
      <c r="A406" s="295" t="s">
        <v>2888</v>
      </c>
      <c r="B406" s="298">
        <v>3.0</v>
      </c>
      <c r="C406" s="298" t="s">
        <v>288</v>
      </c>
      <c r="D406" s="298" t="s">
        <v>334</v>
      </c>
      <c r="E406" s="298" t="s">
        <v>311</v>
      </c>
      <c r="F406" s="298" t="str">
        <f>'Character Sheet'!$C$9</f>
        <v/>
      </c>
      <c r="G406" s="298" t="s">
        <v>294</v>
      </c>
      <c r="H406" s="298" t="s">
        <v>335</v>
      </c>
      <c r="I406" s="298" t="s">
        <v>296</v>
      </c>
      <c r="J406" s="298" t="s">
        <v>315</v>
      </c>
      <c r="K406" s="298" t="s">
        <v>298</v>
      </c>
      <c r="L406" s="298" t="s">
        <v>493</v>
      </c>
      <c r="M406" s="301" t="s">
        <v>315</v>
      </c>
      <c r="N406" s="301" t="s">
        <v>315</v>
      </c>
      <c r="O406" s="301" t="s">
        <v>2889</v>
      </c>
      <c r="P406" s="301" t="s">
        <v>2889</v>
      </c>
      <c r="Q406" s="301" t="s">
        <v>2889</v>
      </c>
      <c r="R406" s="301" t="s">
        <v>2889</v>
      </c>
      <c r="S406" s="301" t="s">
        <v>2889</v>
      </c>
      <c r="T406" s="301" t="s">
        <v>2889</v>
      </c>
      <c r="U406" s="301" t="s">
        <v>2889</v>
      </c>
      <c r="V406" s="301" t="s">
        <v>2889</v>
      </c>
      <c r="W406" s="298" t="s">
        <v>389</v>
      </c>
      <c r="X406" s="298" t="s">
        <v>306</v>
      </c>
    </row>
    <row r="407">
      <c r="A407" s="295" t="s">
        <v>2890</v>
      </c>
      <c r="B407" s="298">
        <v>3.0</v>
      </c>
      <c r="C407" s="298" t="s">
        <v>522</v>
      </c>
      <c r="D407" s="298" t="s">
        <v>421</v>
      </c>
      <c r="E407" s="298" t="s">
        <v>311</v>
      </c>
      <c r="F407" s="298" t="s">
        <v>999</v>
      </c>
      <c r="G407" s="298" t="s">
        <v>674</v>
      </c>
      <c r="H407" s="298" t="s">
        <v>335</v>
      </c>
      <c r="I407" s="298" t="s">
        <v>1136</v>
      </c>
      <c r="J407" s="298" t="s">
        <v>315</v>
      </c>
      <c r="K407" s="298" t="s">
        <v>1001</v>
      </c>
      <c r="L407" s="298" t="s">
        <v>493</v>
      </c>
      <c r="M407" s="301" t="s">
        <v>315</v>
      </c>
      <c r="N407" s="301" t="s">
        <v>315</v>
      </c>
      <c r="O407" s="301" t="s">
        <v>2891</v>
      </c>
      <c r="P407" s="301" t="s">
        <v>2891</v>
      </c>
      <c r="Q407" s="301" t="s">
        <v>2891</v>
      </c>
      <c r="R407" s="301" t="s">
        <v>2891</v>
      </c>
      <c r="S407" s="301" t="s">
        <v>2891</v>
      </c>
      <c r="T407" s="301" t="s">
        <v>2891</v>
      </c>
      <c r="U407" s="301" t="s">
        <v>2891</v>
      </c>
      <c r="V407" s="301" t="s">
        <v>2891</v>
      </c>
      <c r="W407" s="298" t="s">
        <v>357</v>
      </c>
      <c r="X407" s="298" t="s">
        <v>306</v>
      </c>
    </row>
    <row r="408">
      <c r="A408" s="295" t="s">
        <v>2892</v>
      </c>
      <c r="B408" s="298">
        <v>3.0</v>
      </c>
      <c r="C408" s="298" t="s">
        <v>288</v>
      </c>
      <c r="D408" s="298" t="s">
        <v>321</v>
      </c>
      <c r="E408" s="298" t="s">
        <v>290</v>
      </c>
      <c r="F408" s="298" t="str">
        <f>'Character Sheet'!$C$9</f>
        <v/>
      </c>
      <c r="G408" s="298" t="s">
        <v>294</v>
      </c>
      <c r="H408" s="298" t="s">
        <v>352</v>
      </c>
      <c r="I408" s="298" t="s">
        <v>1000</v>
      </c>
      <c r="J408" s="298" t="s">
        <v>192</v>
      </c>
      <c r="K408" s="298" t="s">
        <v>632</v>
      </c>
      <c r="L408" s="298" t="s">
        <v>493</v>
      </c>
      <c r="M408" s="301" t="s">
        <v>315</v>
      </c>
      <c r="N408" s="301" t="s">
        <v>315</v>
      </c>
      <c r="O408" s="301" t="s">
        <v>2894</v>
      </c>
      <c r="P408" s="301" t="s">
        <v>2894</v>
      </c>
      <c r="Q408" s="301" t="s">
        <v>2894</v>
      </c>
      <c r="R408" s="301" t="s">
        <v>2894</v>
      </c>
      <c r="S408" s="301" t="s">
        <v>2894</v>
      </c>
      <c r="T408" s="301" t="s">
        <v>2894</v>
      </c>
      <c r="U408" s="301" t="s">
        <v>2894</v>
      </c>
      <c r="V408" s="301" t="s">
        <v>2894</v>
      </c>
      <c r="W408" s="298" t="s">
        <v>357</v>
      </c>
      <c r="X408" s="298" t="s">
        <v>318</v>
      </c>
    </row>
    <row r="409">
      <c r="A409" s="295" t="s">
        <v>2895</v>
      </c>
      <c r="B409" s="298">
        <v>3.0</v>
      </c>
      <c r="C409" s="298" t="s">
        <v>288</v>
      </c>
      <c r="D409" s="298" t="s">
        <v>462</v>
      </c>
      <c r="E409" s="298" t="s">
        <v>290</v>
      </c>
      <c r="F409" s="298" t="str">
        <f>'Character Sheet'!$C$9</f>
        <v/>
      </c>
      <c r="G409" s="298" t="s">
        <v>294</v>
      </c>
      <c r="H409" s="298" t="s">
        <v>324</v>
      </c>
      <c r="I409" s="298" t="s">
        <v>324</v>
      </c>
      <c r="J409" s="298" t="s">
        <v>315</v>
      </c>
      <c r="K409" s="298" t="s">
        <v>632</v>
      </c>
      <c r="L409" s="298" t="s">
        <v>493</v>
      </c>
      <c r="M409" s="301" t="s">
        <v>315</v>
      </c>
      <c r="N409" s="301" t="s">
        <v>315</v>
      </c>
      <c r="O409" s="301" t="s">
        <v>2896</v>
      </c>
      <c r="P409" s="301" t="s">
        <v>2897</v>
      </c>
      <c r="Q409" s="301" t="s">
        <v>2898</v>
      </c>
      <c r="R409" s="301" t="s">
        <v>2898</v>
      </c>
      <c r="S409" s="301" t="s">
        <v>2898</v>
      </c>
      <c r="T409" s="301" t="s">
        <v>2899</v>
      </c>
      <c r="U409" s="301" t="s">
        <v>2899</v>
      </c>
      <c r="V409" s="301" t="s">
        <v>2899</v>
      </c>
      <c r="W409" s="298" t="s">
        <v>460</v>
      </c>
      <c r="X409" s="298" t="s">
        <v>318</v>
      </c>
    </row>
    <row r="410">
      <c r="A410" s="295" t="s">
        <v>2900</v>
      </c>
      <c r="B410" s="298">
        <v>3.0</v>
      </c>
      <c r="C410" s="298" t="s">
        <v>288</v>
      </c>
      <c r="D410" s="298" t="s">
        <v>310</v>
      </c>
      <c r="E410" s="298" t="s">
        <v>290</v>
      </c>
      <c r="F410" s="298" t="str">
        <f>'Character Sheet'!$C$9</f>
        <v/>
      </c>
      <c r="G410" s="298" t="s">
        <v>294</v>
      </c>
      <c r="H410" s="298" t="s">
        <v>295</v>
      </c>
      <c r="I410" s="298" t="s">
        <v>2901</v>
      </c>
      <c r="J410" s="298" t="s">
        <v>315</v>
      </c>
      <c r="K410" s="298" t="s">
        <v>632</v>
      </c>
      <c r="L410" s="298" t="s">
        <v>493</v>
      </c>
      <c r="M410" s="301" t="s">
        <v>315</v>
      </c>
      <c r="N410" s="301" t="s">
        <v>315</v>
      </c>
      <c r="O410" s="301" t="s">
        <v>2902</v>
      </c>
      <c r="P410" s="301" t="s">
        <v>2903</v>
      </c>
      <c r="Q410" s="301" t="s">
        <v>2904</v>
      </c>
      <c r="R410" s="301" t="s">
        <v>2905</v>
      </c>
      <c r="S410" s="301" t="s">
        <v>2906</v>
      </c>
      <c r="T410" s="301" t="s">
        <v>2907</v>
      </c>
      <c r="U410" s="301" t="s">
        <v>2908</v>
      </c>
      <c r="V410" s="301" t="s">
        <v>2909</v>
      </c>
      <c r="W410" s="298" t="s">
        <v>317</v>
      </c>
      <c r="X410" s="298" t="s">
        <v>318</v>
      </c>
    </row>
    <row r="411">
      <c r="A411" s="295" t="s">
        <v>2910</v>
      </c>
      <c r="B411" s="298">
        <v>3.0</v>
      </c>
      <c r="C411" s="298" t="s">
        <v>522</v>
      </c>
      <c r="D411" s="298" t="s">
        <v>310</v>
      </c>
      <c r="E411" s="298" t="s">
        <v>290</v>
      </c>
      <c r="F411" s="298" t="str">
        <f>'Character Sheet'!$E$9</f>
        <v/>
      </c>
      <c r="G411" s="298" t="s">
        <v>674</v>
      </c>
      <c r="H411" s="298" t="s">
        <v>335</v>
      </c>
      <c r="I411" s="298" t="s">
        <v>2911</v>
      </c>
      <c r="J411" s="298" t="s">
        <v>315</v>
      </c>
      <c r="K411" s="298" t="s">
        <v>1753</v>
      </c>
      <c r="L411" s="298" t="s">
        <v>493</v>
      </c>
      <c r="M411" s="301" t="s">
        <v>315</v>
      </c>
      <c r="N411" s="301" t="s">
        <v>315</v>
      </c>
      <c r="O411" s="301" t="s">
        <v>2912</v>
      </c>
      <c r="P411" s="301" t="s">
        <v>2912</v>
      </c>
      <c r="Q411" s="301" t="s">
        <v>2912</v>
      </c>
      <c r="R411" s="301" t="s">
        <v>2913</v>
      </c>
      <c r="S411" s="301" t="s">
        <v>2913</v>
      </c>
      <c r="T411" s="301" t="s">
        <v>2913</v>
      </c>
      <c r="U411" s="301" t="s">
        <v>2913</v>
      </c>
      <c r="V411" s="301" t="s">
        <v>2913</v>
      </c>
      <c r="W411" s="298" t="s">
        <v>684</v>
      </c>
      <c r="X411" s="298" t="s">
        <v>2168</v>
      </c>
    </row>
    <row r="412">
      <c r="A412" s="295" t="s">
        <v>2914</v>
      </c>
      <c r="B412" s="298">
        <v>3.0</v>
      </c>
      <c r="C412" s="298" t="s">
        <v>288</v>
      </c>
      <c r="D412" s="298" t="s">
        <v>359</v>
      </c>
      <c r="E412" s="298" t="s">
        <v>290</v>
      </c>
      <c r="F412" s="298" t="str">
        <f>'Character Sheet'!$C$9</f>
        <v/>
      </c>
      <c r="G412" s="298" t="s">
        <v>294</v>
      </c>
      <c r="H412" s="298" t="s">
        <v>295</v>
      </c>
      <c r="I412" s="298" t="s">
        <v>296</v>
      </c>
      <c r="J412" s="298" t="s">
        <v>192</v>
      </c>
      <c r="K412" s="298" t="s">
        <v>1174</v>
      </c>
      <c r="L412" s="298" t="s">
        <v>493</v>
      </c>
      <c r="M412" s="301" t="s">
        <v>315</v>
      </c>
      <c r="N412" s="301" t="s">
        <v>315</v>
      </c>
      <c r="O412" s="301" t="s">
        <v>2915</v>
      </c>
      <c r="P412" s="301" t="s">
        <v>2915</v>
      </c>
      <c r="Q412" s="301" t="s">
        <v>2915</v>
      </c>
      <c r="R412" s="301" t="s">
        <v>2915</v>
      </c>
      <c r="S412" s="301" t="s">
        <v>2916</v>
      </c>
      <c r="T412" s="301" t="s">
        <v>2916</v>
      </c>
      <c r="U412" s="301" t="s">
        <v>2916</v>
      </c>
      <c r="V412" s="301" t="s">
        <v>2916</v>
      </c>
      <c r="W412" s="298" t="s">
        <v>460</v>
      </c>
      <c r="X412" s="298" t="s">
        <v>306</v>
      </c>
    </row>
    <row r="413">
      <c r="A413" s="295" t="s">
        <v>2917</v>
      </c>
      <c r="B413" s="298">
        <v>3.0</v>
      </c>
      <c r="C413" s="298" t="s">
        <v>522</v>
      </c>
      <c r="D413" s="298" t="s">
        <v>310</v>
      </c>
      <c r="E413" s="298" t="s">
        <v>290</v>
      </c>
      <c r="F413" s="298" t="str">
        <f>'Character Sheet'!$E$9</f>
        <v/>
      </c>
      <c r="G413" s="298" t="s">
        <v>674</v>
      </c>
      <c r="H413" s="27" t="s">
        <v>335</v>
      </c>
      <c r="I413" s="27" t="s">
        <v>296</v>
      </c>
      <c r="J413" s="27" t="s">
        <v>315</v>
      </c>
      <c r="K413" s="27" t="s">
        <v>2918</v>
      </c>
      <c r="L413" s="298" t="s">
        <v>493</v>
      </c>
      <c r="M413" s="301" t="s">
        <v>315</v>
      </c>
      <c r="N413" s="301" t="s">
        <v>315</v>
      </c>
      <c r="O413" s="27" t="s">
        <v>2919</v>
      </c>
      <c r="P413" s="27" t="s">
        <v>2919</v>
      </c>
      <c r="Q413" s="27" t="s">
        <v>2919</v>
      </c>
      <c r="R413" s="27" t="s">
        <v>2919</v>
      </c>
      <c r="S413" s="27" t="s">
        <v>2919</v>
      </c>
      <c r="T413" s="27" t="s">
        <v>2919</v>
      </c>
      <c r="U413" s="27" t="s">
        <v>2919</v>
      </c>
      <c r="V413" s="27" t="s">
        <v>2919</v>
      </c>
      <c r="W413" s="298" t="s">
        <v>460</v>
      </c>
      <c r="X413" s="298" t="s">
        <v>2920</v>
      </c>
    </row>
    <row r="414">
      <c r="A414" s="295" t="s">
        <v>2921</v>
      </c>
      <c r="B414" s="298">
        <v>3.0</v>
      </c>
      <c r="C414" s="298" t="s">
        <v>288</v>
      </c>
      <c r="D414" s="298" t="s">
        <v>321</v>
      </c>
      <c r="E414" s="298" t="s">
        <v>290</v>
      </c>
      <c r="F414" s="298" t="str">
        <f>'Character Sheet'!$E$9</f>
        <v/>
      </c>
      <c r="G414" s="298" t="s">
        <v>674</v>
      </c>
      <c r="H414" s="298" t="s">
        <v>2922</v>
      </c>
      <c r="I414" s="298" t="s">
        <v>296</v>
      </c>
      <c r="J414" s="298" t="s">
        <v>192</v>
      </c>
      <c r="K414" s="298" t="s">
        <v>632</v>
      </c>
      <c r="L414" s="298" t="s">
        <v>493</v>
      </c>
      <c r="M414" s="301" t="s">
        <v>315</v>
      </c>
      <c r="N414" s="301" t="s">
        <v>315</v>
      </c>
      <c r="O414" s="301" t="s">
        <v>2923</v>
      </c>
      <c r="P414" s="301" t="s">
        <v>2923</v>
      </c>
      <c r="Q414" s="301" t="s">
        <v>2923</v>
      </c>
      <c r="R414" s="301" t="s">
        <v>2923</v>
      </c>
      <c r="S414" s="301" t="s">
        <v>2923</v>
      </c>
      <c r="T414" s="301" t="s">
        <v>2924</v>
      </c>
      <c r="U414" s="301" t="s">
        <v>2924</v>
      </c>
      <c r="V414" s="301" t="s">
        <v>2924</v>
      </c>
      <c r="W414" s="298" t="s">
        <v>460</v>
      </c>
      <c r="X414" s="298" t="s">
        <v>318</v>
      </c>
    </row>
    <row r="415">
      <c r="A415" s="295" t="s">
        <v>2925</v>
      </c>
      <c r="B415" s="298">
        <v>3.0</v>
      </c>
      <c r="C415" s="298" t="s">
        <v>522</v>
      </c>
      <c r="D415" s="298" t="s">
        <v>289</v>
      </c>
      <c r="E415" s="298" t="s">
        <v>311</v>
      </c>
      <c r="F415" s="298" t="str">
        <f>'Character Sheet'!$C$9</f>
        <v/>
      </c>
      <c r="G415" s="298" t="s">
        <v>294</v>
      </c>
      <c r="H415" s="298" t="s">
        <v>352</v>
      </c>
      <c r="I415" s="298" t="s">
        <v>315</v>
      </c>
      <c r="J415" s="298" t="s">
        <v>315</v>
      </c>
      <c r="K415" s="298" t="s">
        <v>632</v>
      </c>
      <c r="L415" s="298" t="s">
        <v>493</v>
      </c>
      <c r="M415" s="301" t="s">
        <v>315</v>
      </c>
      <c r="N415" s="301" t="s">
        <v>315</v>
      </c>
      <c r="O415" s="301" t="s">
        <v>2926</v>
      </c>
      <c r="P415" s="301" t="s">
        <v>2926</v>
      </c>
      <c r="Q415" s="301" t="s">
        <v>2926</v>
      </c>
      <c r="R415" s="301" t="s">
        <v>2926</v>
      </c>
      <c r="S415" s="301" t="s">
        <v>2926</v>
      </c>
      <c r="T415" s="301" t="s">
        <v>2926</v>
      </c>
      <c r="U415" s="301" t="s">
        <v>2926</v>
      </c>
      <c r="V415" s="301" t="s">
        <v>2926</v>
      </c>
      <c r="W415" s="298" t="s">
        <v>305</v>
      </c>
      <c r="X415" s="298" t="s">
        <v>2927</v>
      </c>
    </row>
    <row r="416">
      <c r="A416" s="295" t="s">
        <v>2928</v>
      </c>
      <c r="B416" s="298">
        <v>3.0</v>
      </c>
      <c r="C416" s="298" t="s">
        <v>288</v>
      </c>
      <c r="D416" s="298" t="s">
        <v>334</v>
      </c>
      <c r="E416" s="298" t="s">
        <v>290</v>
      </c>
      <c r="F416" s="298" t="str">
        <f>'Character Sheet'!$C$9</f>
        <v/>
      </c>
      <c r="G416" s="298" t="s">
        <v>294</v>
      </c>
      <c r="H416" s="298" t="s">
        <v>335</v>
      </c>
      <c r="I416" s="298" t="s">
        <v>296</v>
      </c>
      <c r="J416" s="298" t="s">
        <v>192</v>
      </c>
      <c r="K416" s="298" t="s">
        <v>424</v>
      </c>
      <c r="L416" s="298" t="s">
        <v>493</v>
      </c>
      <c r="M416" s="301" t="s">
        <v>315</v>
      </c>
      <c r="N416" s="301" t="s">
        <v>315</v>
      </c>
      <c r="O416" s="301" t="s">
        <v>2929</v>
      </c>
      <c r="P416" s="301" t="s">
        <v>2929</v>
      </c>
      <c r="Q416" s="301" t="s">
        <v>2929</v>
      </c>
      <c r="R416" s="301" t="s">
        <v>2930</v>
      </c>
      <c r="S416" s="301" t="s">
        <v>2930</v>
      </c>
      <c r="T416" s="301" t="s">
        <v>2930</v>
      </c>
      <c r="U416" s="301" t="s">
        <v>2931</v>
      </c>
      <c r="V416" s="301" t="s">
        <v>2931</v>
      </c>
      <c r="W416" s="298" t="s">
        <v>389</v>
      </c>
      <c r="X416" s="298" t="s">
        <v>318</v>
      </c>
    </row>
    <row r="417">
      <c r="A417" s="295" t="s">
        <v>2932</v>
      </c>
      <c r="B417" s="298">
        <v>3.0</v>
      </c>
      <c r="C417" s="298" t="s">
        <v>522</v>
      </c>
      <c r="D417" s="298" t="s">
        <v>462</v>
      </c>
      <c r="E417" s="298" t="s">
        <v>311</v>
      </c>
      <c r="F417" s="298" t="str">
        <f>'Character Sheet'!$C$9</f>
        <v/>
      </c>
      <c r="G417" s="298" t="s">
        <v>294</v>
      </c>
      <c r="H417" s="298" t="s">
        <v>352</v>
      </c>
      <c r="I417" s="298" t="s">
        <v>2933</v>
      </c>
      <c r="J417" s="298" t="s">
        <v>173</v>
      </c>
      <c r="K417" s="298" t="s">
        <v>424</v>
      </c>
      <c r="L417" s="298" t="s">
        <v>493</v>
      </c>
      <c r="M417" s="301" t="s">
        <v>315</v>
      </c>
      <c r="N417" s="301" t="s">
        <v>315</v>
      </c>
      <c r="O417" s="301" t="s">
        <v>2934</v>
      </c>
      <c r="P417" s="301" t="s">
        <v>2934</v>
      </c>
      <c r="Q417" s="301" t="s">
        <v>2934</v>
      </c>
      <c r="R417" s="301" t="s">
        <v>2934</v>
      </c>
      <c r="S417" s="301" t="s">
        <v>2934</v>
      </c>
      <c r="T417" s="301" t="s">
        <v>2934</v>
      </c>
      <c r="U417" s="301" t="s">
        <v>2934</v>
      </c>
      <c r="V417" s="301" t="s">
        <v>2934</v>
      </c>
      <c r="W417" s="298" t="s">
        <v>460</v>
      </c>
      <c r="X417" s="298" t="s">
        <v>2927</v>
      </c>
    </row>
    <row r="418">
      <c r="A418" s="295" t="s">
        <v>2936</v>
      </c>
      <c r="B418" s="298">
        <v>3.0</v>
      </c>
      <c r="C418" s="298" t="s">
        <v>522</v>
      </c>
      <c r="D418" s="298" t="s">
        <v>151</v>
      </c>
      <c r="E418" s="298" t="s">
        <v>290</v>
      </c>
      <c r="F418" s="298" t="str">
        <f>'Character Sheet'!$E$9</f>
        <v/>
      </c>
      <c r="G418" s="298" t="s">
        <v>674</v>
      </c>
      <c r="H418" s="298" t="s">
        <v>335</v>
      </c>
      <c r="I418" s="298" t="s">
        <v>738</v>
      </c>
      <c r="J418" s="298" t="s">
        <v>315</v>
      </c>
      <c r="K418" s="298" t="s">
        <v>632</v>
      </c>
      <c r="L418" s="298" t="s">
        <v>493</v>
      </c>
      <c r="M418" s="301" t="s">
        <v>315</v>
      </c>
      <c r="N418" s="301" t="s">
        <v>315</v>
      </c>
      <c r="O418" s="301" t="s">
        <v>2937</v>
      </c>
      <c r="P418" s="301" t="s">
        <v>2937</v>
      </c>
      <c r="Q418" s="301" t="s">
        <v>2937</v>
      </c>
      <c r="R418" s="301" t="s">
        <v>2937</v>
      </c>
      <c r="S418" s="301" t="s">
        <v>2938</v>
      </c>
      <c r="T418" s="301" t="s">
        <v>2938</v>
      </c>
      <c r="U418" s="301" t="s">
        <v>2938</v>
      </c>
      <c r="V418" s="301" t="s">
        <v>2938</v>
      </c>
      <c r="W418" s="298" t="s">
        <v>460</v>
      </c>
      <c r="X418" s="298" t="s">
        <v>569</v>
      </c>
    </row>
    <row r="419">
      <c r="A419" s="295" t="s">
        <v>2939</v>
      </c>
      <c r="B419" s="298">
        <v>3.0</v>
      </c>
      <c r="C419" s="298" t="s">
        <v>288</v>
      </c>
      <c r="D419" s="298" t="s">
        <v>334</v>
      </c>
      <c r="E419" s="298" t="s">
        <v>311</v>
      </c>
      <c r="F419" s="298" t="s">
        <v>999</v>
      </c>
      <c r="G419" s="298" t="s">
        <v>674</v>
      </c>
      <c r="H419" s="298" t="s">
        <v>335</v>
      </c>
      <c r="I419" s="298" t="s">
        <v>296</v>
      </c>
      <c r="J419" s="298" t="s">
        <v>1953</v>
      </c>
      <c r="K419" s="298" t="s">
        <v>298</v>
      </c>
      <c r="L419" s="298" t="s">
        <v>493</v>
      </c>
      <c r="M419" s="301" t="s">
        <v>315</v>
      </c>
      <c r="N419" s="301" t="s">
        <v>315</v>
      </c>
      <c r="O419" s="301" t="s">
        <v>2941</v>
      </c>
      <c r="P419" s="301" t="s">
        <v>2941</v>
      </c>
      <c r="Q419" s="301" t="s">
        <v>2941</v>
      </c>
      <c r="R419" s="301" t="s">
        <v>2941</v>
      </c>
      <c r="S419" s="301" t="s">
        <v>2941</v>
      </c>
      <c r="T419" s="301" t="s">
        <v>2941</v>
      </c>
      <c r="U419" s="301" t="s">
        <v>2941</v>
      </c>
      <c r="V419" s="301" t="s">
        <v>2941</v>
      </c>
      <c r="W419" s="298" t="s">
        <v>389</v>
      </c>
      <c r="X419" s="298" t="s">
        <v>306</v>
      </c>
    </row>
    <row r="420">
      <c r="A420" s="295" t="s">
        <v>2942</v>
      </c>
      <c r="B420" s="298">
        <v>3.0</v>
      </c>
      <c r="C420" s="298" t="s">
        <v>288</v>
      </c>
      <c r="D420" s="298" t="s">
        <v>359</v>
      </c>
      <c r="E420" s="298" t="s">
        <v>290</v>
      </c>
      <c r="F420" s="298" t="str">
        <f>'Character Sheet'!$C$9</f>
        <v/>
      </c>
      <c r="G420" s="298" t="s">
        <v>294</v>
      </c>
      <c r="H420" s="298" t="s">
        <v>360</v>
      </c>
      <c r="I420" s="298" t="s">
        <v>296</v>
      </c>
      <c r="J420" s="298" t="s">
        <v>192</v>
      </c>
      <c r="K420" s="298" t="s">
        <v>1753</v>
      </c>
      <c r="L420" s="298" t="s">
        <v>493</v>
      </c>
      <c r="M420" s="301" t="s">
        <v>315</v>
      </c>
      <c r="N420" s="301" t="s">
        <v>315</v>
      </c>
      <c r="O420" s="301" t="s">
        <v>2944</v>
      </c>
      <c r="P420" s="301" t="s">
        <v>2944</v>
      </c>
      <c r="Q420" s="301" t="s">
        <v>2944</v>
      </c>
      <c r="R420" s="301" t="s">
        <v>2945</v>
      </c>
      <c r="S420" s="301" t="s">
        <v>2945</v>
      </c>
      <c r="T420" s="301" t="s">
        <v>2945</v>
      </c>
      <c r="U420" s="301" t="s">
        <v>2945</v>
      </c>
      <c r="V420" s="301" t="s">
        <v>2945</v>
      </c>
      <c r="W420" s="298" t="s">
        <v>331</v>
      </c>
      <c r="X420" s="298" t="s">
        <v>318</v>
      </c>
    </row>
    <row r="421">
      <c r="A421" s="295" t="s">
        <v>2947</v>
      </c>
      <c r="B421" s="298">
        <v>3.0</v>
      </c>
      <c r="C421" s="298" t="s">
        <v>288</v>
      </c>
      <c r="D421" s="298" t="s">
        <v>334</v>
      </c>
      <c r="E421" s="298" t="s">
        <v>290</v>
      </c>
      <c r="F421" s="298" t="str">
        <f>'Character Sheet'!$C$9</f>
        <v/>
      </c>
      <c r="G421" s="298" t="s">
        <v>294</v>
      </c>
      <c r="H421" s="298" t="s">
        <v>360</v>
      </c>
      <c r="I421" s="298" t="s">
        <v>1413</v>
      </c>
      <c r="J421" s="298" t="s">
        <v>407</v>
      </c>
      <c r="K421" s="298" t="s">
        <v>424</v>
      </c>
      <c r="L421" s="298" t="s">
        <v>493</v>
      </c>
      <c r="M421" s="301" t="s">
        <v>315</v>
      </c>
      <c r="N421" s="301" t="s">
        <v>315</v>
      </c>
      <c r="O421" s="301" t="s">
        <v>2949</v>
      </c>
      <c r="P421" s="301" t="s">
        <v>2949</v>
      </c>
      <c r="Q421" s="301" t="s">
        <v>2950</v>
      </c>
      <c r="R421" s="301" t="s">
        <v>2950</v>
      </c>
      <c r="S421" s="301" t="s">
        <v>2951</v>
      </c>
      <c r="T421" s="301" t="s">
        <v>2951</v>
      </c>
      <c r="U421" s="301" t="s">
        <v>2952</v>
      </c>
      <c r="V421" s="301" t="s">
        <v>2952</v>
      </c>
      <c r="W421" s="298" t="s">
        <v>331</v>
      </c>
      <c r="X421" s="298" t="s">
        <v>318</v>
      </c>
    </row>
    <row r="422">
      <c r="A422" s="295" t="s">
        <v>2953</v>
      </c>
      <c r="B422" s="298">
        <v>3.0</v>
      </c>
      <c r="C422" s="298" t="s">
        <v>288</v>
      </c>
      <c r="D422" s="298" t="s">
        <v>421</v>
      </c>
      <c r="E422" s="298" t="s">
        <v>290</v>
      </c>
      <c r="F422" s="298" t="str">
        <f>'Character Sheet'!$E$9</f>
        <v/>
      </c>
      <c r="G422" s="298" t="s">
        <v>674</v>
      </c>
      <c r="H422" s="298" t="s">
        <v>335</v>
      </c>
      <c r="I422" s="298" t="s">
        <v>2955</v>
      </c>
      <c r="J422" s="298" t="s">
        <v>315</v>
      </c>
      <c r="K422" s="298" t="s">
        <v>424</v>
      </c>
      <c r="L422" s="298" t="s">
        <v>493</v>
      </c>
      <c r="M422" s="301" t="s">
        <v>315</v>
      </c>
      <c r="N422" s="301" t="s">
        <v>315</v>
      </c>
      <c r="O422" s="301" t="s">
        <v>2956</v>
      </c>
      <c r="P422" s="301" t="s">
        <v>2956</v>
      </c>
      <c r="Q422" s="301" t="s">
        <v>2958</v>
      </c>
      <c r="R422" s="301" t="s">
        <v>2958</v>
      </c>
      <c r="S422" s="301" t="s">
        <v>2958</v>
      </c>
      <c r="T422" s="301" t="s">
        <v>2959</v>
      </c>
      <c r="U422" s="301" t="s">
        <v>2959</v>
      </c>
      <c r="V422" s="301" t="s">
        <v>2959</v>
      </c>
      <c r="W422" s="298" t="s">
        <v>993</v>
      </c>
      <c r="X422" s="298" t="s">
        <v>678</v>
      </c>
    </row>
    <row r="423">
      <c r="A423" s="295" t="s">
        <v>2960</v>
      </c>
      <c r="B423" s="298">
        <v>3.0</v>
      </c>
      <c r="C423" s="298" t="s">
        <v>288</v>
      </c>
      <c r="D423" s="298" t="s">
        <v>421</v>
      </c>
      <c r="E423" s="298" t="s">
        <v>311</v>
      </c>
      <c r="F423" s="298" t="s">
        <v>625</v>
      </c>
      <c r="G423" s="298" t="s">
        <v>674</v>
      </c>
      <c r="H423" s="298" t="s">
        <v>324</v>
      </c>
      <c r="I423" s="298" t="s">
        <v>2777</v>
      </c>
      <c r="J423" s="298" t="s">
        <v>315</v>
      </c>
      <c r="K423" s="298" t="s">
        <v>1972</v>
      </c>
      <c r="L423" s="298" t="s">
        <v>493</v>
      </c>
      <c r="M423" s="301" t="s">
        <v>315</v>
      </c>
      <c r="N423" s="301" t="s">
        <v>315</v>
      </c>
      <c r="O423" s="301" t="s">
        <v>2961</v>
      </c>
      <c r="P423" s="301" t="s">
        <v>2961</v>
      </c>
      <c r="Q423" s="301" t="s">
        <v>2961</v>
      </c>
      <c r="R423" s="301" t="s">
        <v>2961</v>
      </c>
      <c r="S423" s="301" t="s">
        <v>2961</v>
      </c>
      <c r="T423" s="301" t="s">
        <v>2961</v>
      </c>
      <c r="U423" s="301" t="s">
        <v>2961</v>
      </c>
      <c r="V423" s="301" t="s">
        <v>2961</v>
      </c>
      <c r="W423" s="298" t="s">
        <v>404</v>
      </c>
      <c r="X423" s="298" t="s">
        <v>306</v>
      </c>
    </row>
    <row r="424">
      <c r="A424" s="295" t="s">
        <v>2963</v>
      </c>
      <c r="B424" s="298">
        <v>3.0</v>
      </c>
      <c r="C424" s="298" t="s">
        <v>288</v>
      </c>
      <c r="D424" s="298" t="s">
        <v>321</v>
      </c>
      <c r="E424" s="298" t="s">
        <v>290</v>
      </c>
      <c r="F424" s="298" t="str">
        <f>'Character Sheet'!$C$9</f>
        <v/>
      </c>
      <c r="G424" s="298" t="s">
        <v>294</v>
      </c>
      <c r="H424" s="298" t="s">
        <v>335</v>
      </c>
      <c r="I424" s="298" t="s">
        <v>1136</v>
      </c>
      <c r="J424" s="298" t="s">
        <v>192</v>
      </c>
      <c r="K424" s="298" t="s">
        <v>325</v>
      </c>
      <c r="L424" s="298" t="s">
        <v>493</v>
      </c>
      <c r="M424" s="301" t="s">
        <v>315</v>
      </c>
      <c r="N424" s="301" t="s">
        <v>315</v>
      </c>
      <c r="O424" s="301" t="s">
        <v>2965</v>
      </c>
      <c r="P424" s="301" t="s">
        <v>2965</v>
      </c>
      <c r="Q424" s="301" t="s">
        <v>2966</v>
      </c>
      <c r="R424" s="301" t="s">
        <v>2966</v>
      </c>
      <c r="S424" s="301" t="s">
        <v>2966</v>
      </c>
      <c r="T424" s="301" t="s">
        <v>2966</v>
      </c>
      <c r="U424" s="301" t="s">
        <v>2966</v>
      </c>
      <c r="V424" s="301" t="s">
        <v>2966</v>
      </c>
      <c r="W424" s="298" t="s">
        <v>536</v>
      </c>
      <c r="X424" s="298" t="s">
        <v>678</v>
      </c>
    </row>
    <row r="425">
      <c r="A425" s="295" t="s">
        <v>2968</v>
      </c>
      <c r="B425" s="298">
        <v>3.0</v>
      </c>
      <c r="C425" s="298" t="s">
        <v>288</v>
      </c>
      <c r="D425" s="298" t="s">
        <v>151</v>
      </c>
      <c r="E425" s="298" t="s">
        <v>290</v>
      </c>
      <c r="F425" s="298" t="str">
        <f>'Character Sheet'!$C$9</f>
        <v/>
      </c>
      <c r="G425" s="298" t="s">
        <v>294</v>
      </c>
      <c r="H425" s="298" t="s">
        <v>360</v>
      </c>
      <c r="I425" s="298" t="s">
        <v>1379</v>
      </c>
      <c r="J425" s="298" t="s">
        <v>173</v>
      </c>
      <c r="K425" s="298" t="s">
        <v>632</v>
      </c>
      <c r="L425" s="298" t="s">
        <v>493</v>
      </c>
      <c r="M425" s="301" t="s">
        <v>315</v>
      </c>
      <c r="N425" s="301" t="s">
        <v>315</v>
      </c>
      <c r="O425" s="301" t="s">
        <v>2969</v>
      </c>
      <c r="P425" s="301" t="s">
        <v>2970</v>
      </c>
      <c r="Q425" s="301" t="s">
        <v>2971</v>
      </c>
      <c r="R425" s="301" t="s">
        <v>2972</v>
      </c>
      <c r="S425" s="301" t="s">
        <v>2973</v>
      </c>
      <c r="T425" s="301" t="s">
        <v>2974</v>
      </c>
      <c r="U425" s="301" t="s">
        <v>2975</v>
      </c>
      <c r="V425" s="301" t="s">
        <v>2976</v>
      </c>
      <c r="W425" s="298" t="s">
        <v>460</v>
      </c>
      <c r="X425" s="298" t="s">
        <v>569</v>
      </c>
    </row>
    <row r="426">
      <c r="A426" s="295" t="s">
        <v>2977</v>
      </c>
      <c r="B426" s="298">
        <v>3.0</v>
      </c>
      <c r="C426" s="298" t="s">
        <v>288</v>
      </c>
      <c r="D426" s="298" t="s">
        <v>289</v>
      </c>
      <c r="E426" s="298" t="s">
        <v>290</v>
      </c>
      <c r="F426" s="298" t="str">
        <f>'Character Sheet'!$C$9</f>
        <v/>
      </c>
      <c r="G426" s="298" t="s">
        <v>294</v>
      </c>
      <c r="H426" s="298" t="s">
        <v>352</v>
      </c>
      <c r="I426" s="298" t="s">
        <v>296</v>
      </c>
      <c r="J426" s="298" t="s">
        <v>203</v>
      </c>
      <c r="K426" s="298" t="s">
        <v>298</v>
      </c>
      <c r="L426" s="298" t="s">
        <v>493</v>
      </c>
      <c r="M426" s="301" t="s">
        <v>315</v>
      </c>
      <c r="N426" s="301" t="s">
        <v>315</v>
      </c>
      <c r="O426" s="301" t="s">
        <v>2979</v>
      </c>
      <c r="P426" s="301" t="s">
        <v>2980</v>
      </c>
      <c r="Q426" s="301" t="s">
        <v>2981</v>
      </c>
      <c r="R426" s="301" t="s">
        <v>2982</v>
      </c>
      <c r="S426" s="301" t="s">
        <v>2983</v>
      </c>
      <c r="T426" s="301" t="s">
        <v>2984</v>
      </c>
      <c r="U426" s="301" t="s">
        <v>2986</v>
      </c>
      <c r="V426" s="301" t="s">
        <v>2987</v>
      </c>
      <c r="W426" s="298" t="s">
        <v>389</v>
      </c>
      <c r="X426" s="298" t="s">
        <v>306</v>
      </c>
    </row>
    <row r="427">
      <c r="A427" s="295" t="s">
        <v>2988</v>
      </c>
      <c r="B427" s="298">
        <v>3.0</v>
      </c>
      <c r="C427" s="298" t="s">
        <v>288</v>
      </c>
      <c r="D427" s="298" t="s">
        <v>321</v>
      </c>
      <c r="E427" s="298" t="s">
        <v>311</v>
      </c>
      <c r="F427" s="298" t="s">
        <v>625</v>
      </c>
      <c r="G427" s="298" t="s">
        <v>674</v>
      </c>
      <c r="H427" s="298" t="s">
        <v>335</v>
      </c>
      <c r="I427" s="298" t="s">
        <v>2989</v>
      </c>
      <c r="J427" s="298" t="s">
        <v>315</v>
      </c>
      <c r="K427" s="298" t="s">
        <v>1283</v>
      </c>
      <c r="L427" s="298" t="s">
        <v>493</v>
      </c>
      <c r="M427" s="301" t="s">
        <v>315</v>
      </c>
      <c r="N427" s="301" t="s">
        <v>315</v>
      </c>
      <c r="O427" s="301" t="s">
        <v>2990</v>
      </c>
      <c r="P427" s="301" t="s">
        <v>2990</v>
      </c>
      <c r="Q427" s="301" t="s">
        <v>2990</v>
      </c>
      <c r="R427" s="301" t="s">
        <v>2990</v>
      </c>
      <c r="S427" s="301" t="s">
        <v>2990</v>
      </c>
      <c r="T427" s="301" t="s">
        <v>2990</v>
      </c>
      <c r="U427" s="301" t="s">
        <v>2990</v>
      </c>
      <c r="V427" s="301" t="s">
        <v>2990</v>
      </c>
      <c r="W427" s="298" t="s">
        <v>460</v>
      </c>
      <c r="X427" s="298" t="s">
        <v>306</v>
      </c>
    </row>
    <row r="428">
      <c r="A428" s="295" t="s">
        <v>2992</v>
      </c>
      <c r="B428" s="298">
        <v>3.0</v>
      </c>
      <c r="C428" s="298" t="s">
        <v>288</v>
      </c>
      <c r="D428" s="298" t="s">
        <v>321</v>
      </c>
      <c r="E428" s="298" t="s">
        <v>290</v>
      </c>
      <c r="F428" s="298" t="str">
        <f>'Character Sheet'!$K$9</f>
        <v/>
      </c>
      <c r="G428" s="298" t="s">
        <v>493</v>
      </c>
      <c r="H428" s="298" t="s">
        <v>2993</v>
      </c>
      <c r="I428" s="298" t="s">
        <v>296</v>
      </c>
      <c r="J428" s="298" t="s">
        <v>192</v>
      </c>
      <c r="K428" s="298" t="s">
        <v>298</v>
      </c>
      <c r="L428" s="298" t="s">
        <v>493</v>
      </c>
      <c r="M428" s="301" t="s">
        <v>315</v>
      </c>
      <c r="N428" s="301" t="s">
        <v>315</v>
      </c>
      <c r="O428" s="301" t="s">
        <v>2995</v>
      </c>
      <c r="P428" s="301" t="s">
        <v>2995</v>
      </c>
      <c r="Q428" s="301" t="s">
        <v>2996</v>
      </c>
      <c r="R428" s="301" t="s">
        <v>2996</v>
      </c>
      <c r="S428" s="301" t="s">
        <v>2997</v>
      </c>
      <c r="T428" s="301" t="s">
        <v>2997</v>
      </c>
      <c r="U428" s="301" t="s">
        <v>2998</v>
      </c>
      <c r="V428" s="301" t="s">
        <v>2998</v>
      </c>
      <c r="W428" s="298" t="s">
        <v>460</v>
      </c>
      <c r="X428" s="298" t="s">
        <v>318</v>
      </c>
    </row>
    <row r="429">
      <c r="A429" s="295" t="s">
        <v>2999</v>
      </c>
      <c r="B429" s="298">
        <v>3.0</v>
      </c>
      <c r="C429" s="298" t="s">
        <v>288</v>
      </c>
      <c r="D429" s="298" t="s">
        <v>334</v>
      </c>
      <c r="E429" s="298" t="s">
        <v>311</v>
      </c>
      <c r="F429" s="298" t="s">
        <v>625</v>
      </c>
      <c r="G429" s="298" t="s">
        <v>674</v>
      </c>
      <c r="H429" s="298" t="s">
        <v>352</v>
      </c>
      <c r="I429" s="298" t="s">
        <v>315</v>
      </c>
      <c r="J429" s="298" t="s">
        <v>315</v>
      </c>
      <c r="K429" s="298" t="s">
        <v>1972</v>
      </c>
      <c r="L429" s="298" t="s">
        <v>493</v>
      </c>
      <c r="M429" s="301" t="s">
        <v>315</v>
      </c>
      <c r="N429" s="301" t="s">
        <v>315</v>
      </c>
      <c r="O429" s="301" t="s">
        <v>3000</v>
      </c>
      <c r="P429" s="301" t="s">
        <v>3000</v>
      </c>
      <c r="Q429" s="301" t="s">
        <v>3000</v>
      </c>
      <c r="R429" s="301" t="s">
        <v>3000</v>
      </c>
      <c r="S429" s="301" t="s">
        <v>3000</v>
      </c>
      <c r="T429" s="301" t="s">
        <v>3000</v>
      </c>
      <c r="U429" s="301" t="s">
        <v>3000</v>
      </c>
      <c r="V429" s="301" t="s">
        <v>3000</v>
      </c>
      <c r="W429" s="298" t="s">
        <v>684</v>
      </c>
      <c r="X429" s="298" t="s">
        <v>569</v>
      </c>
    </row>
    <row r="430">
      <c r="A430" s="295" t="s">
        <v>3001</v>
      </c>
      <c r="B430" s="298">
        <v>3.0</v>
      </c>
      <c r="C430" s="298" t="s">
        <v>288</v>
      </c>
      <c r="D430" s="298" t="s">
        <v>359</v>
      </c>
      <c r="E430" s="298" t="s">
        <v>311</v>
      </c>
      <c r="F430" s="298" t="str">
        <f>'Character Sheet'!$K$9</f>
        <v/>
      </c>
      <c r="G430" s="298" t="s">
        <v>477</v>
      </c>
      <c r="H430" s="298" t="s">
        <v>295</v>
      </c>
      <c r="I430" s="298" t="s">
        <v>296</v>
      </c>
      <c r="J430" s="298" t="s">
        <v>192</v>
      </c>
      <c r="K430" s="298" t="s">
        <v>298</v>
      </c>
      <c r="L430" s="298" t="s">
        <v>493</v>
      </c>
      <c r="M430" s="301" t="s">
        <v>315</v>
      </c>
      <c r="N430" s="301" t="s">
        <v>315</v>
      </c>
      <c r="O430" s="301" t="s">
        <v>3002</v>
      </c>
      <c r="P430" s="301" t="s">
        <v>3002</v>
      </c>
      <c r="Q430" s="301" t="s">
        <v>3002</v>
      </c>
      <c r="R430" s="301" t="s">
        <v>3002</v>
      </c>
      <c r="S430" s="301" t="s">
        <v>3002</v>
      </c>
      <c r="T430" s="301" t="s">
        <v>3002</v>
      </c>
      <c r="U430" s="301" t="s">
        <v>3002</v>
      </c>
      <c r="V430" s="301" t="s">
        <v>3002</v>
      </c>
      <c r="W430" s="298" t="s">
        <v>460</v>
      </c>
      <c r="X430" s="298" t="s">
        <v>318</v>
      </c>
    </row>
    <row r="431">
      <c r="A431" s="295" t="s">
        <v>3003</v>
      </c>
      <c r="B431" s="298">
        <v>3.0</v>
      </c>
      <c r="C431" s="298" t="s">
        <v>288</v>
      </c>
      <c r="D431" s="298" t="s">
        <v>462</v>
      </c>
      <c r="E431" s="298" t="s">
        <v>290</v>
      </c>
      <c r="F431" s="298" t="str">
        <f>'Character Sheet'!$E$9</f>
        <v/>
      </c>
      <c r="G431" s="298" t="s">
        <v>674</v>
      </c>
      <c r="H431" s="298" t="s">
        <v>295</v>
      </c>
      <c r="I431" s="298" t="s">
        <v>1000</v>
      </c>
      <c r="J431" s="298" t="s">
        <v>180</v>
      </c>
      <c r="K431" s="298" t="s">
        <v>424</v>
      </c>
      <c r="L431" s="298" t="s">
        <v>493</v>
      </c>
      <c r="M431" s="301" t="s">
        <v>315</v>
      </c>
      <c r="N431" s="301" t="s">
        <v>315</v>
      </c>
      <c r="O431" s="301" t="s">
        <v>3004</v>
      </c>
      <c r="P431" s="301" t="s">
        <v>3004</v>
      </c>
      <c r="Q431" s="301" t="s">
        <v>3005</v>
      </c>
      <c r="R431" s="301" t="s">
        <v>3005</v>
      </c>
      <c r="S431" s="301" t="s">
        <v>3006</v>
      </c>
      <c r="T431" s="301" t="s">
        <v>3006</v>
      </c>
      <c r="U431" s="301" t="s">
        <v>3007</v>
      </c>
      <c r="V431" s="301" t="s">
        <v>3007</v>
      </c>
      <c r="W431" s="298" t="s">
        <v>305</v>
      </c>
      <c r="X431" s="298" t="s">
        <v>966</v>
      </c>
    </row>
    <row r="432">
      <c r="A432" s="295" t="s">
        <v>3008</v>
      </c>
      <c r="B432" s="298">
        <v>3.0</v>
      </c>
      <c r="C432" s="298" t="s">
        <v>288</v>
      </c>
      <c r="D432" s="298" t="s">
        <v>310</v>
      </c>
      <c r="E432" s="298" t="s">
        <v>290</v>
      </c>
      <c r="F432" s="298" t="s">
        <v>999</v>
      </c>
      <c r="G432" s="298" t="s">
        <v>674</v>
      </c>
      <c r="H432" s="298" t="s">
        <v>324</v>
      </c>
      <c r="I432" s="298" t="s">
        <v>2304</v>
      </c>
      <c r="J432" s="298" t="s">
        <v>315</v>
      </c>
      <c r="K432" s="298" t="s">
        <v>1001</v>
      </c>
      <c r="L432" s="298" t="s">
        <v>493</v>
      </c>
      <c r="M432" s="301" t="s">
        <v>315</v>
      </c>
      <c r="N432" s="301" t="s">
        <v>315</v>
      </c>
      <c r="O432" s="301" t="s">
        <v>3009</v>
      </c>
      <c r="P432" s="301" t="s">
        <v>3009</v>
      </c>
      <c r="Q432" s="301" t="s">
        <v>3009</v>
      </c>
      <c r="R432" s="301" t="s">
        <v>3010</v>
      </c>
      <c r="S432" s="301" t="s">
        <v>3010</v>
      </c>
      <c r="T432" s="301" t="s">
        <v>3010</v>
      </c>
      <c r="U432" s="301" t="s">
        <v>3010</v>
      </c>
      <c r="V432" s="301" t="s">
        <v>3010</v>
      </c>
      <c r="W432" s="298" t="s">
        <v>389</v>
      </c>
      <c r="X432" s="298" t="s">
        <v>966</v>
      </c>
    </row>
    <row r="433">
      <c r="A433" s="295" t="s">
        <v>3011</v>
      </c>
      <c r="B433" s="298">
        <v>3.0</v>
      </c>
      <c r="C433" s="298" t="s">
        <v>288</v>
      </c>
      <c r="D433" s="298" t="s">
        <v>462</v>
      </c>
      <c r="E433" s="298" t="s">
        <v>311</v>
      </c>
      <c r="F433" s="298" t="s">
        <v>999</v>
      </c>
      <c r="G433" s="298" t="s">
        <v>294</v>
      </c>
      <c r="H433" s="298" t="s">
        <v>335</v>
      </c>
      <c r="I433" s="298" t="s">
        <v>435</v>
      </c>
      <c r="J433" s="298" t="s">
        <v>315</v>
      </c>
      <c r="K433" s="298" t="s">
        <v>1972</v>
      </c>
      <c r="L433" s="298" t="s">
        <v>493</v>
      </c>
      <c r="M433" s="301" t="s">
        <v>315</v>
      </c>
      <c r="N433" s="301" t="s">
        <v>315</v>
      </c>
      <c r="O433" s="301" t="s">
        <v>3012</v>
      </c>
      <c r="P433" s="301" t="s">
        <v>3012</v>
      </c>
      <c r="Q433" s="301" t="s">
        <v>3012</v>
      </c>
      <c r="R433" s="301" t="s">
        <v>3012</v>
      </c>
      <c r="S433" s="301" t="s">
        <v>3012</v>
      </c>
      <c r="T433" s="301" t="s">
        <v>3012</v>
      </c>
      <c r="U433" s="301" t="s">
        <v>3012</v>
      </c>
      <c r="V433" s="301" t="s">
        <v>3012</v>
      </c>
      <c r="W433" s="298" t="s">
        <v>442</v>
      </c>
      <c r="X433" s="298" t="s">
        <v>306</v>
      </c>
    </row>
    <row r="434">
      <c r="A434" s="295" t="s">
        <v>3013</v>
      </c>
      <c r="B434" s="298">
        <v>3.0</v>
      </c>
      <c r="C434" s="298" t="s">
        <v>522</v>
      </c>
      <c r="D434" s="298" t="s">
        <v>151</v>
      </c>
      <c r="E434" s="298" t="s">
        <v>290</v>
      </c>
      <c r="F434" s="298" t="str">
        <f>'Character Sheet'!$C$9</f>
        <v/>
      </c>
      <c r="G434" s="298" t="s">
        <v>294</v>
      </c>
      <c r="H434" s="298" t="s">
        <v>324</v>
      </c>
      <c r="I434" s="298" t="s">
        <v>324</v>
      </c>
      <c r="J434" s="298" t="s">
        <v>203</v>
      </c>
      <c r="K434" s="298" t="s">
        <v>424</v>
      </c>
      <c r="L434" s="298" t="s">
        <v>493</v>
      </c>
      <c r="M434" s="301" t="s">
        <v>315</v>
      </c>
      <c r="N434" s="301" t="s">
        <v>315</v>
      </c>
      <c r="O434" s="301" t="s">
        <v>3014</v>
      </c>
      <c r="P434" s="301" t="s">
        <v>3014</v>
      </c>
      <c r="Q434" s="301" t="s">
        <v>3015</v>
      </c>
      <c r="R434" s="301" t="s">
        <v>3015</v>
      </c>
      <c r="S434" s="301" t="s">
        <v>3016</v>
      </c>
      <c r="T434" s="301" t="s">
        <v>3016</v>
      </c>
      <c r="U434" s="301" t="s">
        <v>3017</v>
      </c>
      <c r="V434" s="301" t="s">
        <v>3017</v>
      </c>
      <c r="W434" s="298" t="s">
        <v>404</v>
      </c>
      <c r="X434" s="298" t="s">
        <v>1082</v>
      </c>
    </row>
    <row r="435">
      <c r="A435" s="295" t="s">
        <v>3018</v>
      </c>
      <c r="B435" s="298">
        <v>3.0</v>
      </c>
      <c r="C435" s="298" t="s">
        <v>288</v>
      </c>
      <c r="D435" s="298" t="s">
        <v>462</v>
      </c>
      <c r="E435" s="298" t="s">
        <v>290</v>
      </c>
      <c r="F435" s="298" t="str">
        <f>'Character Sheet'!$C$9</f>
        <v/>
      </c>
      <c r="G435" s="298" t="s">
        <v>294</v>
      </c>
      <c r="H435" s="298" t="s">
        <v>295</v>
      </c>
      <c r="I435" s="298" t="s">
        <v>296</v>
      </c>
      <c r="J435" s="298" t="s">
        <v>173</v>
      </c>
      <c r="K435" s="298" t="s">
        <v>632</v>
      </c>
      <c r="L435" s="298" t="s">
        <v>493</v>
      </c>
      <c r="M435" s="301" t="s">
        <v>315</v>
      </c>
      <c r="N435" s="301" t="s">
        <v>315</v>
      </c>
      <c r="O435" s="301" t="s">
        <v>3019</v>
      </c>
      <c r="P435" s="301" t="s">
        <v>3019</v>
      </c>
      <c r="Q435" s="301" t="s">
        <v>3019</v>
      </c>
      <c r="R435" s="301" t="s">
        <v>3020</v>
      </c>
      <c r="S435" s="301" t="s">
        <v>3020</v>
      </c>
      <c r="T435" s="301" t="s">
        <v>3020</v>
      </c>
      <c r="U435" s="301" t="s">
        <v>3020</v>
      </c>
      <c r="V435" s="301" t="s">
        <v>3020</v>
      </c>
      <c r="W435" s="298" t="s">
        <v>357</v>
      </c>
      <c r="X435" s="298" t="s">
        <v>306</v>
      </c>
    </row>
    <row r="436">
      <c r="A436" s="295" t="s">
        <v>3021</v>
      </c>
      <c r="B436" s="298">
        <v>3.0</v>
      </c>
      <c r="C436" s="298" t="s">
        <v>288</v>
      </c>
      <c r="D436" s="298" t="s">
        <v>151</v>
      </c>
      <c r="E436" s="298" t="s">
        <v>311</v>
      </c>
      <c r="F436" s="298" t="str">
        <f>'Character Sheet'!$C$9</f>
        <v/>
      </c>
      <c r="G436" s="298" t="s">
        <v>294</v>
      </c>
      <c r="H436" s="298" t="s">
        <v>295</v>
      </c>
      <c r="I436" s="298" t="s">
        <v>1413</v>
      </c>
      <c r="J436" s="298" t="s">
        <v>315</v>
      </c>
      <c r="K436" s="298" t="s">
        <v>325</v>
      </c>
      <c r="L436" s="298" t="s">
        <v>493</v>
      </c>
      <c r="M436" s="301" t="s">
        <v>315</v>
      </c>
      <c r="N436" s="301" t="s">
        <v>315</v>
      </c>
      <c r="O436" s="301" t="s">
        <v>3022</v>
      </c>
      <c r="P436" s="301" t="s">
        <v>3022</v>
      </c>
      <c r="Q436" s="301" t="s">
        <v>3022</v>
      </c>
      <c r="R436" s="301" t="s">
        <v>3022</v>
      </c>
      <c r="S436" s="301" t="s">
        <v>3022</v>
      </c>
      <c r="T436" s="301" t="s">
        <v>3022</v>
      </c>
      <c r="U436" s="301" t="s">
        <v>3022</v>
      </c>
      <c r="V436" s="301" t="s">
        <v>3022</v>
      </c>
      <c r="W436" s="298" t="s">
        <v>389</v>
      </c>
      <c r="X436" s="298" t="s">
        <v>318</v>
      </c>
    </row>
    <row r="437">
      <c r="A437" s="295" t="s">
        <v>3023</v>
      </c>
      <c r="B437" s="298">
        <v>3.0</v>
      </c>
      <c r="C437" s="298" t="s">
        <v>288</v>
      </c>
      <c r="D437" s="298" t="s">
        <v>151</v>
      </c>
      <c r="E437" s="298" t="s">
        <v>311</v>
      </c>
      <c r="F437" s="298" t="str">
        <f>'Character Sheet'!$C$9</f>
        <v/>
      </c>
      <c r="G437" s="298" t="s">
        <v>294</v>
      </c>
      <c r="H437" s="298" t="s">
        <v>352</v>
      </c>
      <c r="I437" s="298" t="s">
        <v>1000</v>
      </c>
      <c r="J437" s="298" t="s">
        <v>173</v>
      </c>
      <c r="K437" s="298" t="s">
        <v>632</v>
      </c>
      <c r="L437" s="298" t="s">
        <v>493</v>
      </c>
      <c r="M437" s="301" t="s">
        <v>315</v>
      </c>
      <c r="N437" s="301" t="s">
        <v>315</v>
      </c>
      <c r="O437" s="301" t="s">
        <v>3024</v>
      </c>
      <c r="P437" s="301" t="s">
        <v>3024</v>
      </c>
      <c r="Q437" s="301" t="s">
        <v>3024</v>
      </c>
      <c r="R437" s="301" t="s">
        <v>3024</v>
      </c>
      <c r="S437" s="301" t="s">
        <v>3024</v>
      </c>
      <c r="T437" s="301" t="s">
        <v>3024</v>
      </c>
      <c r="U437" s="301" t="s">
        <v>3024</v>
      </c>
      <c r="V437" s="301" t="s">
        <v>3024</v>
      </c>
      <c r="W437" s="298" t="s">
        <v>305</v>
      </c>
      <c r="X437" s="298" t="s">
        <v>306</v>
      </c>
    </row>
    <row r="438">
      <c r="A438" s="295" t="s">
        <v>3025</v>
      </c>
      <c r="B438" s="298">
        <v>3.0</v>
      </c>
      <c r="C438" s="298" t="s">
        <v>522</v>
      </c>
      <c r="D438" s="298" t="s">
        <v>359</v>
      </c>
      <c r="E438" s="298" t="s">
        <v>311</v>
      </c>
      <c r="F438" s="298" t="str">
        <f>'Character Sheet'!$C$9</f>
        <v/>
      </c>
      <c r="G438" s="298" t="s">
        <v>294</v>
      </c>
      <c r="H438" s="298" t="s">
        <v>295</v>
      </c>
      <c r="I438" s="298" t="s">
        <v>296</v>
      </c>
      <c r="J438" s="298" t="s">
        <v>192</v>
      </c>
      <c r="K438" s="298" t="s">
        <v>1283</v>
      </c>
      <c r="L438" s="298" t="s">
        <v>493</v>
      </c>
      <c r="M438" s="301" t="s">
        <v>315</v>
      </c>
      <c r="N438" s="301" t="s">
        <v>315</v>
      </c>
      <c r="O438" s="301" t="s">
        <v>3026</v>
      </c>
      <c r="P438" s="301" t="s">
        <v>3026</v>
      </c>
      <c r="Q438" s="301" t="s">
        <v>3026</v>
      </c>
      <c r="R438" s="301" t="s">
        <v>3026</v>
      </c>
      <c r="S438" s="301" t="s">
        <v>3026</v>
      </c>
      <c r="T438" s="301" t="s">
        <v>3026</v>
      </c>
      <c r="U438" s="301" t="s">
        <v>3026</v>
      </c>
      <c r="V438" s="301" t="s">
        <v>3026</v>
      </c>
      <c r="W438" s="298" t="s">
        <v>536</v>
      </c>
      <c r="X438" s="298" t="s">
        <v>318</v>
      </c>
    </row>
    <row r="439">
      <c r="A439" s="295" t="s">
        <v>3027</v>
      </c>
      <c r="B439" s="298">
        <v>3.0</v>
      </c>
      <c r="C439" s="298" t="s">
        <v>522</v>
      </c>
      <c r="D439" s="298" t="s">
        <v>151</v>
      </c>
      <c r="E439" s="298" t="s">
        <v>311</v>
      </c>
      <c r="F439" s="298" t="str">
        <f>'Character Sheet'!$C$9</f>
        <v/>
      </c>
      <c r="G439" s="298" t="s">
        <v>294</v>
      </c>
      <c r="H439" s="298" t="s">
        <v>295</v>
      </c>
      <c r="I439" s="298" t="s">
        <v>952</v>
      </c>
      <c r="J439" s="298" t="s">
        <v>315</v>
      </c>
      <c r="K439" s="298" t="s">
        <v>478</v>
      </c>
      <c r="L439" s="298" t="s">
        <v>493</v>
      </c>
      <c r="M439" s="301" t="s">
        <v>315</v>
      </c>
      <c r="N439" s="301" t="s">
        <v>315</v>
      </c>
      <c r="O439" s="301" t="s">
        <v>3028</v>
      </c>
      <c r="P439" s="301" t="s">
        <v>3028</v>
      </c>
      <c r="Q439" s="301" t="s">
        <v>3028</v>
      </c>
      <c r="R439" s="301" t="s">
        <v>3028</v>
      </c>
      <c r="S439" s="301" t="s">
        <v>3028</v>
      </c>
      <c r="T439" s="301" t="s">
        <v>3028</v>
      </c>
      <c r="U439" s="301" t="s">
        <v>3028</v>
      </c>
      <c r="V439" s="301" t="s">
        <v>3028</v>
      </c>
      <c r="W439" s="298" t="s">
        <v>460</v>
      </c>
      <c r="X439" s="298" t="s">
        <v>569</v>
      </c>
    </row>
    <row r="440">
      <c r="A440" s="295" t="s">
        <v>3029</v>
      </c>
      <c r="B440" s="298">
        <v>3.0</v>
      </c>
      <c r="C440" s="298" t="s">
        <v>288</v>
      </c>
      <c r="D440" s="298" t="s">
        <v>462</v>
      </c>
      <c r="E440" s="298" t="s">
        <v>311</v>
      </c>
      <c r="F440" s="298" t="str">
        <f>'Character Sheet'!$C$9</f>
        <v/>
      </c>
      <c r="G440" s="298" t="s">
        <v>294</v>
      </c>
      <c r="H440" s="298" t="s">
        <v>324</v>
      </c>
      <c r="I440" s="298" t="s">
        <v>324</v>
      </c>
      <c r="J440" s="298" t="s">
        <v>315</v>
      </c>
      <c r="K440" s="298" t="s">
        <v>1972</v>
      </c>
      <c r="L440" s="298" t="s">
        <v>493</v>
      </c>
      <c r="M440" s="301" t="s">
        <v>315</v>
      </c>
      <c r="N440" s="301" t="s">
        <v>315</v>
      </c>
      <c r="O440" s="301" t="s">
        <v>3030</v>
      </c>
      <c r="P440" s="301" t="s">
        <v>3030</v>
      </c>
      <c r="Q440" s="301" t="s">
        <v>3030</v>
      </c>
      <c r="R440" s="301" t="s">
        <v>3030</v>
      </c>
      <c r="S440" s="301" t="s">
        <v>3030</v>
      </c>
      <c r="T440" s="301" t="s">
        <v>3030</v>
      </c>
      <c r="U440" s="301" t="s">
        <v>3030</v>
      </c>
      <c r="V440" s="301" t="s">
        <v>3030</v>
      </c>
      <c r="W440" s="298" t="s">
        <v>684</v>
      </c>
      <c r="X440" s="298" t="s">
        <v>678</v>
      </c>
    </row>
    <row r="441">
      <c r="A441" s="295" t="s">
        <v>3031</v>
      </c>
      <c r="B441" s="298">
        <v>3.0</v>
      </c>
      <c r="C441" s="298" t="s">
        <v>288</v>
      </c>
      <c r="D441" s="298" t="s">
        <v>462</v>
      </c>
      <c r="E441" s="298" t="s">
        <v>311</v>
      </c>
      <c r="F441" s="298" t="str">
        <f>'Character Sheet'!$B$9</f>
        <v/>
      </c>
      <c r="G441" s="298" t="s">
        <v>477</v>
      </c>
      <c r="H441" s="298" t="s">
        <v>324</v>
      </c>
      <c r="I441" s="298" t="s">
        <v>324</v>
      </c>
      <c r="J441" s="298" t="s">
        <v>315</v>
      </c>
      <c r="K441" s="298" t="s">
        <v>298</v>
      </c>
      <c r="L441" s="298" t="s">
        <v>493</v>
      </c>
      <c r="M441" s="301" t="s">
        <v>315</v>
      </c>
      <c r="N441" s="301" t="s">
        <v>315</v>
      </c>
      <c r="O441" s="301" t="s">
        <v>3032</v>
      </c>
      <c r="P441" s="301" t="s">
        <v>3032</v>
      </c>
      <c r="Q441" s="301" t="s">
        <v>3032</v>
      </c>
      <c r="R441" s="301" t="s">
        <v>3032</v>
      </c>
      <c r="S441" s="301" t="s">
        <v>3032</v>
      </c>
      <c r="T441" s="301" t="s">
        <v>3032</v>
      </c>
      <c r="U441" s="301" t="s">
        <v>3032</v>
      </c>
      <c r="V441" s="301" t="s">
        <v>3032</v>
      </c>
      <c r="W441" s="298" t="s">
        <v>460</v>
      </c>
      <c r="X441" s="298" t="s">
        <v>318</v>
      </c>
    </row>
    <row r="442">
      <c r="A442" s="295" t="s">
        <v>3033</v>
      </c>
      <c r="B442" s="298">
        <v>3.0</v>
      </c>
      <c r="C442" s="298" t="s">
        <v>288</v>
      </c>
      <c r="D442" s="298" t="s">
        <v>462</v>
      </c>
      <c r="E442" s="298" t="s">
        <v>311</v>
      </c>
      <c r="F442" s="298" t="s">
        <v>625</v>
      </c>
      <c r="G442" s="298" t="s">
        <v>674</v>
      </c>
      <c r="H442" s="298" t="s">
        <v>335</v>
      </c>
      <c r="I442" s="298" t="s">
        <v>435</v>
      </c>
      <c r="J442" s="298" t="s">
        <v>315</v>
      </c>
      <c r="K442" s="298" t="s">
        <v>1972</v>
      </c>
      <c r="L442" s="298" t="s">
        <v>493</v>
      </c>
      <c r="M442" s="301" t="s">
        <v>315</v>
      </c>
      <c r="N442" s="301" t="s">
        <v>315</v>
      </c>
      <c r="O442" s="301" t="s">
        <v>3034</v>
      </c>
      <c r="P442" s="301" t="s">
        <v>3034</v>
      </c>
      <c r="Q442" s="301" t="s">
        <v>3034</v>
      </c>
      <c r="R442" s="301" t="s">
        <v>3034</v>
      </c>
      <c r="S442" s="301" t="s">
        <v>3034</v>
      </c>
      <c r="T442" s="301" t="s">
        <v>3034</v>
      </c>
      <c r="U442" s="301" t="s">
        <v>3034</v>
      </c>
      <c r="V442" s="301" t="s">
        <v>3034</v>
      </c>
      <c r="W442" s="298" t="s">
        <v>460</v>
      </c>
      <c r="X442" s="298" t="s">
        <v>569</v>
      </c>
    </row>
    <row r="443">
      <c r="A443" s="295" t="s">
        <v>3035</v>
      </c>
      <c r="B443" s="298">
        <v>3.0</v>
      </c>
      <c r="C443" s="298" t="s">
        <v>522</v>
      </c>
      <c r="D443" s="298" t="s">
        <v>289</v>
      </c>
      <c r="E443" s="298" t="s">
        <v>311</v>
      </c>
      <c r="F443" s="298" t="str">
        <f>'Character Sheet'!$C$9</f>
        <v/>
      </c>
      <c r="G443" s="298" t="s">
        <v>294</v>
      </c>
      <c r="H443" s="298" t="s">
        <v>360</v>
      </c>
      <c r="I443" s="298" t="s">
        <v>1000</v>
      </c>
      <c r="J443" s="298" t="s">
        <v>173</v>
      </c>
      <c r="K443" s="298" t="s">
        <v>478</v>
      </c>
      <c r="L443" s="298" t="s">
        <v>493</v>
      </c>
      <c r="M443" s="301" t="s">
        <v>315</v>
      </c>
      <c r="N443" s="301" t="s">
        <v>315</v>
      </c>
      <c r="O443" s="301" t="s">
        <v>3036</v>
      </c>
      <c r="P443" s="301" t="s">
        <v>3036</v>
      </c>
      <c r="Q443" s="301" t="s">
        <v>3036</v>
      </c>
      <c r="R443" s="301" t="s">
        <v>3036</v>
      </c>
      <c r="S443" s="301" t="s">
        <v>3036</v>
      </c>
      <c r="T443" s="301" t="s">
        <v>3036</v>
      </c>
      <c r="U443" s="301" t="s">
        <v>3036</v>
      </c>
      <c r="V443" s="301" t="s">
        <v>3036</v>
      </c>
      <c r="W443" s="298" t="s">
        <v>305</v>
      </c>
      <c r="X443" s="298" t="s">
        <v>1457</v>
      </c>
    </row>
    <row r="444">
      <c r="A444" s="295" t="s">
        <v>3037</v>
      </c>
      <c r="B444" s="298">
        <v>3.0</v>
      </c>
      <c r="C444" s="298" t="s">
        <v>288</v>
      </c>
      <c r="D444" s="298" t="s">
        <v>334</v>
      </c>
      <c r="E444" s="298" t="s">
        <v>290</v>
      </c>
      <c r="F444" s="298" t="str">
        <f>'Character Sheet'!$C$9</f>
        <v/>
      </c>
      <c r="G444" s="298" t="s">
        <v>294</v>
      </c>
      <c r="H444" s="298" t="s">
        <v>335</v>
      </c>
      <c r="I444" s="298" t="s">
        <v>2038</v>
      </c>
      <c r="J444" s="298" t="s">
        <v>336</v>
      </c>
      <c r="K444" s="298" t="s">
        <v>298</v>
      </c>
      <c r="L444" s="298" t="s">
        <v>493</v>
      </c>
      <c r="M444" s="301" t="s">
        <v>315</v>
      </c>
      <c r="N444" s="301" t="s">
        <v>315</v>
      </c>
      <c r="O444" s="301" t="s">
        <v>3038</v>
      </c>
      <c r="P444" s="301" t="s">
        <v>3039</v>
      </c>
      <c r="Q444" s="301" t="s">
        <v>3040</v>
      </c>
      <c r="R444" s="301" t="s">
        <v>3041</v>
      </c>
      <c r="S444" s="301" t="s">
        <v>3042</v>
      </c>
      <c r="T444" s="301" t="s">
        <v>3043</v>
      </c>
      <c r="U444" s="301" t="s">
        <v>3044</v>
      </c>
      <c r="V444" s="301" t="s">
        <v>3045</v>
      </c>
      <c r="W444" s="298" t="s">
        <v>331</v>
      </c>
      <c r="X444" s="298" t="s">
        <v>306</v>
      </c>
    </row>
    <row r="445">
      <c r="A445" s="295" t="s">
        <v>3046</v>
      </c>
      <c r="B445" s="298">
        <v>3.0</v>
      </c>
      <c r="C445" s="298" t="s">
        <v>522</v>
      </c>
      <c r="D445" s="298" t="s">
        <v>289</v>
      </c>
      <c r="E445" s="298" t="s">
        <v>290</v>
      </c>
      <c r="F445" s="298" t="str">
        <f>'Character Sheet'!$E$9</f>
        <v/>
      </c>
      <c r="G445" s="298" t="s">
        <v>674</v>
      </c>
      <c r="H445" s="298" t="s">
        <v>295</v>
      </c>
      <c r="I445" s="298" t="s">
        <v>1225</v>
      </c>
      <c r="J445" s="298" t="s">
        <v>336</v>
      </c>
      <c r="K445" s="298" t="s">
        <v>632</v>
      </c>
      <c r="L445" s="298" t="s">
        <v>493</v>
      </c>
      <c r="M445" s="301" t="s">
        <v>315</v>
      </c>
      <c r="N445" s="301" t="s">
        <v>315</v>
      </c>
      <c r="O445" s="301" t="s">
        <v>3047</v>
      </c>
      <c r="P445" s="301" t="s">
        <v>3048</v>
      </c>
      <c r="Q445" s="301" t="s">
        <v>3048</v>
      </c>
      <c r="R445" s="301" t="s">
        <v>3048</v>
      </c>
      <c r="S445" s="301" t="s">
        <v>3048</v>
      </c>
      <c r="T445" s="301" t="s">
        <v>3048</v>
      </c>
      <c r="U445" s="301" t="s">
        <v>3048</v>
      </c>
      <c r="V445" s="301" t="s">
        <v>3048</v>
      </c>
      <c r="W445" s="298" t="s">
        <v>305</v>
      </c>
      <c r="X445" s="298" t="s">
        <v>2035</v>
      </c>
    </row>
    <row r="446">
      <c r="A446" s="295" t="s">
        <v>3049</v>
      </c>
      <c r="B446" s="298">
        <v>3.0</v>
      </c>
      <c r="C446" s="298" t="s">
        <v>522</v>
      </c>
      <c r="D446" s="298" t="s">
        <v>289</v>
      </c>
      <c r="E446" s="298" t="s">
        <v>290</v>
      </c>
      <c r="F446" s="298" t="str">
        <f>'Character Sheet'!$E$9</f>
        <v/>
      </c>
      <c r="G446" s="298" t="s">
        <v>674</v>
      </c>
      <c r="H446" s="298" t="s">
        <v>295</v>
      </c>
      <c r="I446" s="298" t="s">
        <v>1225</v>
      </c>
      <c r="J446" s="298" t="s">
        <v>315</v>
      </c>
      <c r="K446" s="298" t="s">
        <v>632</v>
      </c>
      <c r="L446" s="298" t="s">
        <v>493</v>
      </c>
      <c r="M446" s="301" t="s">
        <v>315</v>
      </c>
      <c r="N446" s="301" t="s">
        <v>315</v>
      </c>
      <c r="O446" s="301" t="s">
        <v>3050</v>
      </c>
      <c r="P446" s="301" t="s">
        <v>3050</v>
      </c>
      <c r="Q446" s="301" t="s">
        <v>3051</v>
      </c>
      <c r="R446" s="301" t="s">
        <v>3051</v>
      </c>
      <c r="S446" s="301" t="s">
        <v>3052</v>
      </c>
      <c r="T446" s="301" t="s">
        <v>3052</v>
      </c>
      <c r="U446" s="301" t="s">
        <v>3052</v>
      </c>
      <c r="V446" s="301" t="s">
        <v>3052</v>
      </c>
      <c r="W446" s="298" t="s">
        <v>460</v>
      </c>
      <c r="X446" s="298" t="s">
        <v>2035</v>
      </c>
    </row>
    <row r="447">
      <c r="A447" s="295" t="s">
        <v>3053</v>
      </c>
      <c r="B447" s="298">
        <v>3.0</v>
      </c>
      <c r="C447" s="298" t="s">
        <v>288</v>
      </c>
      <c r="D447" s="298" t="s">
        <v>151</v>
      </c>
      <c r="E447" s="298" t="s">
        <v>290</v>
      </c>
      <c r="F447" s="298" t="str">
        <f>'Character Sheet'!$E$9</f>
        <v/>
      </c>
      <c r="G447" s="298" t="s">
        <v>674</v>
      </c>
      <c r="H447" s="298" t="s">
        <v>360</v>
      </c>
      <c r="I447" s="298" t="s">
        <v>1225</v>
      </c>
      <c r="J447" s="298" t="s">
        <v>315</v>
      </c>
      <c r="K447" s="298" t="s">
        <v>632</v>
      </c>
      <c r="L447" s="298" t="s">
        <v>493</v>
      </c>
      <c r="M447" s="301" t="s">
        <v>315</v>
      </c>
      <c r="N447" s="301" t="s">
        <v>315</v>
      </c>
      <c r="O447" s="301" t="s">
        <v>3054</v>
      </c>
      <c r="P447" s="301" t="s">
        <v>3055</v>
      </c>
      <c r="Q447" s="301" t="s">
        <v>3056</v>
      </c>
      <c r="R447" s="301" t="s">
        <v>3057</v>
      </c>
      <c r="S447" s="301" t="s">
        <v>3058</v>
      </c>
      <c r="T447" s="301" t="s">
        <v>3059</v>
      </c>
      <c r="U447" s="301" t="s">
        <v>3060</v>
      </c>
      <c r="V447" s="301" t="s">
        <v>3061</v>
      </c>
      <c r="W447" s="298" t="s">
        <v>499</v>
      </c>
      <c r="X447" s="298" t="s">
        <v>306</v>
      </c>
    </row>
    <row r="448">
      <c r="A448" s="295" t="s">
        <v>3062</v>
      </c>
      <c r="B448" s="298">
        <v>3.0</v>
      </c>
      <c r="C448" s="298" t="s">
        <v>522</v>
      </c>
      <c r="D448" s="298" t="s">
        <v>289</v>
      </c>
      <c r="E448" s="298" t="s">
        <v>290</v>
      </c>
      <c r="F448" s="298" t="str">
        <f>'Character Sheet'!$E$9</f>
        <v/>
      </c>
      <c r="G448" s="298" t="s">
        <v>674</v>
      </c>
      <c r="H448" s="298" t="s">
        <v>352</v>
      </c>
      <c r="I448" s="298" t="s">
        <v>1225</v>
      </c>
      <c r="J448" s="298" t="s">
        <v>315</v>
      </c>
      <c r="K448" s="298" t="s">
        <v>632</v>
      </c>
      <c r="L448" s="298" t="s">
        <v>493</v>
      </c>
      <c r="M448" s="301" t="s">
        <v>315</v>
      </c>
      <c r="N448" s="301" t="s">
        <v>315</v>
      </c>
      <c r="O448" s="301" t="s">
        <v>3063</v>
      </c>
      <c r="P448" s="301" t="s">
        <v>3063</v>
      </c>
      <c r="Q448" s="301" t="s">
        <v>3064</v>
      </c>
      <c r="R448" s="301" t="s">
        <v>3064</v>
      </c>
      <c r="S448" s="301" t="s">
        <v>3065</v>
      </c>
      <c r="T448" s="301" t="s">
        <v>3065</v>
      </c>
      <c r="U448" s="301" t="s">
        <v>3066</v>
      </c>
      <c r="V448" s="301" t="s">
        <v>3066</v>
      </c>
      <c r="W448" s="298" t="s">
        <v>978</v>
      </c>
      <c r="X448" s="298" t="s">
        <v>1082</v>
      </c>
    </row>
    <row r="449">
      <c r="A449" s="295" t="s">
        <v>3067</v>
      </c>
      <c r="B449" s="298">
        <v>3.0</v>
      </c>
      <c r="C449" s="298" t="s">
        <v>288</v>
      </c>
      <c r="D449" s="298" t="s">
        <v>151</v>
      </c>
      <c r="E449" s="298" t="s">
        <v>290</v>
      </c>
      <c r="F449" s="298" t="str">
        <f>'Character Sheet'!$E$9</f>
        <v/>
      </c>
      <c r="G449" s="298" t="s">
        <v>674</v>
      </c>
      <c r="H449" s="298" t="s">
        <v>352</v>
      </c>
      <c r="I449" s="298" t="s">
        <v>1225</v>
      </c>
      <c r="J449" s="298" t="s">
        <v>315</v>
      </c>
      <c r="K449" s="298" t="s">
        <v>632</v>
      </c>
      <c r="L449" s="298" t="s">
        <v>493</v>
      </c>
      <c r="M449" s="301" t="s">
        <v>315</v>
      </c>
      <c r="N449" s="301" t="s">
        <v>315</v>
      </c>
      <c r="O449" s="301" t="s">
        <v>3068</v>
      </c>
      <c r="P449" s="301" t="s">
        <v>3068</v>
      </c>
      <c r="Q449" s="301" t="s">
        <v>3068</v>
      </c>
      <c r="R449" s="301" t="s">
        <v>3068</v>
      </c>
      <c r="S449" s="301" t="s">
        <v>3068</v>
      </c>
      <c r="T449" s="301" t="s">
        <v>3068</v>
      </c>
      <c r="U449" s="301" t="s">
        <v>3068</v>
      </c>
      <c r="V449" s="301" t="s">
        <v>3068</v>
      </c>
      <c r="W449" s="298" t="s">
        <v>305</v>
      </c>
      <c r="X449" s="298" t="s">
        <v>318</v>
      </c>
    </row>
    <row r="450">
      <c r="A450" s="295" t="s">
        <v>3069</v>
      </c>
      <c r="B450" s="298">
        <v>3.0</v>
      </c>
      <c r="C450" s="298" t="s">
        <v>288</v>
      </c>
      <c r="D450" s="298" t="s">
        <v>289</v>
      </c>
      <c r="E450" s="298" t="s">
        <v>311</v>
      </c>
      <c r="F450" s="298" t="str">
        <f>'Character Sheet'!$E$9</f>
        <v/>
      </c>
      <c r="G450" s="298" t="s">
        <v>674</v>
      </c>
      <c r="H450" s="298" t="s">
        <v>352</v>
      </c>
      <c r="I450" s="298" t="s">
        <v>1225</v>
      </c>
      <c r="J450" s="298" t="s">
        <v>315</v>
      </c>
      <c r="K450" s="298" t="s">
        <v>632</v>
      </c>
      <c r="L450" s="298" t="s">
        <v>493</v>
      </c>
      <c r="M450" s="301" t="s">
        <v>315</v>
      </c>
      <c r="N450" s="301" t="s">
        <v>315</v>
      </c>
      <c r="O450" s="301" t="s">
        <v>3070</v>
      </c>
      <c r="P450" s="301" t="s">
        <v>3070</v>
      </c>
      <c r="Q450" s="301" t="s">
        <v>3070</v>
      </c>
      <c r="R450" s="301" t="s">
        <v>3070</v>
      </c>
      <c r="S450" s="301" t="s">
        <v>3070</v>
      </c>
      <c r="T450" s="301" t="s">
        <v>3070</v>
      </c>
      <c r="U450" s="301" t="s">
        <v>3070</v>
      </c>
      <c r="V450" s="301" t="s">
        <v>3070</v>
      </c>
      <c r="W450" s="298" t="s">
        <v>305</v>
      </c>
      <c r="X450" s="298" t="s">
        <v>306</v>
      </c>
    </row>
    <row r="451">
      <c r="A451" s="295" t="s">
        <v>3071</v>
      </c>
      <c r="B451" s="298">
        <v>3.0</v>
      </c>
      <c r="C451" s="298" t="s">
        <v>288</v>
      </c>
      <c r="D451" s="298" t="s">
        <v>310</v>
      </c>
      <c r="E451" s="298" t="s">
        <v>311</v>
      </c>
      <c r="F451" s="298" t="s">
        <v>625</v>
      </c>
      <c r="G451" s="298" t="s">
        <v>674</v>
      </c>
      <c r="H451" s="298" t="s">
        <v>324</v>
      </c>
      <c r="I451" s="298" t="s">
        <v>324</v>
      </c>
      <c r="J451" s="298" t="s">
        <v>315</v>
      </c>
      <c r="K451" s="298" t="s">
        <v>1972</v>
      </c>
      <c r="L451" s="298" t="s">
        <v>493</v>
      </c>
      <c r="M451" s="301" t="s">
        <v>315</v>
      </c>
      <c r="N451" s="301" t="s">
        <v>315</v>
      </c>
      <c r="O451" s="301" t="s">
        <v>3072</v>
      </c>
      <c r="P451" s="301" t="s">
        <v>3072</v>
      </c>
      <c r="Q451" s="301" t="s">
        <v>3072</v>
      </c>
      <c r="R451" s="301" t="s">
        <v>3072</v>
      </c>
      <c r="S451" s="301" t="s">
        <v>3072</v>
      </c>
      <c r="T451" s="301" t="s">
        <v>3072</v>
      </c>
      <c r="U451" s="301" t="s">
        <v>3072</v>
      </c>
      <c r="V451" s="301" t="s">
        <v>3072</v>
      </c>
      <c r="W451" s="298" t="s">
        <v>429</v>
      </c>
      <c r="X451" s="298" t="s">
        <v>306</v>
      </c>
    </row>
    <row r="452">
      <c r="A452" s="295" t="s">
        <v>3073</v>
      </c>
      <c r="B452" s="298">
        <v>3.0</v>
      </c>
      <c r="C452" s="298" t="s">
        <v>288</v>
      </c>
      <c r="D452" s="298" t="s">
        <v>421</v>
      </c>
      <c r="E452" s="298" t="s">
        <v>311</v>
      </c>
      <c r="F452" s="298" t="str">
        <f>'Character Sheet'!$C$9</f>
        <v/>
      </c>
      <c r="G452" s="298" t="s">
        <v>294</v>
      </c>
      <c r="H452" s="298" t="s">
        <v>324</v>
      </c>
      <c r="I452" s="298" t="s">
        <v>296</v>
      </c>
      <c r="J452" s="298" t="s">
        <v>315</v>
      </c>
      <c r="K452" s="298" t="s">
        <v>632</v>
      </c>
      <c r="L452" s="298" t="s">
        <v>493</v>
      </c>
      <c r="M452" s="301" t="s">
        <v>315</v>
      </c>
      <c r="N452" s="301" t="s">
        <v>315</v>
      </c>
      <c r="O452" s="301" t="s">
        <v>3074</v>
      </c>
      <c r="P452" s="301" t="s">
        <v>3074</v>
      </c>
      <c r="Q452" s="301" t="s">
        <v>3074</v>
      </c>
      <c r="R452" s="301" t="s">
        <v>3074</v>
      </c>
      <c r="S452" s="301" t="s">
        <v>3074</v>
      </c>
      <c r="T452" s="301" t="s">
        <v>3074</v>
      </c>
      <c r="U452" s="301" t="s">
        <v>3074</v>
      </c>
      <c r="V452" s="301" t="s">
        <v>3074</v>
      </c>
      <c r="W452" s="298" t="s">
        <v>993</v>
      </c>
      <c r="X452" s="298" t="s">
        <v>318</v>
      </c>
    </row>
    <row r="453">
      <c r="A453" s="295" t="s">
        <v>3075</v>
      </c>
      <c r="B453" s="298">
        <v>3.0</v>
      </c>
      <c r="C453" s="298" t="s">
        <v>288</v>
      </c>
      <c r="D453" s="298" t="s">
        <v>310</v>
      </c>
      <c r="E453" s="298" t="s">
        <v>311</v>
      </c>
      <c r="F453" s="298" t="str">
        <f>'Character Sheet'!$C$9</f>
        <v/>
      </c>
      <c r="G453" s="298" t="s">
        <v>294</v>
      </c>
      <c r="H453" s="298" t="s">
        <v>295</v>
      </c>
      <c r="I453" s="298" t="s">
        <v>3076</v>
      </c>
      <c r="J453" s="298" t="s">
        <v>315</v>
      </c>
      <c r="K453" s="298" t="s">
        <v>325</v>
      </c>
      <c r="L453" s="298" t="s">
        <v>493</v>
      </c>
      <c r="M453" s="301" t="s">
        <v>315</v>
      </c>
      <c r="N453" s="301" t="s">
        <v>315</v>
      </c>
      <c r="O453" s="301" t="s">
        <v>3077</v>
      </c>
      <c r="P453" s="301" t="s">
        <v>3077</v>
      </c>
      <c r="Q453" s="301" t="s">
        <v>3077</v>
      </c>
      <c r="R453" s="301" t="s">
        <v>3077</v>
      </c>
      <c r="S453" s="301" t="s">
        <v>3077</v>
      </c>
      <c r="T453" s="301" t="s">
        <v>3077</v>
      </c>
      <c r="U453" s="301" t="s">
        <v>3077</v>
      </c>
      <c r="V453" s="301" t="s">
        <v>3077</v>
      </c>
      <c r="W453" s="298" t="s">
        <v>317</v>
      </c>
      <c r="X453" s="298" t="s">
        <v>318</v>
      </c>
    </row>
    <row r="454">
      <c r="A454" s="295" t="s">
        <v>3078</v>
      </c>
      <c r="B454" s="298">
        <v>3.0</v>
      </c>
      <c r="C454" s="298" t="s">
        <v>288</v>
      </c>
      <c r="D454" s="298" t="s">
        <v>421</v>
      </c>
      <c r="E454" s="298" t="s">
        <v>290</v>
      </c>
      <c r="F454" s="298" t="str">
        <f>'Character Sheet'!$C$9</f>
        <v/>
      </c>
      <c r="G454" s="298" t="s">
        <v>294</v>
      </c>
      <c r="H454" s="298" t="s">
        <v>324</v>
      </c>
      <c r="I454" s="298" t="s">
        <v>324</v>
      </c>
      <c r="J454" s="298" t="s">
        <v>315</v>
      </c>
      <c r="K454" s="298" t="s">
        <v>632</v>
      </c>
      <c r="L454" s="298" t="s">
        <v>493</v>
      </c>
      <c r="M454" s="301" t="s">
        <v>315</v>
      </c>
      <c r="N454" s="301" t="s">
        <v>315</v>
      </c>
      <c r="O454" s="301" t="s">
        <v>3079</v>
      </c>
      <c r="P454" s="301" t="s">
        <v>3079</v>
      </c>
      <c r="Q454" s="301" t="s">
        <v>3080</v>
      </c>
      <c r="R454" s="301" t="s">
        <v>3080</v>
      </c>
      <c r="S454" s="301" t="s">
        <v>3081</v>
      </c>
      <c r="T454" s="301" t="s">
        <v>3081</v>
      </c>
      <c r="U454" s="301" t="s">
        <v>3082</v>
      </c>
      <c r="V454" s="301" t="s">
        <v>3082</v>
      </c>
      <c r="W454" s="298" t="s">
        <v>429</v>
      </c>
      <c r="X454" s="298" t="s">
        <v>966</v>
      </c>
    </row>
    <row r="455">
      <c r="A455" s="341" t="s">
        <v>3083</v>
      </c>
      <c r="B455" s="343">
        <v>3.0</v>
      </c>
      <c r="C455" s="343" t="s">
        <v>522</v>
      </c>
      <c r="D455" s="343" t="s">
        <v>359</v>
      </c>
      <c r="E455" s="343" t="s">
        <v>311</v>
      </c>
      <c r="F455" s="343" t="str">
        <f>'Character Sheet'!$C$9</f>
        <v/>
      </c>
      <c r="G455" s="343" t="s">
        <v>294</v>
      </c>
      <c r="H455" s="343" t="s">
        <v>295</v>
      </c>
      <c r="I455" s="343" t="s">
        <v>1000</v>
      </c>
      <c r="J455" s="343" t="s">
        <v>192</v>
      </c>
      <c r="K455" s="343" t="s">
        <v>325</v>
      </c>
      <c r="L455" s="343" t="s">
        <v>493</v>
      </c>
      <c r="M455" s="344" t="s">
        <v>315</v>
      </c>
      <c r="N455" s="344" t="s">
        <v>315</v>
      </c>
      <c r="O455" s="344" t="s">
        <v>3084</v>
      </c>
      <c r="P455" s="344" t="s">
        <v>3084</v>
      </c>
      <c r="Q455" s="344" t="s">
        <v>3084</v>
      </c>
      <c r="R455" s="344" t="s">
        <v>3084</v>
      </c>
      <c r="S455" s="344" t="s">
        <v>3084</v>
      </c>
      <c r="T455" s="344" t="s">
        <v>3084</v>
      </c>
      <c r="U455" s="344" t="s">
        <v>3084</v>
      </c>
      <c r="V455" s="344" t="s">
        <v>3084</v>
      </c>
      <c r="W455" s="343" t="s">
        <v>429</v>
      </c>
      <c r="X455" s="343" t="s">
        <v>306</v>
      </c>
    </row>
    <row r="456">
      <c r="A456" s="295" t="s">
        <v>3085</v>
      </c>
      <c r="B456" s="298">
        <v>4.0</v>
      </c>
      <c r="C456" s="298" t="s">
        <v>288</v>
      </c>
      <c r="D456" s="298" t="s">
        <v>462</v>
      </c>
      <c r="E456" s="298" t="s">
        <v>290</v>
      </c>
      <c r="F456" s="298" t="str">
        <f>'Character Sheet'!$C$9</f>
        <v/>
      </c>
      <c r="G456" s="298" t="s">
        <v>294</v>
      </c>
      <c r="H456" s="298" t="s">
        <v>324</v>
      </c>
      <c r="I456" s="298" t="s">
        <v>324</v>
      </c>
      <c r="J456" s="298" t="s">
        <v>315</v>
      </c>
      <c r="K456" s="298" t="s">
        <v>632</v>
      </c>
      <c r="L456" s="298" t="s">
        <v>493</v>
      </c>
      <c r="M456" s="301" t="s">
        <v>315</v>
      </c>
      <c r="N456" s="301" t="s">
        <v>315</v>
      </c>
      <c r="O456" s="301" t="s">
        <v>315</v>
      </c>
      <c r="P456" s="301" t="s">
        <v>3086</v>
      </c>
      <c r="Q456" s="301" t="s">
        <v>3087</v>
      </c>
      <c r="R456" s="301" t="s">
        <v>3088</v>
      </c>
      <c r="S456" s="301" t="s">
        <v>3088</v>
      </c>
      <c r="T456" s="301" t="s">
        <v>3088</v>
      </c>
      <c r="U456" s="301" t="s">
        <v>3088</v>
      </c>
      <c r="V456" s="301" t="s">
        <v>3088</v>
      </c>
      <c r="W456" s="298" t="s">
        <v>305</v>
      </c>
      <c r="X456" s="298" t="s">
        <v>306</v>
      </c>
    </row>
    <row r="457">
      <c r="A457" s="295" t="s">
        <v>3089</v>
      </c>
      <c r="B457" s="298">
        <v>4.0</v>
      </c>
      <c r="C457" s="298" t="s">
        <v>288</v>
      </c>
      <c r="D457" s="298" t="s">
        <v>462</v>
      </c>
      <c r="E457" s="298" t="s">
        <v>311</v>
      </c>
      <c r="F457" s="298" t="str">
        <f>'Character Sheet'!$C$9</f>
        <v/>
      </c>
      <c r="G457" s="298" t="s">
        <v>294</v>
      </c>
      <c r="H457" s="298" t="s">
        <v>335</v>
      </c>
      <c r="I457" s="298" t="s">
        <v>296</v>
      </c>
      <c r="J457" s="298" t="s">
        <v>315</v>
      </c>
      <c r="K457" s="298" t="s">
        <v>1990</v>
      </c>
      <c r="L457" s="298" t="s">
        <v>493</v>
      </c>
      <c r="M457" s="301" t="s">
        <v>315</v>
      </c>
      <c r="N457" s="301" t="s">
        <v>315</v>
      </c>
      <c r="O457" s="301" t="s">
        <v>315</v>
      </c>
      <c r="P457" s="301" t="s">
        <v>3090</v>
      </c>
      <c r="Q457" s="301" t="s">
        <v>3090</v>
      </c>
      <c r="R457" s="301" t="s">
        <v>3090</v>
      </c>
      <c r="S457" s="301" t="s">
        <v>3090</v>
      </c>
      <c r="T457" s="301" t="s">
        <v>3090</v>
      </c>
      <c r="U457" s="301" t="s">
        <v>3090</v>
      </c>
      <c r="V457" s="301" t="s">
        <v>3090</v>
      </c>
      <c r="W457" s="298" t="s">
        <v>389</v>
      </c>
      <c r="X457" s="298" t="s">
        <v>306</v>
      </c>
    </row>
    <row r="458">
      <c r="A458" s="295" t="s">
        <v>3091</v>
      </c>
      <c r="B458" s="298">
        <v>4.0</v>
      </c>
      <c r="C458" s="298" t="s">
        <v>288</v>
      </c>
      <c r="D458" s="298" t="s">
        <v>359</v>
      </c>
      <c r="E458" s="298" t="s">
        <v>290</v>
      </c>
      <c r="F458" s="298" t="str">
        <f>'Character Sheet'!$K$9</f>
        <v/>
      </c>
      <c r="G458" s="298" t="s">
        <v>294</v>
      </c>
      <c r="H458" s="298" t="s">
        <v>295</v>
      </c>
      <c r="I458" s="298" t="s">
        <v>296</v>
      </c>
      <c r="J458" s="298" t="s">
        <v>746</v>
      </c>
      <c r="K458" s="298" t="s">
        <v>298</v>
      </c>
      <c r="L458" s="298" t="s">
        <v>493</v>
      </c>
      <c r="M458" s="301" t="s">
        <v>315</v>
      </c>
      <c r="N458" s="301" t="s">
        <v>315</v>
      </c>
      <c r="O458" s="301" t="s">
        <v>315</v>
      </c>
      <c r="P458" s="301" t="s">
        <v>3092</v>
      </c>
      <c r="Q458" s="301" t="s">
        <v>3093</v>
      </c>
      <c r="R458" s="301" t="s">
        <v>3094</v>
      </c>
      <c r="S458" s="301" t="s">
        <v>3095</v>
      </c>
      <c r="T458" s="301" t="s">
        <v>3096</v>
      </c>
      <c r="U458" s="301" t="s">
        <v>3097</v>
      </c>
      <c r="V458" s="301" t="s">
        <v>3098</v>
      </c>
      <c r="W458" s="298" t="s">
        <v>404</v>
      </c>
      <c r="X458" s="298" t="s">
        <v>306</v>
      </c>
    </row>
    <row r="459">
      <c r="A459" s="295" t="s">
        <v>3099</v>
      </c>
      <c r="B459" s="298">
        <v>4.0</v>
      </c>
      <c r="C459" s="298" t="s">
        <v>432</v>
      </c>
      <c r="D459" s="298" t="s">
        <v>359</v>
      </c>
      <c r="E459" s="298" t="s">
        <v>290</v>
      </c>
      <c r="F459" s="298" t="str">
        <f>'Character Sheet'!$C$9</f>
        <v/>
      </c>
      <c r="G459" s="298" t="s">
        <v>294</v>
      </c>
      <c r="H459" s="298" t="s">
        <v>360</v>
      </c>
      <c r="I459" s="298" t="s">
        <v>296</v>
      </c>
      <c r="J459" s="298" t="s">
        <v>192</v>
      </c>
      <c r="K459" s="298" t="s">
        <v>478</v>
      </c>
      <c r="L459" s="298" t="s">
        <v>493</v>
      </c>
      <c r="M459" s="301" t="s">
        <v>315</v>
      </c>
      <c r="N459" s="301" t="s">
        <v>315</v>
      </c>
      <c r="O459" s="301" t="s">
        <v>315</v>
      </c>
      <c r="P459" s="301" t="s">
        <v>3100</v>
      </c>
      <c r="Q459" s="301" t="s">
        <v>3100</v>
      </c>
      <c r="R459" s="301" t="s">
        <v>3101</v>
      </c>
      <c r="S459" s="301" t="s">
        <v>3101</v>
      </c>
      <c r="T459" s="301" t="s">
        <v>3102</v>
      </c>
      <c r="U459" s="301" t="s">
        <v>3102</v>
      </c>
      <c r="V459" s="301" t="s">
        <v>3103</v>
      </c>
      <c r="W459" s="298" t="s">
        <v>460</v>
      </c>
      <c r="X459" s="298" t="s">
        <v>815</v>
      </c>
    </row>
    <row r="460">
      <c r="A460" s="295" t="s">
        <v>3104</v>
      </c>
      <c r="B460" s="298">
        <v>4.0</v>
      </c>
      <c r="C460" s="298" t="s">
        <v>288</v>
      </c>
      <c r="D460" s="298" t="s">
        <v>462</v>
      </c>
      <c r="E460" s="298" t="s">
        <v>311</v>
      </c>
      <c r="F460" s="298" t="str">
        <f>'Character Sheet'!$C$9</f>
        <v/>
      </c>
      <c r="G460" s="298" t="s">
        <v>294</v>
      </c>
      <c r="H460" s="298" t="s">
        <v>335</v>
      </c>
      <c r="I460" s="298" t="s">
        <v>3105</v>
      </c>
      <c r="J460" s="298" t="s">
        <v>173</v>
      </c>
      <c r="K460" s="298" t="s">
        <v>1174</v>
      </c>
      <c r="L460" s="298" t="s">
        <v>493</v>
      </c>
      <c r="M460" s="301" t="s">
        <v>315</v>
      </c>
      <c r="N460" s="301" t="s">
        <v>315</v>
      </c>
      <c r="O460" s="301" t="s">
        <v>315</v>
      </c>
      <c r="P460" s="301" t="s">
        <v>3106</v>
      </c>
      <c r="Q460" s="301" t="s">
        <v>3106</v>
      </c>
      <c r="R460" s="301" t="s">
        <v>3106</v>
      </c>
      <c r="S460" s="301" t="s">
        <v>3106</v>
      </c>
      <c r="T460" s="301" t="s">
        <v>3106</v>
      </c>
      <c r="U460" s="301" t="s">
        <v>3106</v>
      </c>
      <c r="V460" s="301" t="s">
        <v>3106</v>
      </c>
      <c r="W460" s="298" t="s">
        <v>357</v>
      </c>
      <c r="X460" s="298" t="s">
        <v>678</v>
      </c>
    </row>
    <row r="461">
      <c r="A461" s="295" t="s">
        <v>3107</v>
      </c>
      <c r="B461" s="298">
        <v>4.0</v>
      </c>
      <c r="C461" s="298" t="s">
        <v>288</v>
      </c>
      <c r="D461" s="298" t="s">
        <v>151</v>
      </c>
      <c r="E461" s="298" t="s">
        <v>290</v>
      </c>
      <c r="F461" s="298" t="str">
        <f>'Character Sheet'!$C$9</f>
        <v/>
      </c>
      <c r="G461" s="298" t="s">
        <v>294</v>
      </c>
      <c r="H461" s="298" t="s">
        <v>324</v>
      </c>
      <c r="I461" s="298" t="s">
        <v>324</v>
      </c>
      <c r="J461" s="298" t="s">
        <v>315</v>
      </c>
      <c r="K461" s="298" t="s">
        <v>632</v>
      </c>
      <c r="L461" s="298" t="s">
        <v>493</v>
      </c>
      <c r="M461" s="301" t="s">
        <v>315</v>
      </c>
      <c r="N461" s="301" t="s">
        <v>315</v>
      </c>
      <c r="O461" s="301" t="s">
        <v>315</v>
      </c>
      <c r="P461" s="301" t="s">
        <v>3108</v>
      </c>
      <c r="Q461" s="301" t="s">
        <v>3108</v>
      </c>
      <c r="R461" s="301" t="s">
        <v>3109</v>
      </c>
      <c r="S461" s="301" t="s">
        <v>3109</v>
      </c>
      <c r="T461" s="301" t="s">
        <v>3110</v>
      </c>
      <c r="U461" s="301" t="s">
        <v>3110</v>
      </c>
      <c r="V461" s="301" t="s">
        <v>3111</v>
      </c>
      <c r="W461" s="298" t="s">
        <v>460</v>
      </c>
      <c r="X461" s="298" t="s">
        <v>306</v>
      </c>
    </row>
    <row r="462">
      <c r="A462" s="295" t="s">
        <v>3112</v>
      </c>
      <c r="B462" s="298">
        <v>4.0</v>
      </c>
      <c r="C462" s="298" t="s">
        <v>288</v>
      </c>
      <c r="D462" s="298" t="s">
        <v>334</v>
      </c>
      <c r="E462" s="298" t="s">
        <v>290</v>
      </c>
      <c r="F462" s="298" t="str">
        <f>'Character Sheet'!$C$9</f>
        <v/>
      </c>
      <c r="G462" s="298" t="s">
        <v>294</v>
      </c>
      <c r="H462" s="298" t="s">
        <v>295</v>
      </c>
      <c r="I462" s="298" t="s">
        <v>296</v>
      </c>
      <c r="J462" s="298" t="s">
        <v>173</v>
      </c>
      <c r="K462" s="298" t="s">
        <v>632</v>
      </c>
      <c r="L462" s="298" t="s">
        <v>493</v>
      </c>
      <c r="M462" s="301" t="s">
        <v>315</v>
      </c>
      <c r="N462" s="301" t="s">
        <v>315</v>
      </c>
      <c r="O462" s="301" t="s">
        <v>315</v>
      </c>
      <c r="P462" s="301" t="s">
        <v>3113</v>
      </c>
      <c r="Q462" s="301" t="s">
        <v>3113</v>
      </c>
      <c r="R462" s="301" t="s">
        <v>3114</v>
      </c>
      <c r="S462" s="301" t="s">
        <v>3114</v>
      </c>
      <c r="T462" s="301" t="s">
        <v>3115</v>
      </c>
      <c r="U462" s="301" t="s">
        <v>3115</v>
      </c>
      <c r="V462" s="301" t="s">
        <v>3116</v>
      </c>
      <c r="W462" s="298" t="s">
        <v>483</v>
      </c>
      <c r="X462" s="298" t="s">
        <v>318</v>
      </c>
    </row>
    <row r="463">
      <c r="A463" s="295" t="s">
        <v>3117</v>
      </c>
      <c r="B463" s="298">
        <v>4.0</v>
      </c>
      <c r="C463" s="298" t="s">
        <v>522</v>
      </c>
      <c r="D463" s="298" t="s">
        <v>334</v>
      </c>
      <c r="E463" s="298" t="s">
        <v>290</v>
      </c>
      <c r="F463" s="298" t="str">
        <f>'Character Sheet'!$C$9</f>
        <v/>
      </c>
      <c r="G463" s="298" t="s">
        <v>294</v>
      </c>
      <c r="H463" s="298" t="s">
        <v>360</v>
      </c>
      <c r="I463" s="298" t="s">
        <v>2038</v>
      </c>
      <c r="J463" s="298" t="s">
        <v>336</v>
      </c>
      <c r="K463" s="298" t="s">
        <v>298</v>
      </c>
      <c r="L463" s="298" t="s">
        <v>493</v>
      </c>
      <c r="M463" s="301" t="s">
        <v>315</v>
      </c>
      <c r="N463" s="301" t="s">
        <v>315</v>
      </c>
      <c r="O463" s="301" t="s">
        <v>315</v>
      </c>
      <c r="P463" s="301" t="s">
        <v>3118</v>
      </c>
      <c r="Q463" s="301" t="s">
        <v>3119</v>
      </c>
      <c r="R463" s="301" t="s">
        <v>3120</v>
      </c>
      <c r="S463" s="301" t="s">
        <v>3121</v>
      </c>
      <c r="T463" s="301" t="s">
        <v>3122</v>
      </c>
      <c r="U463" s="301" t="s">
        <v>3123</v>
      </c>
      <c r="V463" s="301" t="s">
        <v>3124</v>
      </c>
      <c r="W463" s="298" t="s">
        <v>357</v>
      </c>
      <c r="X463" s="298" t="s">
        <v>3125</v>
      </c>
    </row>
    <row r="464">
      <c r="A464" s="295" t="s">
        <v>3126</v>
      </c>
      <c r="B464" s="298">
        <v>4.0</v>
      </c>
      <c r="C464" s="298" t="s">
        <v>288</v>
      </c>
      <c r="D464" s="298" t="s">
        <v>334</v>
      </c>
      <c r="E464" s="298" t="s">
        <v>311</v>
      </c>
      <c r="F464" s="298" t="str">
        <f>'Character Sheet'!$C$9</f>
        <v/>
      </c>
      <c r="G464" s="298" t="s">
        <v>294</v>
      </c>
      <c r="H464" s="298" t="s">
        <v>335</v>
      </c>
      <c r="I464" s="298" t="s">
        <v>2038</v>
      </c>
      <c r="J464" s="298" t="s">
        <v>173</v>
      </c>
      <c r="K464" s="298" t="s">
        <v>1174</v>
      </c>
      <c r="L464" s="298" t="s">
        <v>493</v>
      </c>
      <c r="M464" s="301" t="s">
        <v>315</v>
      </c>
      <c r="N464" s="301" t="s">
        <v>315</v>
      </c>
      <c r="O464" s="301" t="s">
        <v>315</v>
      </c>
      <c r="P464" s="301" t="s">
        <v>3127</v>
      </c>
      <c r="Q464" s="301" t="s">
        <v>3127</v>
      </c>
      <c r="R464" s="301" t="s">
        <v>3127</v>
      </c>
      <c r="S464" s="301" t="s">
        <v>3127</v>
      </c>
      <c r="T464" s="301" t="s">
        <v>3127</v>
      </c>
      <c r="U464" s="301" t="s">
        <v>3127</v>
      </c>
      <c r="V464" s="301" t="s">
        <v>3127</v>
      </c>
      <c r="W464" s="298" t="s">
        <v>536</v>
      </c>
      <c r="X464" s="298" t="s">
        <v>678</v>
      </c>
    </row>
    <row r="465">
      <c r="A465" s="295" t="s">
        <v>3128</v>
      </c>
      <c r="B465" s="298">
        <v>4.0</v>
      </c>
      <c r="C465" s="298" t="s">
        <v>288</v>
      </c>
      <c r="D465" s="298" t="s">
        <v>421</v>
      </c>
      <c r="E465" s="298" t="s">
        <v>290</v>
      </c>
      <c r="F465" s="298" t="str">
        <f>'Character Sheet'!$C$9</f>
        <v/>
      </c>
      <c r="G465" s="298" t="s">
        <v>294</v>
      </c>
      <c r="H465" s="298" t="s">
        <v>335</v>
      </c>
      <c r="I465" s="298" t="s">
        <v>952</v>
      </c>
      <c r="J465" s="298" t="s">
        <v>315</v>
      </c>
      <c r="K465" s="298" t="s">
        <v>632</v>
      </c>
      <c r="L465" s="298" t="s">
        <v>493</v>
      </c>
      <c r="M465" s="301" t="s">
        <v>315</v>
      </c>
      <c r="N465" s="301" t="s">
        <v>315</v>
      </c>
      <c r="O465" s="301" t="s">
        <v>315</v>
      </c>
      <c r="P465" s="301" t="s">
        <v>3129</v>
      </c>
      <c r="Q465" s="301" t="s">
        <v>3129</v>
      </c>
      <c r="R465" s="301" t="s">
        <v>3129</v>
      </c>
      <c r="S465" s="301" t="s">
        <v>3130</v>
      </c>
      <c r="T465" s="301" t="s">
        <v>3130</v>
      </c>
      <c r="U465" s="301" t="s">
        <v>3130</v>
      </c>
      <c r="V465" s="301" t="s">
        <v>3131</v>
      </c>
      <c r="W465" s="298" t="s">
        <v>460</v>
      </c>
      <c r="X465" s="298" t="s">
        <v>318</v>
      </c>
    </row>
    <row r="466">
      <c r="A466" s="295" t="s">
        <v>3132</v>
      </c>
      <c r="B466" s="298">
        <v>4.0</v>
      </c>
      <c r="C466" s="298" t="s">
        <v>288</v>
      </c>
      <c r="D466" s="298" t="s">
        <v>289</v>
      </c>
      <c r="E466" s="298" t="s">
        <v>290</v>
      </c>
      <c r="F466" s="298" t="str">
        <f>'Character Sheet'!$C$9</f>
        <v/>
      </c>
      <c r="G466" s="298" t="s">
        <v>294</v>
      </c>
      <c r="H466" s="298" t="s">
        <v>295</v>
      </c>
      <c r="I466" s="298" t="s">
        <v>296</v>
      </c>
      <c r="J466" s="298" t="s">
        <v>203</v>
      </c>
      <c r="K466" s="298" t="s">
        <v>298</v>
      </c>
      <c r="L466" s="298" t="s">
        <v>493</v>
      </c>
      <c r="M466" s="301" t="s">
        <v>315</v>
      </c>
      <c r="N466" s="301" t="s">
        <v>315</v>
      </c>
      <c r="O466" s="301" t="s">
        <v>315</v>
      </c>
      <c r="P466" s="301" t="s">
        <v>3133</v>
      </c>
      <c r="Q466" s="301" t="s">
        <v>3133</v>
      </c>
      <c r="R466" s="301" t="s">
        <v>3134</v>
      </c>
      <c r="S466" s="301" t="s">
        <v>3134</v>
      </c>
      <c r="T466" s="301" t="s">
        <v>3134</v>
      </c>
      <c r="U466" s="301" t="s">
        <v>3134</v>
      </c>
      <c r="V466" s="301" t="s">
        <v>3134</v>
      </c>
      <c r="W466" s="298" t="s">
        <v>460</v>
      </c>
      <c r="X466" s="298" t="s">
        <v>318</v>
      </c>
    </row>
    <row r="467">
      <c r="A467" s="295" t="s">
        <v>3135</v>
      </c>
      <c r="B467" s="298">
        <v>4.0</v>
      </c>
      <c r="C467" s="298" t="s">
        <v>288</v>
      </c>
      <c r="D467" s="298" t="s">
        <v>310</v>
      </c>
      <c r="E467" s="298" t="s">
        <v>311</v>
      </c>
      <c r="F467" s="298" t="str">
        <f>'Character Sheet'!$C$9</f>
        <v/>
      </c>
      <c r="G467" s="298" t="s">
        <v>674</v>
      </c>
      <c r="H467" s="298" t="s">
        <v>1278</v>
      </c>
      <c r="I467" s="298" t="s">
        <v>315</v>
      </c>
      <c r="J467" s="298" t="s">
        <v>315</v>
      </c>
      <c r="K467" s="298" t="s">
        <v>325</v>
      </c>
      <c r="L467" s="298" t="s">
        <v>493</v>
      </c>
      <c r="M467" s="301" t="s">
        <v>315</v>
      </c>
      <c r="N467" s="301" t="s">
        <v>315</v>
      </c>
      <c r="O467" s="301" t="s">
        <v>315</v>
      </c>
      <c r="P467" s="301" t="s">
        <v>3136</v>
      </c>
      <c r="Q467" s="301" t="s">
        <v>3136</v>
      </c>
      <c r="R467" s="301" t="s">
        <v>3136</v>
      </c>
      <c r="S467" s="301" t="s">
        <v>3136</v>
      </c>
      <c r="T467" s="301" t="s">
        <v>3136</v>
      </c>
      <c r="U467" s="301" t="s">
        <v>3136</v>
      </c>
      <c r="V467" s="301" t="s">
        <v>3136</v>
      </c>
      <c r="W467" s="298" t="s">
        <v>460</v>
      </c>
      <c r="X467" s="298" t="s">
        <v>306</v>
      </c>
    </row>
    <row r="468">
      <c r="A468" s="295" t="s">
        <v>3137</v>
      </c>
      <c r="B468" s="298">
        <v>4.0</v>
      </c>
      <c r="C468" s="298" t="s">
        <v>522</v>
      </c>
      <c r="D468" s="298" t="s">
        <v>334</v>
      </c>
      <c r="E468" s="298" t="s">
        <v>290</v>
      </c>
      <c r="F468" s="298" t="str">
        <f>'Character Sheet'!$C$9</f>
        <v/>
      </c>
      <c r="G468" s="298" t="s">
        <v>294</v>
      </c>
      <c r="H468" s="298" t="s">
        <v>324</v>
      </c>
      <c r="I468" s="298" t="s">
        <v>324</v>
      </c>
      <c r="J468" s="298" t="s">
        <v>315</v>
      </c>
      <c r="K468" s="298" t="s">
        <v>3138</v>
      </c>
      <c r="L468" s="298" t="s">
        <v>493</v>
      </c>
      <c r="M468" s="301" t="s">
        <v>315</v>
      </c>
      <c r="N468" s="301" t="s">
        <v>315</v>
      </c>
      <c r="O468" s="301" t="s">
        <v>315</v>
      </c>
      <c r="P468" s="301" t="s">
        <v>3139</v>
      </c>
      <c r="Q468" s="301" t="s">
        <v>3139</v>
      </c>
      <c r="R468" s="301" t="s">
        <v>3140</v>
      </c>
      <c r="S468" s="301" t="s">
        <v>3140</v>
      </c>
      <c r="T468" s="301" t="s">
        <v>3141</v>
      </c>
      <c r="U468" s="301" t="s">
        <v>3141</v>
      </c>
      <c r="V468" s="301" t="s">
        <v>3142</v>
      </c>
      <c r="W468" s="298" t="s">
        <v>389</v>
      </c>
      <c r="X468" s="298" t="s">
        <v>2035</v>
      </c>
    </row>
    <row r="469">
      <c r="A469" s="295" t="s">
        <v>3143</v>
      </c>
      <c r="B469" s="298">
        <v>4.0</v>
      </c>
      <c r="C469" s="298" t="s">
        <v>522</v>
      </c>
      <c r="D469" s="298" t="s">
        <v>359</v>
      </c>
      <c r="E469" s="298" t="s">
        <v>311</v>
      </c>
      <c r="F469" s="298" t="str">
        <f>'Character Sheet'!$C$9</f>
        <v/>
      </c>
      <c r="G469" s="298" t="s">
        <v>294</v>
      </c>
      <c r="H469" s="298" t="s">
        <v>335</v>
      </c>
      <c r="I469" s="298" t="s">
        <v>296</v>
      </c>
      <c r="J469" s="298" t="s">
        <v>192</v>
      </c>
      <c r="K469" s="298" t="s">
        <v>1174</v>
      </c>
      <c r="L469" s="298" t="s">
        <v>493</v>
      </c>
      <c r="M469" s="301" t="s">
        <v>315</v>
      </c>
      <c r="N469" s="301" t="s">
        <v>315</v>
      </c>
      <c r="O469" s="301" t="s">
        <v>315</v>
      </c>
      <c r="P469" s="301" t="s">
        <v>3144</v>
      </c>
      <c r="Q469" s="301" t="s">
        <v>3144</v>
      </c>
      <c r="R469" s="301" t="s">
        <v>3144</v>
      </c>
      <c r="S469" s="301" t="s">
        <v>3144</v>
      </c>
      <c r="T469" s="301" t="s">
        <v>3144</v>
      </c>
      <c r="U469" s="301" t="s">
        <v>3144</v>
      </c>
      <c r="V469" s="301" t="s">
        <v>3144</v>
      </c>
      <c r="W469" s="298" t="s">
        <v>460</v>
      </c>
      <c r="X469" s="298" t="s">
        <v>2927</v>
      </c>
    </row>
    <row r="470">
      <c r="A470" s="295" t="s">
        <v>3145</v>
      </c>
      <c r="B470" s="298">
        <v>4.0</v>
      </c>
      <c r="C470" s="298" t="s">
        <v>432</v>
      </c>
      <c r="D470" s="298" t="s">
        <v>359</v>
      </c>
      <c r="E470" s="298" t="s">
        <v>311</v>
      </c>
      <c r="F470" s="298" t="str">
        <f>'Character Sheet'!$C$9</f>
        <v/>
      </c>
      <c r="G470" s="298" t="s">
        <v>477</v>
      </c>
      <c r="H470" s="298" t="s">
        <v>295</v>
      </c>
      <c r="I470" s="298" t="s">
        <v>296</v>
      </c>
      <c r="J470" s="298" t="s">
        <v>192</v>
      </c>
      <c r="K470" s="298" t="s">
        <v>1174</v>
      </c>
      <c r="L470" s="298" t="s">
        <v>493</v>
      </c>
      <c r="M470" s="301" t="s">
        <v>315</v>
      </c>
      <c r="N470" s="301" t="s">
        <v>315</v>
      </c>
      <c r="O470" s="301" t="s">
        <v>315</v>
      </c>
      <c r="P470" s="301" t="s">
        <v>3146</v>
      </c>
      <c r="Q470" s="301" t="s">
        <v>3146</v>
      </c>
      <c r="R470" s="301" t="s">
        <v>3146</v>
      </c>
      <c r="S470" s="301" t="s">
        <v>3146</v>
      </c>
      <c r="T470" s="301" t="s">
        <v>3146</v>
      </c>
      <c r="U470" s="301" t="s">
        <v>3146</v>
      </c>
      <c r="V470" s="301" t="s">
        <v>3146</v>
      </c>
      <c r="W470" s="298" t="s">
        <v>317</v>
      </c>
      <c r="X470" s="298" t="s">
        <v>318</v>
      </c>
    </row>
    <row r="471">
      <c r="A471" s="295" t="s">
        <v>3147</v>
      </c>
      <c r="B471" s="298">
        <v>4.0</v>
      </c>
      <c r="C471" s="298" t="s">
        <v>288</v>
      </c>
      <c r="D471" s="298" t="s">
        <v>359</v>
      </c>
      <c r="E471" s="298" t="s">
        <v>290</v>
      </c>
      <c r="F471" s="298" t="str">
        <f>'Character Sheet'!$C$9</f>
        <v/>
      </c>
      <c r="G471" s="298" t="s">
        <v>294</v>
      </c>
      <c r="H471" s="298" t="s">
        <v>295</v>
      </c>
      <c r="I471" s="298" t="s">
        <v>296</v>
      </c>
      <c r="J471" s="298" t="s">
        <v>192</v>
      </c>
      <c r="K471" s="298" t="s">
        <v>632</v>
      </c>
      <c r="L471" s="298" t="s">
        <v>493</v>
      </c>
      <c r="M471" s="301" t="s">
        <v>315</v>
      </c>
      <c r="N471" s="301" t="s">
        <v>315</v>
      </c>
      <c r="O471" s="301" t="s">
        <v>315</v>
      </c>
      <c r="P471" s="301" t="s">
        <v>3148</v>
      </c>
      <c r="Q471" s="301" t="s">
        <v>3148</v>
      </c>
      <c r="R471" s="301" t="s">
        <v>3148</v>
      </c>
      <c r="S471" s="301" t="s">
        <v>3148</v>
      </c>
      <c r="T471" s="301" t="s">
        <v>3149</v>
      </c>
      <c r="U471" s="301" t="s">
        <v>3149</v>
      </c>
      <c r="V471" s="301" t="s">
        <v>3149</v>
      </c>
      <c r="W471" s="298" t="s">
        <v>460</v>
      </c>
      <c r="X471" s="298" t="s">
        <v>306</v>
      </c>
    </row>
    <row r="472">
      <c r="A472" s="295" t="s">
        <v>3150</v>
      </c>
      <c r="B472" s="298">
        <v>4.0</v>
      </c>
      <c r="C472" s="298" t="s">
        <v>288</v>
      </c>
      <c r="D472" s="298" t="s">
        <v>151</v>
      </c>
      <c r="E472" s="298" t="s">
        <v>290</v>
      </c>
      <c r="F472" s="298" t="str">
        <f>'Character Sheet'!$E$9</f>
        <v/>
      </c>
      <c r="G472" s="298" t="s">
        <v>294</v>
      </c>
      <c r="H472" s="298" t="s">
        <v>352</v>
      </c>
      <c r="I472" s="298" t="s">
        <v>3151</v>
      </c>
      <c r="J472" s="298" t="s">
        <v>407</v>
      </c>
      <c r="K472" s="298" t="s">
        <v>632</v>
      </c>
      <c r="L472" s="298" t="s">
        <v>493</v>
      </c>
      <c r="M472" s="301" t="s">
        <v>315</v>
      </c>
      <c r="N472" s="301" t="s">
        <v>315</v>
      </c>
      <c r="O472" s="301" t="s">
        <v>315</v>
      </c>
      <c r="P472" s="301" t="s">
        <v>3152</v>
      </c>
      <c r="Q472" s="301" t="s">
        <v>3152</v>
      </c>
      <c r="R472" s="301" t="s">
        <v>3153</v>
      </c>
      <c r="S472" s="301" t="s">
        <v>3153</v>
      </c>
      <c r="T472" s="301" t="s">
        <v>3154</v>
      </c>
      <c r="U472" s="301" t="s">
        <v>3154</v>
      </c>
      <c r="V472" s="301" t="s">
        <v>3155</v>
      </c>
      <c r="W472" s="298" t="s">
        <v>305</v>
      </c>
      <c r="X472" s="298" t="s">
        <v>318</v>
      </c>
    </row>
    <row r="473">
      <c r="A473" s="295" t="s">
        <v>3156</v>
      </c>
      <c r="B473" s="298">
        <v>4.0</v>
      </c>
      <c r="C473" s="298" t="s">
        <v>288</v>
      </c>
      <c r="D473" s="298" t="s">
        <v>310</v>
      </c>
      <c r="E473" s="298" t="s">
        <v>311</v>
      </c>
      <c r="F473" s="298" t="str">
        <f>'Character Sheet'!$C$9</f>
        <v/>
      </c>
      <c r="G473" s="298" t="s">
        <v>294</v>
      </c>
      <c r="H473" s="298" t="s">
        <v>335</v>
      </c>
      <c r="I473" s="298" t="s">
        <v>296</v>
      </c>
      <c r="J473" s="298" t="s">
        <v>315</v>
      </c>
      <c r="K473" s="298" t="s">
        <v>632</v>
      </c>
      <c r="L473" s="298" t="s">
        <v>493</v>
      </c>
      <c r="M473" s="301" t="s">
        <v>315</v>
      </c>
      <c r="N473" s="301" t="s">
        <v>315</v>
      </c>
      <c r="O473" s="301" t="s">
        <v>315</v>
      </c>
      <c r="P473" s="301" t="s">
        <v>3157</v>
      </c>
      <c r="Q473" s="301" t="s">
        <v>3157</v>
      </c>
      <c r="R473" s="301" t="s">
        <v>3157</v>
      </c>
      <c r="S473" s="301" t="s">
        <v>3157</v>
      </c>
      <c r="T473" s="301" t="s">
        <v>3157</v>
      </c>
      <c r="U473" s="301" t="s">
        <v>3157</v>
      </c>
      <c r="V473" s="301" t="s">
        <v>3157</v>
      </c>
      <c r="W473" s="298" t="s">
        <v>357</v>
      </c>
      <c r="X473" s="298" t="s">
        <v>678</v>
      </c>
    </row>
    <row r="474">
      <c r="A474" s="295" t="s">
        <v>23</v>
      </c>
      <c r="B474" s="298">
        <v>4.0</v>
      </c>
      <c r="C474" s="298" t="s">
        <v>288</v>
      </c>
      <c r="D474" s="298" t="s">
        <v>151</v>
      </c>
      <c r="E474" s="298" t="s">
        <v>290</v>
      </c>
      <c r="F474" s="298" t="s">
        <v>625</v>
      </c>
      <c r="G474" s="298" t="s">
        <v>674</v>
      </c>
      <c r="H474" s="298" t="s">
        <v>335</v>
      </c>
      <c r="I474" s="298" t="s">
        <v>315</v>
      </c>
      <c r="J474" s="298" t="s">
        <v>315</v>
      </c>
      <c r="K474" s="298" t="s">
        <v>675</v>
      </c>
      <c r="L474" s="298" t="s">
        <v>493</v>
      </c>
      <c r="M474" s="301" t="s">
        <v>315</v>
      </c>
      <c r="N474" s="301" t="s">
        <v>315</v>
      </c>
      <c r="O474" s="301" t="s">
        <v>315</v>
      </c>
      <c r="P474" s="301" t="s">
        <v>3158</v>
      </c>
      <c r="Q474" s="301" t="s">
        <v>3159</v>
      </c>
      <c r="R474" s="301" t="s">
        <v>3159</v>
      </c>
      <c r="S474" s="301" t="s">
        <v>3159</v>
      </c>
      <c r="T474" s="301" t="s">
        <v>3159</v>
      </c>
      <c r="U474" s="301" t="s">
        <v>3159</v>
      </c>
      <c r="V474" s="301" t="s">
        <v>3159</v>
      </c>
      <c r="W474" s="298" t="s">
        <v>305</v>
      </c>
      <c r="X474" s="298" t="s">
        <v>306</v>
      </c>
    </row>
    <row r="475">
      <c r="A475" s="295" t="s">
        <v>3160</v>
      </c>
      <c r="B475" s="298">
        <v>4.0</v>
      </c>
      <c r="C475" s="298" t="s">
        <v>522</v>
      </c>
      <c r="D475" s="298" t="s">
        <v>359</v>
      </c>
      <c r="E475" s="298" t="s">
        <v>311</v>
      </c>
      <c r="F475" s="298" t="str">
        <f>'Character Sheet'!$C$9</f>
        <v/>
      </c>
      <c r="G475" s="298" t="s">
        <v>294</v>
      </c>
      <c r="H475" s="298" t="s">
        <v>335</v>
      </c>
      <c r="I475" s="298" t="s">
        <v>296</v>
      </c>
      <c r="J475" s="298" t="s">
        <v>192</v>
      </c>
      <c r="K475" s="298" t="s">
        <v>1174</v>
      </c>
      <c r="L475" s="298" t="s">
        <v>493</v>
      </c>
      <c r="M475" s="301" t="s">
        <v>315</v>
      </c>
      <c r="N475" s="301" t="s">
        <v>315</v>
      </c>
      <c r="O475" s="301" t="s">
        <v>315</v>
      </c>
      <c r="P475" s="301" t="s">
        <v>3161</v>
      </c>
      <c r="Q475" s="301" t="s">
        <v>3161</v>
      </c>
      <c r="R475" s="301" t="s">
        <v>3161</v>
      </c>
      <c r="S475" s="301" t="s">
        <v>3161</v>
      </c>
      <c r="T475" s="301" t="s">
        <v>3161</v>
      </c>
      <c r="U475" s="301" t="s">
        <v>3161</v>
      </c>
      <c r="V475" s="301" t="s">
        <v>3161</v>
      </c>
      <c r="W475" s="298" t="s">
        <v>460</v>
      </c>
      <c r="X475" s="298" t="s">
        <v>3162</v>
      </c>
    </row>
    <row r="476">
      <c r="A476" s="295" t="s">
        <v>3163</v>
      </c>
      <c r="B476" s="298">
        <v>4.0</v>
      </c>
      <c r="C476" s="298" t="s">
        <v>432</v>
      </c>
      <c r="D476" s="298" t="s">
        <v>310</v>
      </c>
      <c r="E476" s="298" t="s">
        <v>311</v>
      </c>
      <c r="F476" s="298" t="s">
        <v>999</v>
      </c>
      <c r="G476" s="298" t="s">
        <v>674</v>
      </c>
      <c r="H476" s="298" t="s">
        <v>2740</v>
      </c>
      <c r="I476" s="298" t="s">
        <v>3164</v>
      </c>
      <c r="J476" s="298" t="s">
        <v>315</v>
      </c>
      <c r="K476" s="298" t="s">
        <v>1753</v>
      </c>
      <c r="L476" s="298" t="s">
        <v>493</v>
      </c>
      <c r="M476" s="301" t="s">
        <v>315</v>
      </c>
      <c r="N476" s="301" t="s">
        <v>315</v>
      </c>
      <c r="O476" s="301" t="s">
        <v>315</v>
      </c>
      <c r="P476" s="301" t="s">
        <v>3165</v>
      </c>
      <c r="Q476" s="301" t="s">
        <v>3165</v>
      </c>
      <c r="R476" s="301" t="s">
        <v>3165</v>
      </c>
      <c r="S476" s="301" t="s">
        <v>3165</v>
      </c>
      <c r="T476" s="301" t="s">
        <v>3165</v>
      </c>
      <c r="U476" s="301" t="s">
        <v>3165</v>
      </c>
      <c r="V476" s="301" t="s">
        <v>3165</v>
      </c>
      <c r="W476" s="298" t="s">
        <v>331</v>
      </c>
      <c r="X476" s="298" t="s">
        <v>1082</v>
      </c>
    </row>
    <row r="477">
      <c r="A477" s="295" t="s">
        <v>3166</v>
      </c>
      <c r="B477" s="298">
        <v>4.0</v>
      </c>
      <c r="C477" s="298" t="s">
        <v>522</v>
      </c>
      <c r="D477" s="298" t="s">
        <v>310</v>
      </c>
      <c r="E477" s="298" t="s">
        <v>290</v>
      </c>
      <c r="F477" s="298" t="str">
        <f>'Character Sheet'!$C$9</f>
        <v/>
      </c>
      <c r="G477" s="298" t="s">
        <v>294</v>
      </c>
      <c r="H477" s="298" t="s">
        <v>324</v>
      </c>
      <c r="I477" s="298" t="s">
        <v>861</v>
      </c>
      <c r="J477" s="298" t="s">
        <v>315</v>
      </c>
      <c r="K477" s="298" t="s">
        <v>675</v>
      </c>
      <c r="L477" s="298" t="s">
        <v>493</v>
      </c>
      <c r="M477" s="301" t="s">
        <v>315</v>
      </c>
      <c r="N477" s="301" t="s">
        <v>315</v>
      </c>
      <c r="O477" s="301" t="s">
        <v>315</v>
      </c>
      <c r="P477" s="301" t="s">
        <v>3167</v>
      </c>
      <c r="Q477" s="301" t="s">
        <v>3167</v>
      </c>
      <c r="R477" s="301" t="s">
        <v>3168</v>
      </c>
      <c r="S477" s="301" t="s">
        <v>3168</v>
      </c>
      <c r="T477" s="301" t="s">
        <v>3168</v>
      </c>
      <c r="U477" s="301" t="s">
        <v>3168</v>
      </c>
      <c r="V477" s="301" t="s">
        <v>3168</v>
      </c>
      <c r="W477" s="298" t="s">
        <v>460</v>
      </c>
      <c r="X477" s="298" t="s">
        <v>306</v>
      </c>
    </row>
    <row r="478">
      <c r="A478" s="295" t="s">
        <v>3169</v>
      </c>
      <c r="B478" s="298">
        <v>4.0</v>
      </c>
      <c r="C478" s="298" t="s">
        <v>288</v>
      </c>
      <c r="D478" s="298" t="s">
        <v>151</v>
      </c>
      <c r="E478" s="298" t="s">
        <v>290</v>
      </c>
      <c r="F478" s="298" t="str">
        <f>'Character Sheet'!$C$9</f>
        <v/>
      </c>
      <c r="G478" s="298" t="s">
        <v>294</v>
      </c>
      <c r="H478" s="298" t="s">
        <v>352</v>
      </c>
      <c r="I478" s="298" t="s">
        <v>324</v>
      </c>
      <c r="J478" s="298" t="s">
        <v>315</v>
      </c>
      <c r="K478" s="298" t="s">
        <v>298</v>
      </c>
      <c r="L478" s="298" t="s">
        <v>493</v>
      </c>
      <c r="M478" s="301" t="s">
        <v>315</v>
      </c>
      <c r="N478" s="301" t="s">
        <v>315</v>
      </c>
      <c r="O478" s="301" t="s">
        <v>315</v>
      </c>
      <c r="P478" s="301" t="s">
        <v>3170</v>
      </c>
      <c r="Q478" s="301" t="s">
        <v>3171</v>
      </c>
      <c r="R478" s="301" t="s">
        <v>3171</v>
      </c>
      <c r="S478" s="301" t="s">
        <v>3171</v>
      </c>
      <c r="T478" s="301" t="s">
        <v>3171</v>
      </c>
      <c r="U478" s="301" t="s">
        <v>3171</v>
      </c>
      <c r="V478" s="301" t="s">
        <v>3171</v>
      </c>
      <c r="W478" s="298" t="s">
        <v>460</v>
      </c>
      <c r="X478" s="298" t="s">
        <v>306</v>
      </c>
    </row>
    <row r="479">
      <c r="A479" s="295" t="s">
        <v>3172</v>
      </c>
      <c r="B479" s="298">
        <v>4.0</v>
      </c>
      <c r="C479" s="298" t="s">
        <v>288</v>
      </c>
      <c r="D479" s="298" t="s">
        <v>421</v>
      </c>
      <c r="E479" s="298" t="s">
        <v>311</v>
      </c>
      <c r="F479" s="298" t="str">
        <f>'Character Sheet'!$C$9</f>
        <v/>
      </c>
      <c r="G479" s="298" t="s">
        <v>294</v>
      </c>
      <c r="H479" s="298" t="s">
        <v>295</v>
      </c>
      <c r="I479" s="298" t="s">
        <v>296</v>
      </c>
      <c r="J479" s="298" t="s">
        <v>192</v>
      </c>
      <c r="K479" s="298" t="s">
        <v>1174</v>
      </c>
      <c r="L479" s="298" t="s">
        <v>493</v>
      </c>
      <c r="M479" s="301" t="s">
        <v>315</v>
      </c>
      <c r="N479" s="301" t="s">
        <v>315</v>
      </c>
      <c r="O479" s="301" t="s">
        <v>315</v>
      </c>
      <c r="P479" s="301" t="s">
        <v>3173</v>
      </c>
      <c r="Q479" s="301" t="s">
        <v>3173</v>
      </c>
      <c r="R479" s="301" t="s">
        <v>3173</v>
      </c>
      <c r="S479" s="301" t="s">
        <v>3173</v>
      </c>
      <c r="T479" s="301" t="s">
        <v>3173</v>
      </c>
      <c r="U479" s="301" t="s">
        <v>3173</v>
      </c>
      <c r="V479" s="301" t="s">
        <v>3173</v>
      </c>
      <c r="W479" s="298" t="s">
        <v>331</v>
      </c>
      <c r="X479" s="298" t="s">
        <v>306</v>
      </c>
    </row>
    <row r="480">
      <c r="A480" s="295" t="s">
        <v>3174</v>
      </c>
      <c r="B480" s="298">
        <v>4.0</v>
      </c>
      <c r="C480" s="298" t="s">
        <v>288</v>
      </c>
      <c r="D480" s="298" t="s">
        <v>462</v>
      </c>
      <c r="E480" s="298" t="s">
        <v>290</v>
      </c>
      <c r="F480" s="298" t="str">
        <f>'Character Sheet'!$C$9</f>
        <v/>
      </c>
      <c r="G480" s="298" t="s">
        <v>294</v>
      </c>
      <c r="H480" s="298" t="s">
        <v>324</v>
      </c>
      <c r="I480" s="298" t="s">
        <v>324</v>
      </c>
      <c r="J480" s="298" t="s">
        <v>315</v>
      </c>
      <c r="K480" s="298" t="s">
        <v>632</v>
      </c>
      <c r="L480" s="298" t="s">
        <v>493</v>
      </c>
      <c r="M480" s="301" t="s">
        <v>315</v>
      </c>
      <c r="N480" s="301" t="s">
        <v>315</v>
      </c>
      <c r="O480" s="301" t="s">
        <v>315</v>
      </c>
      <c r="P480" s="301" t="s">
        <v>3175</v>
      </c>
      <c r="Q480" s="301" t="s">
        <v>3176</v>
      </c>
      <c r="R480" s="301" t="s">
        <v>3176</v>
      </c>
      <c r="S480" s="301" t="s">
        <v>3177</v>
      </c>
      <c r="T480" s="301" t="s">
        <v>3177</v>
      </c>
      <c r="U480" s="301" t="s">
        <v>3177</v>
      </c>
      <c r="V480" s="301" t="s">
        <v>3177</v>
      </c>
      <c r="W480" s="298" t="s">
        <v>499</v>
      </c>
      <c r="X480" s="298" t="s">
        <v>306</v>
      </c>
    </row>
    <row r="481">
      <c r="A481" s="295" t="s">
        <v>3178</v>
      </c>
      <c r="B481" s="298">
        <v>4.0</v>
      </c>
      <c r="C481" s="298" t="s">
        <v>522</v>
      </c>
      <c r="D481" s="298" t="s">
        <v>310</v>
      </c>
      <c r="E481" s="298" t="s">
        <v>311</v>
      </c>
      <c r="F481" s="298" t="str">
        <f>'Character Sheet'!$C$9</f>
        <v/>
      </c>
      <c r="G481" s="298" t="s">
        <v>294</v>
      </c>
      <c r="H481" s="298" t="s">
        <v>324</v>
      </c>
      <c r="I481" s="298" t="s">
        <v>324</v>
      </c>
      <c r="J481" s="298" t="s">
        <v>315</v>
      </c>
      <c r="K481" s="298" t="s">
        <v>325</v>
      </c>
      <c r="L481" s="298" t="s">
        <v>493</v>
      </c>
      <c r="M481" s="301" t="s">
        <v>315</v>
      </c>
      <c r="N481" s="301" t="s">
        <v>315</v>
      </c>
      <c r="O481" s="301" t="s">
        <v>315</v>
      </c>
      <c r="P481" s="301" t="s">
        <v>3179</v>
      </c>
      <c r="Q481" s="301" t="s">
        <v>3179</v>
      </c>
      <c r="R481" s="301" t="s">
        <v>3179</v>
      </c>
      <c r="S481" s="301" t="s">
        <v>3179</v>
      </c>
      <c r="T481" s="301" t="s">
        <v>3179</v>
      </c>
      <c r="U481" s="301" t="s">
        <v>3179</v>
      </c>
      <c r="V481" s="301" t="s">
        <v>3179</v>
      </c>
      <c r="W481" s="298" t="s">
        <v>331</v>
      </c>
      <c r="X481" s="298" t="s">
        <v>306</v>
      </c>
    </row>
    <row r="482">
      <c r="A482" s="295" t="s">
        <v>3180</v>
      </c>
      <c r="B482" s="298">
        <v>4.0</v>
      </c>
      <c r="C482" s="298" t="s">
        <v>288</v>
      </c>
      <c r="D482" s="298" t="s">
        <v>289</v>
      </c>
      <c r="E482" s="298" t="s">
        <v>290</v>
      </c>
      <c r="F482" s="298" t="str">
        <f>'Character Sheet'!$C$9</f>
        <v/>
      </c>
      <c r="G482" s="298" t="s">
        <v>294</v>
      </c>
      <c r="H482" s="298" t="s">
        <v>352</v>
      </c>
      <c r="I482" s="298" t="s">
        <v>1000</v>
      </c>
      <c r="J482" s="298" t="s">
        <v>336</v>
      </c>
      <c r="K482" s="298" t="s">
        <v>298</v>
      </c>
      <c r="L482" s="298" t="s">
        <v>493</v>
      </c>
      <c r="M482" s="301" t="s">
        <v>315</v>
      </c>
      <c r="N482" s="301" t="s">
        <v>315</v>
      </c>
      <c r="O482" s="301" t="s">
        <v>315</v>
      </c>
      <c r="P482" s="301" t="s">
        <v>3181</v>
      </c>
      <c r="Q482" s="301" t="s">
        <v>3182</v>
      </c>
      <c r="R482" s="301" t="s">
        <v>3183</v>
      </c>
      <c r="S482" s="301" t="s">
        <v>3184</v>
      </c>
      <c r="T482" s="301" t="s">
        <v>3185</v>
      </c>
      <c r="U482" s="301" t="s">
        <v>3186</v>
      </c>
      <c r="V482" s="301" t="s">
        <v>3187</v>
      </c>
      <c r="W482" s="298" t="s">
        <v>404</v>
      </c>
      <c r="X482" s="298" t="s">
        <v>306</v>
      </c>
    </row>
    <row r="483">
      <c r="A483" s="295" t="s">
        <v>3188</v>
      </c>
      <c r="B483" s="298">
        <v>4.0</v>
      </c>
      <c r="C483" s="298" t="s">
        <v>288</v>
      </c>
      <c r="D483" s="298" t="s">
        <v>289</v>
      </c>
      <c r="E483" s="298" t="s">
        <v>290</v>
      </c>
      <c r="F483" s="298" t="str">
        <f>'Character Sheet'!$C$9</f>
        <v/>
      </c>
      <c r="G483" s="298" t="s">
        <v>294</v>
      </c>
      <c r="H483" s="298" t="s">
        <v>352</v>
      </c>
      <c r="I483" s="298" t="s">
        <v>296</v>
      </c>
      <c r="J483" s="298" t="s">
        <v>407</v>
      </c>
      <c r="K483" s="298" t="s">
        <v>632</v>
      </c>
      <c r="L483" s="298" t="s">
        <v>493</v>
      </c>
      <c r="M483" s="301" t="s">
        <v>315</v>
      </c>
      <c r="N483" s="301" t="s">
        <v>315</v>
      </c>
      <c r="O483" s="301" t="s">
        <v>315</v>
      </c>
      <c r="P483" s="301" t="s">
        <v>3189</v>
      </c>
      <c r="Q483" s="301" t="s">
        <v>3189</v>
      </c>
      <c r="R483" s="301" t="s">
        <v>3189</v>
      </c>
      <c r="S483" s="301" t="s">
        <v>3189</v>
      </c>
      <c r="T483" s="301" t="s">
        <v>3190</v>
      </c>
      <c r="U483" s="301" t="s">
        <v>3190</v>
      </c>
      <c r="V483" s="301" t="s">
        <v>3190</v>
      </c>
      <c r="W483" s="298" t="s">
        <v>305</v>
      </c>
      <c r="X483" s="298" t="s">
        <v>318</v>
      </c>
    </row>
    <row r="484">
      <c r="A484" s="295" t="s">
        <v>3191</v>
      </c>
      <c r="B484" s="298">
        <v>4.0</v>
      </c>
      <c r="C484" s="298" t="s">
        <v>288</v>
      </c>
      <c r="D484" s="298" t="s">
        <v>359</v>
      </c>
      <c r="E484" s="298" t="s">
        <v>311</v>
      </c>
      <c r="F484" s="298" t="str">
        <f>'Character Sheet'!$C$9</f>
        <v/>
      </c>
      <c r="G484" s="298" t="s">
        <v>294</v>
      </c>
      <c r="H484" s="298" t="s">
        <v>352</v>
      </c>
      <c r="I484" s="298" t="s">
        <v>296</v>
      </c>
      <c r="J484" s="298" t="s">
        <v>192</v>
      </c>
      <c r="K484" s="298" t="s">
        <v>1174</v>
      </c>
      <c r="L484" s="298" t="s">
        <v>493</v>
      </c>
      <c r="M484" s="301" t="s">
        <v>315</v>
      </c>
      <c r="N484" s="301" t="s">
        <v>315</v>
      </c>
      <c r="O484" s="301" t="s">
        <v>315</v>
      </c>
      <c r="P484" s="301" t="s">
        <v>3192</v>
      </c>
      <c r="Q484" s="301" t="s">
        <v>3192</v>
      </c>
      <c r="R484" s="301" t="s">
        <v>3192</v>
      </c>
      <c r="S484" s="301" t="s">
        <v>3192</v>
      </c>
      <c r="T484" s="301" t="s">
        <v>3192</v>
      </c>
      <c r="U484" s="301" t="s">
        <v>3192</v>
      </c>
      <c r="V484" s="301" t="s">
        <v>3192</v>
      </c>
      <c r="W484" s="298" t="s">
        <v>331</v>
      </c>
      <c r="X484" s="298" t="s">
        <v>678</v>
      </c>
    </row>
    <row r="485">
      <c r="A485" s="295" t="s">
        <v>3193</v>
      </c>
      <c r="B485" s="298">
        <v>4.0</v>
      </c>
      <c r="C485" s="298" t="s">
        <v>288</v>
      </c>
      <c r="D485" s="298" t="s">
        <v>462</v>
      </c>
      <c r="E485" s="298" t="s">
        <v>290</v>
      </c>
      <c r="F485" s="298" t="str">
        <f>'Character Sheet'!$C$9</f>
        <v/>
      </c>
      <c r="G485" s="298" t="s">
        <v>294</v>
      </c>
      <c r="H485" s="298" t="s">
        <v>295</v>
      </c>
      <c r="I485" s="298" t="s">
        <v>952</v>
      </c>
      <c r="J485" s="298" t="s">
        <v>315</v>
      </c>
      <c r="K485" s="298" t="s">
        <v>632</v>
      </c>
      <c r="L485" s="298" t="s">
        <v>493</v>
      </c>
      <c r="M485" s="301" t="s">
        <v>315</v>
      </c>
      <c r="N485" s="301" t="s">
        <v>315</v>
      </c>
      <c r="O485" s="301" t="s">
        <v>315</v>
      </c>
      <c r="P485" s="301" t="s">
        <v>3194</v>
      </c>
      <c r="Q485" s="301" t="s">
        <v>3194</v>
      </c>
      <c r="R485" s="301" t="s">
        <v>3194</v>
      </c>
      <c r="S485" s="301" t="s">
        <v>3194</v>
      </c>
      <c r="T485" s="301" t="s">
        <v>3195</v>
      </c>
      <c r="U485" s="301" t="s">
        <v>3195</v>
      </c>
      <c r="V485" s="301" t="s">
        <v>3195</v>
      </c>
      <c r="W485" s="298" t="s">
        <v>499</v>
      </c>
      <c r="X485" s="298" t="s">
        <v>318</v>
      </c>
    </row>
    <row r="486">
      <c r="A486" s="295" t="s">
        <v>3196</v>
      </c>
      <c r="B486" s="298">
        <v>4.0</v>
      </c>
      <c r="C486" s="298" t="s">
        <v>522</v>
      </c>
      <c r="D486" s="298" t="s">
        <v>462</v>
      </c>
      <c r="E486" s="298" t="s">
        <v>290</v>
      </c>
      <c r="F486" s="298" t="str">
        <f>'Character Sheet'!$C$9</f>
        <v/>
      </c>
      <c r="G486" s="298" t="s">
        <v>294</v>
      </c>
      <c r="H486" s="298" t="s">
        <v>324</v>
      </c>
      <c r="I486" s="298" t="s">
        <v>324</v>
      </c>
      <c r="J486" s="298" t="s">
        <v>315</v>
      </c>
      <c r="K486" s="298" t="s">
        <v>632</v>
      </c>
      <c r="L486" s="298" t="s">
        <v>493</v>
      </c>
      <c r="M486" s="301" t="s">
        <v>315</v>
      </c>
      <c r="N486" s="301" t="s">
        <v>315</v>
      </c>
      <c r="O486" s="301" t="s">
        <v>315</v>
      </c>
      <c r="P486" s="301" t="s">
        <v>3197</v>
      </c>
      <c r="Q486" s="301" t="s">
        <v>3198</v>
      </c>
      <c r="R486" s="301" t="s">
        <v>3198</v>
      </c>
      <c r="S486" s="301" t="s">
        <v>3199</v>
      </c>
      <c r="T486" s="301" t="s">
        <v>3199</v>
      </c>
      <c r="U486" s="301" t="s">
        <v>3199</v>
      </c>
      <c r="V486" s="301" t="s">
        <v>3199</v>
      </c>
      <c r="W486" s="298" t="s">
        <v>499</v>
      </c>
      <c r="X486" s="298" t="s">
        <v>2746</v>
      </c>
    </row>
    <row r="487">
      <c r="A487" s="295" t="s">
        <v>3200</v>
      </c>
      <c r="B487" s="298">
        <v>4.0</v>
      </c>
      <c r="C487" s="298" t="s">
        <v>288</v>
      </c>
      <c r="D487" s="298" t="s">
        <v>334</v>
      </c>
      <c r="E487" s="298" t="s">
        <v>290</v>
      </c>
      <c r="F487" s="298" t="str">
        <f>'Character Sheet'!$C$9</f>
        <v/>
      </c>
      <c r="G487" s="298" t="s">
        <v>294</v>
      </c>
      <c r="H487" s="298" t="s">
        <v>324</v>
      </c>
      <c r="I487" s="298" t="s">
        <v>1200</v>
      </c>
      <c r="J487" s="298" t="s">
        <v>173</v>
      </c>
      <c r="K487" s="298" t="s">
        <v>298</v>
      </c>
      <c r="L487" s="298" t="s">
        <v>493</v>
      </c>
      <c r="M487" s="301" t="s">
        <v>315</v>
      </c>
      <c r="N487" s="301" t="s">
        <v>315</v>
      </c>
      <c r="O487" s="301" t="s">
        <v>315</v>
      </c>
      <c r="P487" s="301" t="s">
        <v>3201</v>
      </c>
      <c r="Q487" s="301" t="s">
        <v>3201</v>
      </c>
      <c r="R487" s="301" t="s">
        <v>3202</v>
      </c>
      <c r="S487" s="301" t="s">
        <v>3202</v>
      </c>
      <c r="T487" s="301" t="s">
        <v>3203</v>
      </c>
      <c r="U487" s="301" t="s">
        <v>3203</v>
      </c>
      <c r="V487" s="301" t="s">
        <v>3204</v>
      </c>
      <c r="W487" s="298" t="s">
        <v>331</v>
      </c>
      <c r="X487" s="298" t="s">
        <v>678</v>
      </c>
    </row>
    <row r="488">
      <c r="A488" s="295" t="s">
        <v>3205</v>
      </c>
      <c r="B488" s="298">
        <v>4.0</v>
      </c>
      <c r="C488" s="298" t="s">
        <v>522</v>
      </c>
      <c r="D488" s="298" t="s">
        <v>310</v>
      </c>
      <c r="E488" s="298" t="s">
        <v>290</v>
      </c>
      <c r="F488" s="298" t="str">
        <f>'Character Sheet'!$C$9</f>
        <v/>
      </c>
      <c r="G488" s="298" t="s">
        <v>294</v>
      </c>
      <c r="H488" s="298" t="s">
        <v>295</v>
      </c>
      <c r="I488" s="298" t="s">
        <v>952</v>
      </c>
      <c r="J488" s="298" t="s">
        <v>315</v>
      </c>
      <c r="K488" s="298" t="s">
        <v>675</v>
      </c>
      <c r="L488" s="298" t="s">
        <v>493</v>
      </c>
      <c r="M488" s="301" t="s">
        <v>315</v>
      </c>
      <c r="N488" s="301" t="s">
        <v>315</v>
      </c>
      <c r="O488" s="301" t="s">
        <v>315</v>
      </c>
      <c r="P488" s="301" t="s">
        <v>3206</v>
      </c>
      <c r="Q488" s="301" t="s">
        <v>3206</v>
      </c>
      <c r="R488" s="301" t="s">
        <v>3207</v>
      </c>
      <c r="S488" s="301" t="s">
        <v>3207</v>
      </c>
      <c r="T488" s="301" t="s">
        <v>3208</v>
      </c>
      <c r="U488" s="301" t="s">
        <v>3208</v>
      </c>
      <c r="V488" s="301" t="s">
        <v>3209</v>
      </c>
      <c r="W488" s="298" t="s">
        <v>317</v>
      </c>
      <c r="X488" s="298" t="s">
        <v>1082</v>
      </c>
    </row>
    <row r="489">
      <c r="A489" s="295" t="s">
        <v>3210</v>
      </c>
      <c r="B489" s="298">
        <v>4.0</v>
      </c>
      <c r="C489" s="298" t="s">
        <v>522</v>
      </c>
      <c r="D489" s="298" t="s">
        <v>321</v>
      </c>
      <c r="E489" s="298" t="s">
        <v>311</v>
      </c>
      <c r="F489" s="298" t="str">
        <f>'Character Sheet'!$E$9</f>
        <v/>
      </c>
      <c r="G489" s="298" t="s">
        <v>674</v>
      </c>
      <c r="H489" s="298" t="s">
        <v>335</v>
      </c>
      <c r="I489" s="298" t="s">
        <v>435</v>
      </c>
      <c r="J489" s="298" t="s">
        <v>315</v>
      </c>
      <c r="K489" s="298" t="s">
        <v>1972</v>
      </c>
      <c r="L489" s="298" t="s">
        <v>493</v>
      </c>
      <c r="M489" s="301" t="s">
        <v>315</v>
      </c>
      <c r="N489" s="301" t="s">
        <v>315</v>
      </c>
      <c r="O489" s="301" t="s">
        <v>315</v>
      </c>
      <c r="P489" s="301" t="s">
        <v>3211</v>
      </c>
      <c r="Q489" s="301" t="s">
        <v>3211</v>
      </c>
      <c r="R489" s="301" t="s">
        <v>3211</v>
      </c>
      <c r="S489" s="301" t="s">
        <v>3211</v>
      </c>
      <c r="T489" s="301" t="s">
        <v>3211</v>
      </c>
      <c r="U489" s="301" t="s">
        <v>3211</v>
      </c>
      <c r="V489" s="301" t="s">
        <v>3211</v>
      </c>
      <c r="W489" s="298" t="s">
        <v>460</v>
      </c>
      <c r="X489" s="298" t="s">
        <v>569</v>
      </c>
    </row>
    <row r="490">
      <c r="A490" s="295" t="s">
        <v>3212</v>
      </c>
      <c r="B490" s="298">
        <v>4.0</v>
      </c>
      <c r="C490" s="298" t="s">
        <v>522</v>
      </c>
      <c r="D490" s="298" t="s">
        <v>359</v>
      </c>
      <c r="E490" s="298" t="s">
        <v>290</v>
      </c>
      <c r="F490" s="298" t="str">
        <f>'Character Sheet'!$C$9</f>
        <v/>
      </c>
      <c r="G490" s="298" t="s">
        <v>294</v>
      </c>
      <c r="H490" s="298" t="s">
        <v>335</v>
      </c>
      <c r="I490" s="298" t="s">
        <v>296</v>
      </c>
      <c r="J490" s="298" t="s">
        <v>192</v>
      </c>
      <c r="K490" s="298" t="s">
        <v>1174</v>
      </c>
      <c r="L490" s="298" t="s">
        <v>493</v>
      </c>
      <c r="M490" s="301" t="s">
        <v>315</v>
      </c>
      <c r="N490" s="301" t="s">
        <v>315</v>
      </c>
      <c r="O490" s="301" t="s">
        <v>315</v>
      </c>
      <c r="P490" s="301" t="s">
        <v>3213</v>
      </c>
      <c r="Q490" s="301" t="s">
        <v>3213</v>
      </c>
      <c r="R490" s="301" t="s">
        <v>3213</v>
      </c>
      <c r="S490" s="301" t="s">
        <v>3213</v>
      </c>
      <c r="T490" s="301" t="s">
        <v>3214</v>
      </c>
      <c r="U490" s="301" t="s">
        <v>3214</v>
      </c>
      <c r="V490" s="301" t="s">
        <v>3214</v>
      </c>
      <c r="W490" s="298" t="s">
        <v>460</v>
      </c>
      <c r="X490" s="298" t="s">
        <v>2927</v>
      </c>
    </row>
    <row r="491">
      <c r="A491" s="295" t="s">
        <v>3215</v>
      </c>
      <c r="B491" s="298">
        <v>4.0</v>
      </c>
      <c r="C491" s="298" t="s">
        <v>288</v>
      </c>
      <c r="D491" s="298" t="s">
        <v>462</v>
      </c>
      <c r="E491" s="298" t="s">
        <v>311</v>
      </c>
      <c r="F491" s="298" t="str">
        <f>'Character Sheet'!$C$9</f>
        <v/>
      </c>
      <c r="G491" s="298" t="s">
        <v>294</v>
      </c>
      <c r="H491" s="298" t="s">
        <v>324</v>
      </c>
      <c r="I491" s="298" t="s">
        <v>324</v>
      </c>
      <c r="J491" s="298" t="s">
        <v>315</v>
      </c>
      <c r="K491" s="298" t="s">
        <v>632</v>
      </c>
      <c r="L491" s="298" t="s">
        <v>493</v>
      </c>
      <c r="M491" s="301" t="s">
        <v>315</v>
      </c>
      <c r="N491" s="301" t="s">
        <v>315</v>
      </c>
      <c r="O491" s="301" t="s">
        <v>315</v>
      </c>
      <c r="P491" s="301" t="s">
        <v>3216</v>
      </c>
      <c r="Q491" s="301" t="s">
        <v>3216</v>
      </c>
      <c r="R491" s="301" t="s">
        <v>3216</v>
      </c>
      <c r="S491" s="301" t="s">
        <v>3216</v>
      </c>
      <c r="T491" s="301" t="s">
        <v>3216</v>
      </c>
      <c r="U491" s="301" t="s">
        <v>3216</v>
      </c>
      <c r="V491" s="301" t="s">
        <v>3216</v>
      </c>
      <c r="W491" s="298" t="s">
        <v>684</v>
      </c>
      <c r="X491" s="298" t="s">
        <v>318</v>
      </c>
    </row>
    <row r="492">
      <c r="A492" s="295" t="s">
        <v>3217</v>
      </c>
      <c r="B492" s="298">
        <v>4.0</v>
      </c>
      <c r="C492" s="298" t="s">
        <v>288</v>
      </c>
      <c r="D492" s="298" t="s">
        <v>289</v>
      </c>
      <c r="E492" s="298" t="s">
        <v>290</v>
      </c>
      <c r="F492" s="298" t="str">
        <f>'Character Sheet'!$C$9</f>
        <v/>
      </c>
      <c r="G492" s="298" t="s">
        <v>294</v>
      </c>
      <c r="H492" s="298" t="s">
        <v>324</v>
      </c>
      <c r="I492" s="298" t="s">
        <v>324</v>
      </c>
      <c r="J492" s="298" t="s">
        <v>315</v>
      </c>
      <c r="K492" s="298" t="s">
        <v>632</v>
      </c>
      <c r="L492" s="298" t="s">
        <v>493</v>
      </c>
      <c r="M492" s="301" t="s">
        <v>315</v>
      </c>
      <c r="N492" s="301" t="s">
        <v>315</v>
      </c>
      <c r="O492" s="301" t="s">
        <v>315</v>
      </c>
      <c r="P492" s="301" t="s">
        <v>3218</v>
      </c>
      <c r="Q492" s="301" t="s">
        <v>3218</v>
      </c>
      <c r="R492" s="301" t="s">
        <v>3219</v>
      </c>
      <c r="S492" s="301" t="s">
        <v>3219</v>
      </c>
      <c r="T492" s="301" t="s">
        <v>3220</v>
      </c>
      <c r="U492" s="301" t="s">
        <v>3220</v>
      </c>
      <c r="V492" s="301" t="s">
        <v>3221</v>
      </c>
      <c r="W492" s="298" t="s">
        <v>305</v>
      </c>
      <c r="X492" s="298" t="s">
        <v>306</v>
      </c>
    </row>
    <row r="493">
      <c r="A493" s="295" t="s">
        <v>3222</v>
      </c>
      <c r="B493" s="298">
        <v>4.0</v>
      </c>
      <c r="C493" s="298" t="s">
        <v>288</v>
      </c>
      <c r="D493" s="298" t="s">
        <v>462</v>
      </c>
      <c r="E493" s="298" t="s">
        <v>290</v>
      </c>
      <c r="F493" s="298" t="str">
        <f>'Character Sheet'!$C$9</f>
        <v/>
      </c>
      <c r="G493" s="298" t="s">
        <v>294</v>
      </c>
      <c r="H493" s="298" t="s">
        <v>335</v>
      </c>
      <c r="I493" s="298" t="s">
        <v>296</v>
      </c>
      <c r="J493" s="298" t="s">
        <v>315</v>
      </c>
      <c r="K493" s="298" t="s">
        <v>1990</v>
      </c>
      <c r="L493" s="298" t="s">
        <v>493</v>
      </c>
      <c r="M493" s="301" t="s">
        <v>315</v>
      </c>
      <c r="N493" s="301" t="s">
        <v>315</v>
      </c>
      <c r="O493" s="301" t="s">
        <v>315</v>
      </c>
      <c r="P493" s="301" t="s">
        <v>3223</v>
      </c>
      <c r="Q493" s="301" t="s">
        <v>3223</v>
      </c>
      <c r="R493" s="301" t="s">
        <v>3223</v>
      </c>
      <c r="S493" s="301" t="s">
        <v>3224</v>
      </c>
      <c r="T493" s="301" t="s">
        <v>3224</v>
      </c>
      <c r="U493" s="301" t="s">
        <v>3224</v>
      </c>
      <c r="V493" s="301" t="s">
        <v>3224</v>
      </c>
      <c r="W493" s="298" t="s">
        <v>357</v>
      </c>
      <c r="X493" s="298" t="s">
        <v>306</v>
      </c>
    </row>
    <row r="494">
      <c r="A494" s="295" t="s">
        <v>3225</v>
      </c>
      <c r="B494" s="298">
        <v>4.0</v>
      </c>
      <c r="C494" s="298" t="s">
        <v>432</v>
      </c>
      <c r="D494" s="298" t="s">
        <v>310</v>
      </c>
      <c r="E494" s="298" t="s">
        <v>290</v>
      </c>
      <c r="F494" s="298" t="str">
        <f>'Character Sheet'!$C$9</f>
        <v/>
      </c>
      <c r="G494" s="298" t="s">
        <v>294</v>
      </c>
      <c r="H494" s="298" t="s">
        <v>335</v>
      </c>
      <c r="I494" s="298" t="s">
        <v>3226</v>
      </c>
      <c r="J494" s="298" t="s">
        <v>315</v>
      </c>
      <c r="K494" s="298" t="s">
        <v>298</v>
      </c>
      <c r="L494" s="298" t="s">
        <v>493</v>
      </c>
      <c r="M494" s="301" t="s">
        <v>315</v>
      </c>
      <c r="N494" s="301" t="s">
        <v>315</v>
      </c>
      <c r="O494" s="301" t="s">
        <v>315</v>
      </c>
      <c r="P494" s="301" t="s">
        <v>3227</v>
      </c>
      <c r="Q494" s="301" t="s">
        <v>3227</v>
      </c>
      <c r="R494" s="301" t="s">
        <v>3228</v>
      </c>
      <c r="S494" s="301" t="s">
        <v>3228</v>
      </c>
      <c r="T494" s="301" t="s">
        <v>3228</v>
      </c>
      <c r="U494" s="301" t="s">
        <v>3229</v>
      </c>
      <c r="V494" s="301" t="s">
        <v>3229</v>
      </c>
      <c r="W494" s="298" t="s">
        <v>331</v>
      </c>
      <c r="X494" s="298" t="s">
        <v>799</v>
      </c>
    </row>
    <row r="495">
      <c r="A495" s="295" t="s">
        <v>3230</v>
      </c>
      <c r="B495" s="298">
        <v>4.0</v>
      </c>
      <c r="C495" s="298" t="s">
        <v>288</v>
      </c>
      <c r="D495" s="298" t="s">
        <v>421</v>
      </c>
      <c r="E495" s="298" t="s">
        <v>311</v>
      </c>
      <c r="F495" s="298" t="str">
        <f>'Character Sheet'!$C$9</f>
        <v/>
      </c>
      <c r="G495" s="298" t="s">
        <v>294</v>
      </c>
      <c r="H495" s="298" t="s">
        <v>335</v>
      </c>
      <c r="I495" s="298" t="s">
        <v>296</v>
      </c>
      <c r="J495" s="298" t="s">
        <v>315</v>
      </c>
      <c r="K495" s="298" t="s">
        <v>325</v>
      </c>
      <c r="L495" s="298" t="s">
        <v>493</v>
      </c>
      <c r="M495" s="301" t="s">
        <v>315</v>
      </c>
      <c r="N495" s="301" t="s">
        <v>315</v>
      </c>
      <c r="O495" s="301" t="s">
        <v>315</v>
      </c>
      <c r="P495" s="301" t="s">
        <v>3231</v>
      </c>
      <c r="Q495" s="301" t="s">
        <v>3231</v>
      </c>
      <c r="R495" s="301" t="s">
        <v>3231</v>
      </c>
      <c r="S495" s="301" t="s">
        <v>3231</v>
      </c>
      <c r="T495" s="301" t="s">
        <v>3231</v>
      </c>
      <c r="U495" s="301" t="s">
        <v>3231</v>
      </c>
      <c r="V495" s="301" t="s">
        <v>3231</v>
      </c>
      <c r="W495" s="298" t="s">
        <v>993</v>
      </c>
      <c r="X495" s="298" t="s">
        <v>306</v>
      </c>
    </row>
    <row r="496">
      <c r="A496" s="295" t="s">
        <v>3232</v>
      </c>
      <c r="B496" s="298">
        <v>4.0</v>
      </c>
      <c r="C496" s="298" t="s">
        <v>288</v>
      </c>
      <c r="D496" s="298" t="s">
        <v>462</v>
      </c>
      <c r="E496" s="298" t="s">
        <v>311</v>
      </c>
      <c r="F496" s="298" t="str">
        <f>'Character Sheet'!$C$9</f>
        <v/>
      </c>
      <c r="G496" s="298" t="s">
        <v>294</v>
      </c>
      <c r="H496" s="298" t="s">
        <v>335</v>
      </c>
      <c r="I496" s="298" t="s">
        <v>952</v>
      </c>
      <c r="J496" s="298" t="s">
        <v>315</v>
      </c>
      <c r="K496" s="298" t="s">
        <v>1990</v>
      </c>
      <c r="L496" s="298" t="s">
        <v>493</v>
      </c>
      <c r="M496" s="301" t="s">
        <v>315</v>
      </c>
      <c r="N496" s="301" t="s">
        <v>315</v>
      </c>
      <c r="O496" s="301" t="s">
        <v>315</v>
      </c>
      <c r="P496" s="301" t="s">
        <v>3233</v>
      </c>
      <c r="Q496" s="301" t="s">
        <v>3233</v>
      </c>
      <c r="R496" s="301" t="s">
        <v>3233</v>
      </c>
      <c r="S496" s="301" t="s">
        <v>3233</v>
      </c>
      <c r="T496" s="301" t="s">
        <v>3233</v>
      </c>
      <c r="U496" s="301" t="s">
        <v>3233</v>
      </c>
      <c r="V496" s="301" t="s">
        <v>3233</v>
      </c>
      <c r="W496" s="298" t="s">
        <v>357</v>
      </c>
      <c r="X496" s="298" t="s">
        <v>306</v>
      </c>
    </row>
    <row r="497">
      <c r="A497" s="295" t="s">
        <v>3234</v>
      </c>
      <c r="B497" s="298">
        <v>4.0</v>
      </c>
      <c r="C497" s="298" t="s">
        <v>522</v>
      </c>
      <c r="D497" s="298" t="s">
        <v>310</v>
      </c>
      <c r="E497" s="298" t="s">
        <v>311</v>
      </c>
      <c r="F497" s="298" t="s">
        <v>625</v>
      </c>
      <c r="G497" s="298" t="s">
        <v>674</v>
      </c>
      <c r="H497" s="298" t="s">
        <v>324</v>
      </c>
      <c r="I497" s="298" t="s">
        <v>783</v>
      </c>
      <c r="J497" s="298" t="s">
        <v>315</v>
      </c>
      <c r="K497" s="298" t="s">
        <v>325</v>
      </c>
      <c r="L497" s="298" t="s">
        <v>493</v>
      </c>
      <c r="M497" s="301" t="s">
        <v>315</v>
      </c>
      <c r="N497" s="301" t="s">
        <v>315</v>
      </c>
      <c r="O497" s="301" t="s">
        <v>315</v>
      </c>
      <c r="P497" s="301" t="s">
        <v>3235</v>
      </c>
      <c r="Q497" s="301" t="s">
        <v>3235</v>
      </c>
      <c r="R497" s="301" t="s">
        <v>3235</v>
      </c>
      <c r="S497" s="301" t="s">
        <v>3235</v>
      </c>
      <c r="T497" s="301" t="s">
        <v>3235</v>
      </c>
      <c r="U497" s="301" t="s">
        <v>3235</v>
      </c>
      <c r="V497" s="301" t="s">
        <v>3235</v>
      </c>
      <c r="W497" s="298" t="s">
        <v>429</v>
      </c>
      <c r="X497" s="298" t="s">
        <v>678</v>
      </c>
    </row>
    <row r="498">
      <c r="A498" s="295" t="s">
        <v>3236</v>
      </c>
      <c r="B498" s="298">
        <v>4.0</v>
      </c>
      <c r="C498" s="298" t="s">
        <v>522</v>
      </c>
      <c r="D498" s="298" t="s">
        <v>359</v>
      </c>
      <c r="E498" s="298" t="s">
        <v>290</v>
      </c>
      <c r="F498" s="298" t="str">
        <f>'Character Sheet'!$C$9</f>
        <v/>
      </c>
      <c r="G498" s="298" t="s">
        <v>477</v>
      </c>
      <c r="H498" s="298" t="s">
        <v>324</v>
      </c>
      <c r="I498" s="298" t="s">
        <v>2777</v>
      </c>
      <c r="J498" s="298" t="s">
        <v>315</v>
      </c>
      <c r="K498" s="298" t="s">
        <v>424</v>
      </c>
      <c r="L498" s="298" t="s">
        <v>493</v>
      </c>
      <c r="M498" s="301" t="s">
        <v>315</v>
      </c>
      <c r="N498" s="301" t="s">
        <v>315</v>
      </c>
      <c r="O498" s="301" t="s">
        <v>315</v>
      </c>
      <c r="P498" s="301" t="s">
        <v>3237</v>
      </c>
      <c r="Q498" s="301" t="s">
        <v>3237</v>
      </c>
      <c r="R498" s="301" t="s">
        <v>3237</v>
      </c>
      <c r="S498" s="301" t="s">
        <v>3238</v>
      </c>
      <c r="T498" s="301" t="s">
        <v>3238</v>
      </c>
      <c r="U498" s="301" t="s">
        <v>3238</v>
      </c>
      <c r="V498" s="301" t="s">
        <v>3239</v>
      </c>
      <c r="W498" s="298" t="s">
        <v>429</v>
      </c>
      <c r="X498" s="298" t="s">
        <v>1714</v>
      </c>
    </row>
    <row r="499">
      <c r="A499" s="295" t="s">
        <v>3240</v>
      </c>
      <c r="B499" s="298">
        <v>4.0</v>
      </c>
      <c r="C499" s="298" t="s">
        <v>522</v>
      </c>
      <c r="D499" s="298" t="s">
        <v>359</v>
      </c>
      <c r="E499" s="298" t="s">
        <v>311</v>
      </c>
      <c r="F499" s="298" t="str">
        <f>'Character Sheet'!$C$9</f>
        <v/>
      </c>
      <c r="G499" s="298" t="s">
        <v>294</v>
      </c>
      <c r="H499" s="298" t="s">
        <v>324</v>
      </c>
      <c r="I499" s="298" t="s">
        <v>324</v>
      </c>
      <c r="J499" s="298" t="s">
        <v>315</v>
      </c>
      <c r="K499" s="298" t="s">
        <v>325</v>
      </c>
      <c r="L499" s="298" t="s">
        <v>493</v>
      </c>
      <c r="M499" s="301" t="s">
        <v>315</v>
      </c>
      <c r="N499" s="301" t="s">
        <v>315</v>
      </c>
      <c r="O499" s="301" t="s">
        <v>315</v>
      </c>
      <c r="P499" s="301" t="s">
        <v>3241</v>
      </c>
      <c r="Q499" s="301" t="s">
        <v>3241</v>
      </c>
      <c r="R499" s="301" t="s">
        <v>3241</v>
      </c>
      <c r="S499" s="301" t="s">
        <v>3241</v>
      </c>
      <c r="T499" s="301" t="s">
        <v>3241</v>
      </c>
      <c r="U499" s="301" t="s">
        <v>3241</v>
      </c>
      <c r="V499" s="301" t="s">
        <v>3241</v>
      </c>
      <c r="W499" s="298" t="s">
        <v>536</v>
      </c>
      <c r="X499" s="298" t="s">
        <v>306</v>
      </c>
    </row>
    <row r="500">
      <c r="A500" s="295" t="s">
        <v>3242</v>
      </c>
      <c r="B500" s="298">
        <v>4.0</v>
      </c>
      <c r="C500" s="298" t="s">
        <v>522</v>
      </c>
      <c r="D500" s="298" t="s">
        <v>421</v>
      </c>
      <c r="E500" s="298" t="s">
        <v>311</v>
      </c>
      <c r="F500" s="298" t="str">
        <f>'Character Sheet'!$C$9</f>
        <v/>
      </c>
      <c r="G500" s="298" t="s">
        <v>294</v>
      </c>
      <c r="H500" s="298" t="s">
        <v>324</v>
      </c>
      <c r="I500" s="298" t="s">
        <v>1413</v>
      </c>
      <c r="J500" s="298" t="s">
        <v>315</v>
      </c>
      <c r="K500" s="298" t="s">
        <v>325</v>
      </c>
      <c r="L500" s="298" t="s">
        <v>493</v>
      </c>
      <c r="M500" s="301" t="s">
        <v>315</v>
      </c>
      <c r="N500" s="301" t="s">
        <v>315</v>
      </c>
      <c r="O500" s="301" t="s">
        <v>315</v>
      </c>
      <c r="P500" s="301" t="s">
        <v>3243</v>
      </c>
      <c r="Q500" s="301" t="s">
        <v>3243</v>
      </c>
      <c r="R500" s="301" t="s">
        <v>3243</v>
      </c>
      <c r="S500" s="301" t="s">
        <v>3243</v>
      </c>
      <c r="T500" s="301" t="s">
        <v>3243</v>
      </c>
      <c r="U500" s="301" t="s">
        <v>3243</v>
      </c>
      <c r="V500" s="301" t="s">
        <v>3243</v>
      </c>
      <c r="W500" s="298" t="s">
        <v>331</v>
      </c>
      <c r="X500" s="298" t="s">
        <v>306</v>
      </c>
    </row>
    <row r="501">
      <c r="A501" s="295" t="s">
        <v>3244</v>
      </c>
      <c r="B501" s="298">
        <v>4.0</v>
      </c>
      <c r="C501" s="298" t="s">
        <v>522</v>
      </c>
      <c r="D501" s="298" t="s">
        <v>321</v>
      </c>
      <c r="E501" s="298" t="s">
        <v>290</v>
      </c>
      <c r="F501" s="298" t="s">
        <v>999</v>
      </c>
      <c r="G501" s="298" t="s">
        <v>674</v>
      </c>
      <c r="H501" s="298" t="s">
        <v>1278</v>
      </c>
      <c r="I501" s="298" t="s">
        <v>3245</v>
      </c>
      <c r="J501" s="298" t="s">
        <v>315</v>
      </c>
      <c r="K501" s="298" t="s">
        <v>1972</v>
      </c>
      <c r="L501" s="298" t="s">
        <v>493</v>
      </c>
      <c r="M501" s="301" t="s">
        <v>315</v>
      </c>
      <c r="N501" s="301" t="s">
        <v>315</v>
      </c>
      <c r="O501" s="301" t="s">
        <v>315</v>
      </c>
      <c r="P501" s="301" t="s">
        <v>3246</v>
      </c>
      <c r="Q501" s="301" t="s">
        <v>3247</v>
      </c>
      <c r="R501" s="301" t="s">
        <v>3247</v>
      </c>
      <c r="S501" s="301" t="s">
        <v>3247</v>
      </c>
      <c r="T501" s="301" t="s">
        <v>3247</v>
      </c>
      <c r="U501" s="301" t="s">
        <v>3247</v>
      </c>
      <c r="V501" s="301" t="s">
        <v>3247</v>
      </c>
      <c r="W501" s="298" t="s">
        <v>357</v>
      </c>
      <c r="X501" s="298" t="s">
        <v>306</v>
      </c>
    </row>
    <row r="502">
      <c r="A502" s="295" t="s">
        <v>3248</v>
      </c>
      <c r="B502" s="298">
        <v>4.0</v>
      </c>
      <c r="C502" s="298" t="s">
        <v>288</v>
      </c>
      <c r="D502" s="298" t="s">
        <v>289</v>
      </c>
      <c r="E502" s="298" t="s">
        <v>290</v>
      </c>
      <c r="F502" s="298" t="str">
        <f>'Character Sheet'!$C$9</f>
        <v/>
      </c>
      <c r="G502" s="298" t="s">
        <v>294</v>
      </c>
      <c r="H502" s="298" t="s">
        <v>1278</v>
      </c>
      <c r="I502" s="298" t="s">
        <v>1000</v>
      </c>
      <c r="J502" s="298" t="s">
        <v>407</v>
      </c>
      <c r="K502" s="298" t="s">
        <v>298</v>
      </c>
      <c r="L502" s="298" t="s">
        <v>493</v>
      </c>
      <c r="M502" s="301" t="s">
        <v>315</v>
      </c>
      <c r="N502" s="301" t="s">
        <v>315</v>
      </c>
      <c r="O502" s="301" t="s">
        <v>315</v>
      </c>
      <c r="P502" s="301" t="s">
        <v>3249</v>
      </c>
      <c r="Q502" s="301" t="s">
        <v>3250</v>
      </c>
      <c r="R502" s="301" t="s">
        <v>3251</v>
      </c>
      <c r="S502" s="301" t="s">
        <v>3252</v>
      </c>
      <c r="T502" s="301" t="s">
        <v>3253</v>
      </c>
      <c r="U502" s="301" t="s">
        <v>3254</v>
      </c>
      <c r="V502" s="301" t="s">
        <v>3255</v>
      </c>
      <c r="W502" s="298" t="s">
        <v>404</v>
      </c>
      <c r="X502" s="298" t="s">
        <v>306</v>
      </c>
    </row>
    <row r="503">
      <c r="A503" s="295" t="s">
        <v>3256</v>
      </c>
      <c r="B503" s="298">
        <v>4.0</v>
      </c>
      <c r="C503" s="298" t="s">
        <v>288</v>
      </c>
      <c r="D503" s="298" t="s">
        <v>289</v>
      </c>
      <c r="E503" s="298" t="s">
        <v>290</v>
      </c>
      <c r="F503" s="298" t="str">
        <f>'Character Sheet'!$C$9</f>
        <v/>
      </c>
      <c r="G503" s="298" t="s">
        <v>294</v>
      </c>
      <c r="H503" s="298" t="s">
        <v>324</v>
      </c>
      <c r="I503" s="298" t="s">
        <v>1225</v>
      </c>
      <c r="J503" s="298" t="s">
        <v>336</v>
      </c>
      <c r="K503" s="298" t="s">
        <v>298</v>
      </c>
      <c r="L503" s="298" t="s">
        <v>493</v>
      </c>
      <c r="M503" s="301" t="s">
        <v>315</v>
      </c>
      <c r="N503" s="301" t="s">
        <v>315</v>
      </c>
      <c r="O503" s="301" t="s">
        <v>315</v>
      </c>
      <c r="P503" s="301" t="s">
        <v>3257</v>
      </c>
      <c r="Q503" s="301" t="s">
        <v>3258</v>
      </c>
      <c r="R503" s="301" t="s">
        <v>3259</v>
      </c>
      <c r="S503" s="301" t="s">
        <v>3260</v>
      </c>
      <c r="T503" s="301" t="s">
        <v>3261</v>
      </c>
      <c r="U503" s="301" t="s">
        <v>3262</v>
      </c>
      <c r="V503" s="301" t="s">
        <v>3263</v>
      </c>
      <c r="W503" s="298" t="s">
        <v>499</v>
      </c>
      <c r="X503" s="298" t="s">
        <v>306</v>
      </c>
    </row>
    <row r="504">
      <c r="A504" s="295" t="s">
        <v>3264</v>
      </c>
      <c r="B504" s="298">
        <v>4.0</v>
      </c>
      <c r="C504" s="298" t="s">
        <v>288</v>
      </c>
      <c r="D504" s="298" t="s">
        <v>289</v>
      </c>
      <c r="E504" s="298" t="s">
        <v>290</v>
      </c>
      <c r="F504" s="298" t="str">
        <f>'Character Sheet'!$E$9</f>
        <v/>
      </c>
      <c r="G504" s="298" t="s">
        <v>674</v>
      </c>
      <c r="H504" s="298" t="s">
        <v>352</v>
      </c>
      <c r="I504" s="298" t="s">
        <v>1000</v>
      </c>
      <c r="J504" s="298" t="s">
        <v>407</v>
      </c>
      <c r="K504" s="298" t="s">
        <v>424</v>
      </c>
      <c r="L504" s="298" t="s">
        <v>493</v>
      </c>
      <c r="M504" s="301" t="s">
        <v>315</v>
      </c>
      <c r="N504" s="301" t="s">
        <v>315</v>
      </c>
      <c r="O504" s="301" t="s">
        <v>315</v>
      </c>
      <c r="P504" s="301" t="s">
        <v>3265</v>
      </c>
      <c r="Q504" s="301" t="s">
        <v>3265</v>
      </c>
      <c r="R504" s="301" t="s">
        <v>3266</v>
      </c>
      <c r="S504" s="301" t="s">
        <v>3266</v>
      </c>
      <c r="T504" s="301" t="s">
        <v>3267</v>
      </c>
      <c r="U504" s="301" t="s">
        <v>3267</v>
      </c>
      <c r="V504" s="301" t="s">
        <v>3268</v>
      </c>
      <c r="W504" s="298" t="s">
        <v>305</v>
      </c>
      <c r="X504" s="298" t="s">
        <v>678</v>
      </c>
    </row>
    <row r="505">
      <c r="A505" s="295" t="s">
        <v>3269</v>
      </c>
      <c r="B505" s="298">
        <v>4.0</v>
      </c>
      <c r="C505" s="298" t="s">
        <v>288</v>
      </c>
      <c r="D505" s="298" t="s">
        <v>359</v>
      </c>
      <c r="E505" s="298" t="s">
        <v>290</v>
      </c>
      <c r="F505" s="298" t="str">
        <f>'Character Sheet'!$C$9</f>
        <v/>
      </c>
      <c r="G505" s="298" t="s">
        <v>294</v>
      </c>
      <c r="H505" s="298" t="s">
        <v>295</v>
      </c>
      <c r="I505" s="298" t="s">
        <v>3270</v>
      </c>
      <c r="J505" s="298" t="s">
        <v>192</v>
      </c>
      <c r="K505" s="298" t="s">
        <v>632</v>
      </c>
      <c r="L505" s="298" t="s">
        <v>493</v>
      </c>
      <c r="M505" s="301" t="s">
        <v>315</v>
      </c>
      <c r="N505" s="301" t="s">
        <v>315</v>
      </c>
      <c r="O505" s="301" t="s">
        <v>315</v>
      </c>
      <c r="P505" s="301" t="s">
        <v>3271</v>
      </c>
      <c r="Q505" s="301" t="s">
        <v>3271</v>
      </c>
      <c r="R505" s="301" t="s">
        <v>3272</v>
      </c>
      <c r="S505" s="301" t="s">
        <v>3272</v>
      </c>
      <c r="T505" s="301" t="s">
        <v>3273</v>
      </c>
      <c r="U505" s="301" t="s">
        <v>3273</v>
      </c>
      <c r="V505" s="301" t="s">
        <v>3274</v>
      </c>
      <c r="W505" s="298" t="s">
        <v>429</v>
      </c>
      <c r="X505" s="298" t="s">
        <v>569</v>
      </c>
    </row>
    <row r="506">
      <c r="A506" s="295" t="s">
        <v>3275</v>
      </c>
      <c r="B506" s="298">
        <v>4.0</v>
      </c>
      <c r="C506" s="298" t="s">
        <v>288</v>
      </c>
      <c r="D506" s="298" t="s">
        <v>359</v>
      </c>
      <c r="E506" s="298" t="s">
        <v>311</v>
      </c>
      <c r="F506" s="298" t="str">
        <f>'Character Sheet'!$C$9</f>
        <v/>
      </c>
      <c r="G506" s="298" t="s">
        <v>294</v>
      </c>
      <c r="H506" s="298" t="s">
        <v>324</v>
      </c>
      <c r="I506" s="298" t="s">
        <v>2763</v>
      </c>
      <c r="J506" s="298" t="s">
        <v>192</v>
      </c>
      <c r="K506" s="298" t="s">
        <v>1174</v>
      </c>
      <c r="L506" s="298" t="s">
        <v>493</v>
      </c>
      <c r="M506" s="301" t="s">
        <v>315</v>
      </c>
      <c r="N506" s="301" t="s">
        <v>315</v>
      </c>
      <c r="O506" s="301" t="s">
        <v>315</v>
      </c>
      <c r="P506" s="301" t="s">
        <v>3276</v>
      </c>
      <c r="Q506" s="301" t="s">
        <v>3276</v>
      </c>
      <c r="R506" s="301" t="s">
        <v>3276</v>
      </c>
      <c r="S506" s="301" t="s">
        <v>3276</v>
      </c>
      <c r="T506" s="301" t="s">
        <v>3276</v>
      </c>
      <c r="U506" s="301" t="s">
        <v>3276</v>
      </c>
      <c r="V506" s="301" t="s">
        <v>3276</v>
      </c>
      <c r="W506" s="298" t="s">
        <v>536</v>
      </c>
      <c r="X506" s="298" t="s">
        <v>318</v>
      </c>
    </row>
    <row r="507">
      <c r="A507" s="295" t="s">
        <v>3277</v>
      </c>
      <c r="B507" s="298">
        <v>4.0</v>
      </c>
      <c r="C507" s="298" t="s">
        <v>432</v>
      </c>
      <c r="D507" s="298" t="s">
        <v>334</v>
      </c>
      <c r="E507" s="298" t="s">
        <v>311</v>
      </c>
      <c r="F507" s="298" t="str">
        <f>'Character Sheet'!$C$9</f>
        <v/>
      </c>
      <c r="G507" s="298" t="s">
        <v>294</v>
      </c>
      <c r="H507" s="298" t="s">
        <v>335</v>
      </c>
      <c r="I507" s="298" t="s">
        <v>296</v>
      </c>
      <c r="J507" s="298" t="s">
        <v>173</v>
      </c>
      <c r="K507" s="298" t="s">
        <v>298</v>
      </c>
      <c r="L507" s="298" t="s">
        <v>493</v>
      </c>
      <c r="M507" s="301" t="s">
        <v>315</v>
      </c>
      <c r="N507" s="301" t="s">
        <v>315</v>
      </c>
      <c r="O507" s="301" t="s">
        <v>315</v>
      </c>
      <c r="P507" s="301" t="s">
        <v>3278</v>
      </c>
      <c r="Q507" s="301" t="s">
        <v>3278</v>
      </c>
      <c r="R507" s="301" t="s">
        <v>3278</v>
      </c>
      <c r="S507" s="301" t="s">
        <v>3278</v>
      </c>
      <c r="T507" s="301" t="s">
        <v>3278</v>
      </c>
      <c r="U507" s="301" t="s">
        <v>3278</v>
      </c>
      <c r="V507" s="301" t="s">
        <v>3278</v>
      </c>
      <c r="W507" s="298" t="s">
        <v>429</v>
      </c>
      <c r="X507" s="298" t="s">
        <v>3279</v>
      </c>
    </row>
    <row r="508">
      <c r="A508" s="295" t="s">
        <v>3280</v>
      </c>
      <c r="B508" s="298">
        <v>4.0</v>
      </c>
      <c r="C508" s="298" t="s">
        <v>288</v>
      </c>
      <c r="D508" s="298" t="s">
        <v>321</v>
      </c>
      <c r="E508" s="298" t="s">
        <v>290</v>
      </c>
      <c r="F508" s="298" t="str">
        <f>'Character Sheet'!$E$9</f>
        <v/>
      </c>
      <c r="G508" s="298" t="s">
        <v>674</v>
      </c>
      <c r="H508" s="298" t="s">
        <v>352</v>
      </c>
      <c r="I508" s="298" t="s">
        <v>315</v>
      </c>
      <c r="J508" s="298" t="s">
        <v>315</v>
      </c>
      <c r="K508" s="298" t="s">
        <v>1753</v>
      </c>
      <c r="L508" s="298" t="s">
        <v>493</v>
      </c>
      <c r="M508" s="301" t="s">
        <v>315</v>
      </c>
      <c r="N508" s="301" t="s">
        <v>315</v>
      </c>
      <c r="O508" s="301" t="s">
        <v>315</v>
      </c>
      <c r="P508" s="301" t="s">
        <v>3281</v>
      </c>
      <c r="Q508" s="301" t="s">
        <v>3281</v>
      </c>
      <c r="R508" s="301" t="s">
        <v>3281</v>
      </c>
      <c r="S508" s="301" t="s">
        <v>3282</v>
      </c>
      <c r="T508" s="301" t="s">
        <v>3282</v>
      </c>
      <c r="U508" s="301" t="s">
        <v>3282</v>
      </c>
      <c r="V508" s="301" t="s">
        <v>3282</v>
      </c>
      <c r="W508" s="298" t="s">
        <v>460</v>
      </c>
      <c r="X508" s="298" t="s">
        <v>318</v>
      </c>
    </row>
    <row r="509">
      <c r="A509" s="295" t="s">
        <v>3283</v>
      </c>
      <c r="B509" s="298">
        <v>4.0</v>
      </c>
      <c r="C509" s="298" t="s">
        <v>522</v>
      </c>
      <c r="D509" s="298" t="s">
        <v>151</v>
      </c>
      <c r="E509" s="298" t="s">
        <v>311</v>
      </c>
      <c r="F509" s="298" t="s">
        <v>675</v>
      </c>
      <c r="G509" s="298" t="s">
        <v>674</v>
      </c>
      <c r="H509" s="298" t="s">
        <v>335</v>
      </c>
      <c r="I509" s="298" t="s">
        <v>3284</v>
      </c>
      <c r="J509" s="298" t="s">
        <v>315</v>
      </c>
      <c r="K509" s="298" t="s">
        <v>1972</v>
      </c>
      <c r="L509" s="298" t="s">
        <v>493</v>
      </c>
      <c r="M509" s="301" t="s">
        <v>315</v>
      </c>
      <c r="N509" s="301" t="s">
        <v>315</v>
      </c>
      <c r="O509" s="301" t="s">
        <v>315</v>
      </c>
      <c r="P509" s="301" t="s">
        <v>3285</v>
      </c>
      <c r="Q509" s="301" t="s">
        <v>3285</v>
      </c>
      <c r="R509" s="301" t="s">
        <v>3285</v>
      </c>
      <c r="S509" s="301" t="s">
        <v>3285</v>
      </c>
      <c r="T509" s="301" t="s">
        <v>3285</v>
      </c>
      <c r="U509" s="301" t="s">
        <v>3285</v>
      </c>
      <c r="V509" s="301" t="s">
        <v>3285</v>
      </c>
      <c r="W509" s="298" t="s">
        <v>331</v>
      </c>
      <c r="X509" s="298" t="s">
        <v>318</v>
      </c>
    </row>
    <row r="510">
      <c r="A510" s="295" t="s">
        <v>3286</v>
      </c>
      <c r="B510" s="298">
        <v>4.0</v>
      </c>
      <c r="C510" s="298" t="s">
        <v>288</v>
      </c>
      <c r="D510" s="298" t="s">
        <v>321</v>
      </c>
      <c r="E510" s="298" t="s">
        <v>311</v>
      </c>
      <c r="F510" s="298" t="str">
        <f>'Character Sheet'!$C$9</f>
        <v/>
      </c>
      <c r="G510" s="298" t="s">
        <v>294</v>
      </c>
      <c r="H510" s="298" t="s">
        <v>324</v>
      </c>
      <c r="I510" s="298" t="s">
        <v>324</v>
      </c>
      <c r="J510" s="298" t="s">
        <v>315</v>
      </c>
      <c r="K510" s="298" t="s">
        <v>632</v>
      </c>
      <c r="L510" s="298" t="s">
        <v>493</v>
      </c>
      <c r="M510" s="301" t="s">
        <v>315</v>
      </c>
      <c r="N510" s="301" t="s">
        <v>315</v>
      </c>
      <c r="O510" s="301" t="s">
        <v>315</v>
      </c>
      <c r="P510" s="301" t="s">
        <v>3287</v>
      </c>
      <c r="Q510" s="301" t="s">
        <v>3287</v>
      </c>
      <c r="R510" s="301" t="s">
        <v>3287</v>
      </c>
      <c r="S510" s="301" t="s">
        <v>3287</v>
      </c>
      <c r="T510" s="301" t="s">
        <v>3287</v>
      </c>
      <c r="U510" s="301" t="s">
        <v>3287</v>
      </c>
      <c r="V510" s="301" t="s">
        <v>3287</v>
      </c>
      <c r="W510" s="298" t="s">
        <v>460</v>
      </c>
      <c r="X510" s="298" t="s">
        <v>318</v>
      </c>
    </row>
    <row r="511">
      <c r="A511" s="295" t="s">
        <v>3288</v>
      </c>
      <c r="B511" s="298">
        <v>4.0</v>
      </c>
      <c r="C511" s="298" t="s">
        <v>522</v>
      </c>
      <c r="D511" s="298" t="s">
        <v>310</v>
      </c>
      <c r="E511" s="298" t="s">
        <v>290</v>
      </c>
      <c r="F511" s="298" t="str">
        <f>'Character Sheet'!$C$9</f>
        <v/>
      </c>
      <c r="G511" s="298" t="s">
        <v>294</v>
      </c>
      <c r="H511" s="298" t="s">
        <v>295</v>
      </c>
      <c r="I511" s="298" t="s">
        <v>296</v>
      </c>
      <c r="J511" s="298" t="s">
        <v>192</v>
      </c>
      <c r="K511" s="298" t="s">
        <v>1283</v>
      </c>
      <c r="L511" s="298" t="s">
        <v>493</v>
      </c>
      <c r="M511" s="301" t="s">
        <v>315</v>
      </c>
      <c r="N511" s="301" t="s">
        <v>315</v>
      </c>
      <c r="O511" s="301" t="s">
        <v>315</v>
      </c>
      <c r="P511" s="301" t="s">
        <v>3289</v>
      </c>
      <c r="Q511" s="301" t="s">
        <v>3289</v>
      </c>
      <c r="R511" s="301" t="s">
        <v>3290</v>
      </c>
      <c r="S511" s="301" t="s">
        <v>3290</v>
      </c>
      <c r="T511" s="301" t="s">
        <v>3290</v>
      </c>
      <c r="U511" s="301" t="s">
        <v>3290</v>
      </c>
      <c r="V511" s="301" t="s">
        <v>3290</v>
      </c>
      <c r="W511" s="298" t="s">
        <v>536</v>
      </c>
      <c r="X511" s="298" t="s">
        <v>306</v>
      </c>
    </row>
    <row r="512">
      <c r="A512" s="295" t="s">
        <v>3291</v>
      </c>
      <c r="B512" s="298">
        <v>4.0</v>
      </c>
      <c r="C512" s="298" t="s">
        <v>288</v>
      </c>
      <c r="D512" s="298" t="s">
        <v>462</v>
      </c>
      <c r="E512" s="298" t="s">
        <v>311</v>
      </c>
      <c r="F512" s="298" t="str">
        <f>'Character Sheet'!$C$9</f>
        <v/>
      </c>
      <c r="G512" s="298" t="s">
        <v>294</v>
      </c>
      <c r="H512" s="298" t="s">
        <v>324</v>
      </c>
      <c r="I512" s="298" t="s">
        <v>2304</v>
      </c>
      <c r="J512" s="298" t="s">
        <v>173</v>
      </c>
      <c r="K512" s="298" t="s">
        <v>424</v>
      </c>
      <c r="L512" s="298" t="s">
        <v>493</v>
      </c>
      <c r="M512" s="301" t="s">
        <v>315</v>
      </c>
      <c r="N512" s="301" t="s">
        <v>315</v>
      </c>
      <c r="O512" s="301" t="s">
        <v>315</v>
      </c>
      <c r="P512" s="301" t="s">
        <v>3292</v>
      </c>
      <c r="Q512" s="301" t="s">
        <v>3292</v>
      </c>
      <c r="R512" s="301" t="s">
        <v>3292</v>
      </c>
      <c r="S512" s="301" t="s">
        <v>3292</v>
      </c>
      <c r="T512" s="301" t="s">
        <v>3292</v>
      </c>
      <c r="U512" s="301" t="s">
        <v>3292</v>
      </c>
      <c r="V512" s="301" t="s">
        <v>3292</v>
      </c>
      <c r="W512" s="298" t="s">
        <v>460</v>
      </c>
      <c r="X512" s="298" t="s">
        <v>569</v>
      </c>
    </row>
    <row r="513">
      <c r="A513" s="295" t="s">
        <v>3293</v>
      </c>
      <c r="B513" s="298">
        <v>4.0</v>
      </c>
      <c r="C513" s="298" t="s">
        <v>522</v>
      </c>
      <c r="D513" s="298" t="s">
        <v>359</v>
      </c>
      <c r="E513" s="298" t="s">
        <v>290</v>
      </c>
      <c r="F513" s="298" t="str">
        <f>'Character Sheet'!$C$9</f>
        <v/>
      </c>
      <c r="G513" s="298" t="s">
        <v>294</v>
      </c>
      <c r="H513" s="298" t="s">
        <v>335</v>
      </c>
      <c r="I513" s="298" t="s">
        <v>2165</v>
      </c>
      <c r="J513" s="298" t="s">
        <v>315</v>
      </c>
      <c r="K513" s="298" t="s">
        <v>1972</v>
      </c>
      <c r="L513" s="298" t="s">
        <v>493</v>
      </c>
      <c r="M513" s="301" t="s">
        <v>315</v>
      </c>
      <c r="N513" s="301" t="s">
        <v>315</v>
      </c>
      <c r="O513" s="301" t="s">
        <v>315</v>
      </c>
      <c r="P513" s="301" t="s">
        <v>3294</v>
      </c>
      <c r="Q513" s="301" t="s">
        <v>3294</v>
      </c>
      <c r="R513" s="301" t="s">
        <v>3294</v>
      </c>
      <c r="S513" s="301" t="s">
        <v>3294</v>
      </c>
      <c r="T513" s="301" t="s">
        <v>3295</v>
      </c>
      <c r="U513" s="301" t="s">
        <v>3295</v>
      </c>
      <c r="V513" s="301" t="s">
        <v>3295</v>
      </c>
      <c r="W513" s="298" t="s">
        <v>389</v>
      </c>
      <c r="X513" s="298" t="s">
        <v>3296</v>
      </c>
    </row>
    <row r="514">
      <c r="A514" s="295" t="s">
        <v>3297</v>
      </c>
      <c r="B514" s="298">
        <v>4.0</v>
      </c>
      <c r="C514" s="298" t="s">
        <v>288</v>
      </c>
      <c r="D514" s="298" t="s">
        <v>151</v>
      </c>
      <c r="E514" s="298" t="s">
        <v>290</v>
      </c>
      <c r="F514" s="298" t="str">
        <f>'Character Sheet'!$C$9</f>
        <v/>
      </c>
      <c r="G514" s="298" t="s">
        <v>294</v>
      </c>
      <c r="H514" s="298" t="s">
        <v>360</v>
      </c>
      <c r="I514" s="298" t="s">
        <v>296</v>
      </c>
      <c r="J514" s="298" t="s">
        <v>203</v>
      </c>
      <c r="K514" s="298" t="s">
        <v>632</v>
      </c>
      <c r="L514" s="298" t="s">
        <v>493</v>
      </c>
      <c r="M514" s="301" t="s">
        <v>315</v>
      </c>
      <c r="N514" s="301" t="s">
        <v>315</v>
      </c>
      <c r="O514" s="301" t="s">
        <v>315</v>
      </c>
      <c r="P514" s="301" t="s">
        <v>3298</v>
      </c>
      <c r="Q514" s="301" t="s">
        <v>3298</v>
      </c>
      <c r="R514" s="301" t="s">
        <v>3299</v>
      </c>
      <c r="S514" s="301" t="s">
        <v>3299</v>
      </c>
      <c r="T514" s="301" t="s">
        <v>3300</v>
      </c>
      <c r="U514" s="301" t="s">
        <v>3300</v>
      </c>
      <c r="V514" s="301" t="s">
        <v>3301</v>
      </c>
      <c r="W514" s="298" t="s">
        <v>499</v>
      </c>
      <c r="X514" s="298" t="s">
        <v>318</v>
      </c>
    </row>
    <row r="515">
      <c r="A515" s="295" t="s">
        <v>3302</v>
      </c>
      <c r="B515" s="298">
        <v>4.0</v>
      </c>
      <c r="C515" s="298" t="s">
        <v>522</v>
      </c>
      <c r="D515" s="298" t="s">
        <v>334</v>
      </c>
      <c r="E515" s="298" t="s">
        <v>290</v>
      </c>
      <c r="F515" s="298" t="str">
        <f>'Character Sheet'!$C$9</f>
        <v/>
      </c>
      <c r="G515" s="298" t="s">
        <v>2188</v>
      </c>
      <c r="H515" s="298" t="s">
        <v>335</v>
      </c>
      <c r="I515" s="298" t="s">
        <v>3303</v>
      </c>
      <c r="J515" s="298" t="s">
        <v>315</v>
      </c>
      <c r="K515" s="298" t="s">
        <v>1489</v>
      </c>
      <c r="L515" s="298" t="s">
        <v>493</v>
      </c>
      <c r="M515" s="301" t="s">
        <v>315</v>
      </c>
      <c r="N515" s="301" t="s">
        <v>315</v>
      </c>
      <c r="O515" s="301" t="s">
        <v>315</v>
      </c>
      <c r="P515" s="301" t="s">
        <v>3304</v>
      </c>
      <c r="Q515" s="301" t="s">
        <v>3304</v>
      </c>
      <c r="R515" s="301" t="s">
        <v>3305</v>
      </c>
      <c r="S515" s="301" t="s">
        <v>3305</v>
      </c>
      <c r="T515" s="301" t="s">
        <v>3306</v>
      </c>
      <c r="U515" s="301" t="s">
        <v>3306</v>
      </c>
      <c r="V515" s="301" t="s">
        <v>3307</v>
      </c>
      <c r="W515" s="298" t="s">
        <v>331</v>
      </c>
      <c r="X515" s="298" t="s">
        <v>3308</v>
      </c>
    </row>
    <row r="516">
      <c r="A516" s="295" t="s">
        <v>3309</v>
      </c>
      <c r="B516" s="298">
        <v>4.0</v>
      </c>
      <c r="C516" s="298" t="s">
        <v>288</v>
      </c>
      <c r="D516" s="298" t="s">
        <v>321</v>
      </c>
      <c r="E516" s="298" t="s">
        <v>311</v>
      </c>
      <c r="F516" s="298" t="s">
        <v>999</v>
      </c>
      <c r="G516" s="298" t="s">
        <v>674</v>
      </c>
      <c r="H516" s="298" t="s">
        <v>2115</v>
      </c>
      <c r="I516" s="298" t="s">
        <v>296</v>
      </c>
      <c r="J516" s="298" t="s">
        <v>192</v>
      </c>
      <c r="K516" s="298" t="s">
        <v>545</v>
      </c>
      <c r="L516" s="298" t="s">
        <v>493</v>
      </c>
      <c r="M516" s="301" t="s">
        <v>315</v>
      </c>
      <c r="N516" s="301" t="s">
        <v>315</v>
      </c>
      <c r="O516" s="301" t="s">
        <v>315</v>
      </c>
      <c r="P516" s="301" t="s">
        <v>3310</v>
      </c>
      <c r="Q516" s="301" t="s">
        <v>3310</v>
      </c>
      <c r="R516" s="301" t="s">
        <v>3310</v>
      </c>
      <c r="S516" s="301" t="s">
        <v>3310</v>
      </c>
      <c r="T516" s="301" t="s">
        <v>3310</v>
      </c>
      <c r="U516" s="301" t="s">
        <v>3310</v>
      </c>
      <c r="V516" s="301" t="s">
        <v>3310</v>
      </c>
      <c r="W516" s="298" t="s">
        <v>460</v>
      </c>
      <c r="X516" s="298" t="s">
        <v>306</v>
      </c>
    </row>
    <row r="517">
      <c r="A517" s="295" t="s">
        <v>3311</v>
      </c>
      <c r="B517" s="298">
        <v>4.0</v>
      </c>
      <c r="C517" s="298" t="s">
        <v>288</v>
      </c>
      <c r="D517" s="298" t="s">
        <v>321</v>
      </c>
      <c r="E517" s="298" t="s">
        <v>311</v>
      </c>
      <c r="F517" s="298" t="s">
        <v>999</v>
      </c>
      <c r="G517" s="298" t="s">
        <v>674</v>
      </c>
      <c r="H517" s="298" t="s">
        <v>324</v>
      </c>
      <c r="I517" s="298" t="s">
        <v>324</v>
      </c>
      <c r="J517" s="298" t="s">
        <v>173</v>
      </c>
      <c r="K517" s="298" t="s">
        <v>1489</v>
      </c>
      <c r="L517" s="298" t="s">
        <v>493</v>
      </c>
      <c r="M517" s="301" t="s">
        <v>315</v>
      </c>
      <c r="N517" s="301" t="s">
        <v>315</v>
      </c>
      <c r="O517" s="301" t="s">
        <v>315</v>
      </c>
      <c r="P517" s="301" t="s">
        <v>3312</v>
      </c>
      <c r="Q517" s="301" t="s">
        <v>3312</v>
      </c>
      <c r="R517" s="301" t="s">
        <v>3312</v>
      </c>
      <c r="S517" s="301" t="s">
        <v>3312</v>
      </c>
      <c r="T517" s="301" t="s">
        <v>3312</v>
      </c>
      <c r="U517" s="301" t="s">
        <v>3312</v>
      </c>
      <c r="V517" s="301" t="s">
        <v>3312</v>
      </c>
      <c r="W517" s="298" t="s">
        <v>357</v>
      </c>
      <c r="X517" s="298" t="s">
        <v>318</v>
      </c>
    </row>
    <row r="518">
      <c r="A518" s="295" t="s">
        <v>3313</v>
      </c>
      <c r="B518" s="298">
        <v>4.0</v>
      </c>
      <c r="C518" s="298" t="s">
        <v>288</v>
      </c>
      <c r="D518" s="298" t="s">
        <v>359</v>
      </c>
      <c r="E518" s="298" t="s">
        <v>311</v>
      </c>
      <c r="F518" s="298" t="str">
        <f>'Character Sheet'!$C$9</f>
        <v/>
      </c>
      <c r="G518" s="298" t="s">
        <v>294</v>
      </c>
      <c r="H518" s="298" t="s">
        <v>335</v>
      </c>
      <c r="I518" s="298" t="s">
        <v>296</v>
      </c>
      <c r="J518" s="298" t="s">
        <v>192</v>
      </c>
      <c r="K518" s="298" t="s">
        <v>1174</v>
      </c>
      <c r="L518" s="298" t="s">
        <v>493</v>
      </c>
      <c r="M518" s="301" t="s">
        <v>315</v>
      </c>
      <c r="N518" s="301" t="s">
        <v>315</v>
      </c>
      <c r="O518" s="301" t="s">
        <v>315</v>
      </c>
      <c r="P518" s="301" t="s">
        <v>3314</v>
      </c>
      <c r="Q518" s="301" t="s">
        <v>3314</v>
      </c>
      <c r="R518" s="301" t="s">
        <v>3314</v>
      </c>
      <c r="S518" s="301" t="s">
        <v>3314</v>
      </c>
      <c r="T518" s="301" t="s">
        <v>3314</v>
      </c>
      <c r="U518" s="301" t="s">
        <v>3314</v>
      </c>
      <c r="V518" s="301" t="s">
        <v>3314</v>
      </c>
      <c r="W518" s="298" t="s">
        <v>331</v>
      </c>
      <c r="X518" s="298" t="s">
        <v>306</v>
      </c>
    </row>
    <row r="519">
      <c r="A519" s="295" t="s">
        <v>3315</v>
      </c>
      <c r="B519" s="298">
        <v>4.0</v>
      </c>
      <c r="C519" s="298" t="s">
        <v>288</v>
      </c>
      <c r="D519" s="298" t="s">
        <v>289</v>
      </c>
      <c r="E519" s="298" t="s">
        <v>290</v>
      </c>
      <c r="F519" s="298" t="str">
        <f>'Character Sheet'!$C$9</f>
        <v/>
      </c>
      <c r="G519" s="298" t="s">
        <v>294</v>
      </c>
      <c r="H519" s="298" t="s">
        <v>708</v>
      </c>
      <c r="I519" s="298" t="s">
        <v>2038</v>
      </c>
      <c r="J519" s="298" t="s">
        <v>173</v>
      </c>
      <c r="K519" s="298" t="s">
        <v>298</v>
      </c>
      <c r="L519" s="298" t="s">
        <v>493</v>
      </c>
      <c r="M519" s="301" t="s">
        <v>315</v>
      </c>
      <c r="N519" s="301" t="s">
        <v>315</v>
      </c>
      <c r="O519" s="301" t="s">
        <v>315</v>
      </c>
      <c r="P519" s="301" t="s">
        <v>3316</v>
      </c>
      <c r="Q519" s="301" t="s">
        <v>3317</v>
      </c>
      <c r="R519" s="301" t="s">
        <v>3318</v>
      </c>
      <c r="S519" s="301" t="s">
        <v>3319</v>
      </c>
      <c r="T519" s="301" t="s">
        <v>3320</v>
      </c>
      <c r="U519" s="301" t="s">
        <v>3320</v>
      </c>
      <c r="V519" s="301" t="s">
        <v>3321</v>
      </c>
      <c r="W519" s="298" t="s">
        <v>429</v>
      </c>
      <c r="X519" s="298" t="s">
        <v>318</v>
      </c>
    </row>
    <row r="520">
      <c r="A520" s="295" t="s">
        <v>3322</v>
      </c>
      <c r="B520" s="298">
        <v>4.0</v>
      </c>
      <c r="C520" s="298" t="s">
        <v>288</v>
      </c>
      <c r="D520" s="298" t="s">
        <v>334</v>
      </c>
      <c r="E520" s="298" t="s">
        <v>290</v>
      </c>
      <c r="F520" s="298" t="str">
        <f>'Character Sheet'!$C$9</f>
        <v/>
      </c>
      <c r="G520" s="298" t="s">
        <v>294</v>
      </c>
      <c r="H520" s="298" t="s">
        <v>360</v>
      </c>
      <c r="I520" s="298" t="s">
        <v>1413</v>
      </c>
      <c r="J520" s="298" t="s">
        <v>315</v>
      </c>
      <c r="K520" s="298" t="s">
        <v>424</v>
      </c>
      <c r="L520" s="298" t="s">
        <v>493</v>
      </c>
      <c r="M520" s="301" t="s">
        <v>315</v>
      </c>
      <c r="N520" s="301" t="s">
        <v>315</v>
      </c>
      <c r="O520" s="301" t="s">
        <v>315</v>
      </c>
      <c r="P520" s="301" t="s">
        <v>3323</v>
      </c>
      <c r="Q520" s="301" t="s">
        <v>3323</v>
      </c>
      <c r="R520" s="301" t="s">
        <v>3324</v>
      </c>
      <c r="S520" s="301" t="s">
        <v>3324</v>
      </c>
      <c r="T520" s="301" t="s">
        <v>3325</v>
      </c>
      <c r="U520" s="301" t="s">
        <v>3325</v>
      </c>
      <c r="V520" s="301" t="s">
        <v>3326</v>
      </c>
      <c r="W520" s="298" t="s">
        <v>429</v>
      </c>
      <c r="X520" s="298" t="s">
        <v>318</v>
      </c>
    </row>
    <row r="521">
      <c r="A521" s="295" t="s">
        <v>3327</v>
      </c>
      <c r="B521" s="298">
        <v>4.0</v>
      </c>
      <c r="C521" s="298" t="s">
        <v>288</v>
      </c>
      <c r="D521" s="298" t="s">
        <v>151</v>
      </c>
      <c r="E521" s="298" t="s">
        <v>290</v>
      </c>
      <c r="F521" s="298" t="str">
        <f>'Character Sheet'!$C$9</f>
        <v/>
      </c>
      <c r="G521" s="298" t="s">
        <v>294</v>
      </c>
      <c r="H521" s="298" t="s">
        <v>352</v>
      </c>
      <c r="I521" s="298" t="s">
        <v>1379</v>
      </c>
      <c r="J521" s="298" t="s">
        <v>407</v>
      </c>
      <c r="K521" s="298" t="s">
        <v>632</v>
      </c>
      <c r="L521" s="298" t="s">
        <v>493</v>
      </c>
      <c r="M521" s="301" t="s">
        <v>315</v>
      </c>
      <c r="N521" s="301" t="s">
        <v>315</v>
      </c>
      <c r="O521" s="301" t="s">
        <v>315</v>
      </c>
      <c r="P521" s="301" t="s">
        <v>3328</v>
      </c>
      <c r="Q521" s="301" t="s">
        <v>3328</v>
      </c>
      <c r="R521" s="301" t="s">
        <v>3329</v>
      </c>
      <c r="S521" s="301" t="s">
        <v>3329</v>
      </c>
      <c r="T521" s="301" t="s">
        <v>3330</v>
      </c>
      <c r="U521" s="301" t="s">
        <v>3330</v>
      </c>
      <c r="V521" s="301" t="s">
        <v>3331</v>
      </c>
      <c r="W521" s="298" t="s">
        <v>499</v>
      </c>
      <c r="X521" s="298" t="s">
        <v>318</v>
      </c>
    </row>
    <row r="522">
      <c r="A522" s="295" t="s">
        <v>3332</v>
      </c>
      <c r="B522" s="298">
        <v>4.0</v>
      </c>
      <c r="C522" s="298" t="s">
        <v>288</v>
      </c>
      <c r="D522" s="298" t="s">
        <v>321</v>
      </c>
      <c r="E522" s="298" t="s">
        <v>290</v>
      </c>
      <c r="F522" s="298" t="str">
        <f>'Character Sheet'!$C$9</f>
        <v/>
      </c>
      <c r="G522" s="298" t="s">
        <v>294</v>
      </c>
      <c r="H522" s="298" t="s">
        <v>352</v>
      </c>
      <c r="I522" s="298" t="s">
        <v>2038</v>
      </c>
      <c r="J522" s="298" t="s">
        <v>192</v>
      </c>
      <c r="K522" s="298" t="s">
        <v>298</v>
      </c>
      <c r="L522" s="298" t="s">
        <v>493</v>
      </c>
      <c r="M522" s="301" t="s">
        <v>315</v>
      </c>
      <c r="N522" s="301" t="s">
        <v>315</v>
      </c>
      <c r="O522" s="301" t="s">
        <v>315</v>
      </c>
      <c r="P522" s="301" t="s">
        <v>3333</v>
      </c>
      <c r="Q522" s="301" t="s">
        <v>3334</v>
      </c>
      <c r="R522" s="301" t="s">
        <v>3335</v>
      </c>
      <c r="S522" s="301" t="s">
        <v>3336</v>
      </c>
      <c r="T522" s="301" t="s">
        <v>3337</v>
      </c>
      <c r="U522" s="301" t="s">
        <v>3338</v>
      </c>
      <c r="V522" s="301" t="s">
        <v>3339</v>
      </c>
      <c r="W522" s="298" t="s">
        <v>460</v>
      </c>
      <c r="X522" s="298" t="s">
        <v>306</v>
      </c>
    </row>
    <row r="523">
      <c r="A523" s="295" t="s">
        <v>3340</v>
      </c>
      <c r="B523" s="298">
        <v>4.0</v>
      </c>
      <c r="C523" s="298" t="s">
        <v>522</v>
      </c>
      <c r="D523" s="298" t="s">
        <v>421</v>
      </c>
      <c r="E523" s="298" t="s">
        <v>311</v>
      </c>
      <c r="F523" s="298" t="s">
        <v>999</v>
      </c>
      <c r="G523" s="298" t="s">
        <v>674</v>
      </c>
      <c r="H523" s="298" t="s">
        <v>335</v>
      </c>
      <c r="I523" s="298" t="s">
        <v>3341</v>
      </c>
      <c r="J523" s="298" t="s">
        <v>315</v>
      </c>
      <c r="K523" s="298" t="s">
        <v>1972</v>
      </c>
      <c r="L523" s="298" t="s">
        <v>493</v>
      </c>
      <c r="M523" s="301" t="s">
        <v>315</v>
      </c>
      <c r="N523" s="301" t="s">
        <v>315</v>
      </c>
      <c r="O523" s="301" t="s">
        <v>315</v>
      </c>
      <c r="P523" s="301" t="s">
        <v>3342</v>
      </c>
      <c r="Q523" s="301" t="s">
        <v>3342</v>
      </c>
      <c r="R523" s="301" t="s">
        <v>3342</v>
      </c>
      <c r="S523" s="301" t="s">
        <v>3342</v>
      </c>
      <c r="T523" s="301" t="s">
        <v>3342</v>
      </c>
      <c r="U523" s="301" t="s">
        <v>3342</v>
      </c>
      <c r="V523" s="301" t="s">
        <v>3342</v>
      </c>
      <c r="W523" s="298" t="s">
        <v>460</v>
      </c>
      <c r="X523" s="298" t="s">
        <v>306</v>
      </c>
    </row>
    <row r="524">
      <c r="A524" s="295" t="s">
        <v>3343</v>
      </c>
      <c r="B524" s="298">
        <v>4.0</v>
      </c>
      <c r="C524" s="298" t="s">
        <v>522</v>
      </c>
      <c r="D524" s="298" t="s">
        <v>359</v>
      </c>
      <c r="E524" s="298" t="s">
        <v>311</v>
      </c>
      <c r="F524" s="298" t="str">
        <f>'Character Sheet'!$C$9</f>
        <v/>
      </c>
      <c r="G524" s="298" t="s">
        <v>294</v>
      </c>
      <c r="H524" s="298" t="s">
        <v>352</v>
      </c>
      <c r="I524" s="298" t="s">
        <v>296</v>
      </c>
      <c r="J524" s="298" t="s">
        <v>315</v>
      </c>
      <c r="K524" s="298" t="s">
        <v>632</v>
      </c>
      <c r="L524" s="298" t="s">
        <v>493</v>
      </c>
      <c r="M524" s="301" t="s">
        <v>315</v>
      </c>
      <c r="N524" s="301" t="s">
        <v>315</v>
      </c>
      <c r="O524" s="301" t="s">
        <v>315</v>
      </c>
      <c r="P524" s="301" t="s">
        <v>3344</v>
      </c>
      <c r="Q524" s="301" t="s">
        <v>3344</v>
      </c>
      <c r="R524" s="301" t="s">
        <v>3344</v>
      </c>
      <c r="S524" s="301" t="s">
        <v>3344</v>
      </c>
      <c r="T524" s="301" t="s">
        <v>3344</v>
      </c>
      <c r="U524" s="301" t="s">
        <v>3344</v>
      </c>
      <c r="V524" s="301" t="s">
        <v>3344</v>
      </c>
      <c r="W524" s="298" t="s">
        <v>331</v>
      </c>
      <c r="X524" s="298" t="s">
        <v>3296</v>
      </c>
    </row>
    <row r="525">
      <c r="A525" s="295" t="s">
        <v>3345</v>
      </c>
      <c r="B525" s="298">
        <v>4.0</v>
      </c>
      <c r="C525" s="298" t="s">
        <v>522</v>
      </c>
      <c r="D525" s="298" t="s">
        <v>289</v>
      </c>
      <c r="E525" s="298" t="s">
        <v>290</v>
      </c>
      <c r="F525" s="298" t="str">
        <f>'Character Sheet'!$C$9</f>
        <v/>
      </c>
      <c r="G525" s="298" t="s">
        <v>294</v>
      </c>
      <c r="H525" s="298" t="s">
        <v>324</v>
      </c>
      <c r="I525" s="298" t="s">
        <v>2831</v>
      </c>
      <c r="J525" s="298" t="s">
        <v>407</v>
      </c>
      <c r="K525" s="298" t="s">
        <v>298</v>
      </c>
      <c r="L525" s="298" t="s">
        <v>493</v>
      </c>
      <c r="M525" s="301" t="s">
        <v>315</v>
      </c>
      <c r="N525" s="301" t="s">
        <v>315</v>
      </c>
      <c r="O525" s="301" t="s">
        <v>315</v>
      </c>
      <c r="P525" s="301" t="s">
        <v>3346</v>
      </c>
      <c r="Q525" s="301" t="s">
        <v>3347</v>
      </c>
      <c r="R525" s="301" t="s">
        <v>3348</v>
      </c>
      <c r="S525" s="301" t="s">
        <v>3349</v>
      </c>
      <c r="T525" s="301" t="s">
        <v>3350</v>
      </c>
      <c r="U525" s="301" t="s">
        <v>3351</v>
      </c>
      <c r="V525" s="301" t="s">
        <v>3352</v>
      </c>
      <c r="W525" s="298" t="s">
        <v>389</v>
      </c>
      <c r="X525" s="298" t="s">
        <v>1082</v>
      </c>
    </row>
    <row r="526">
      <c r="A526" s="295" t="s">
        <v>3353</v>
      </c>
      <c r="B526" s="298">
        <v>4.0</v>
      </c>
      <c r="C526" s="298" t="s">
        <v>522</v>
      </c>
      <c r="D526" s="298" t="s">
        <v>151</v>
      </c>
      <c r="E526" s="298" t="s">
        <v>290</v>
      </c>
      <c r="F526" s="298" t="str">
        <f>'Character Sheet'!$C$9</f>
        <v/>
      </c>
      <c r="G526" s="298" t="s">
        <v>294</v>
      </c>
      <c r="H526" s="298" t="s">
        <v>324</v>
      </c>
      <c r="I526" s="298" t="s">
        <v>3354</v>
      </c>
      <c r="J526" s="298" t="s">
        <v>192</v>
      </c>
      <c r="K526" s="298" t="s">
        <v>424</v>
      </c>
      <c r="L526" s="298" t="s">
        <v>493</v>
      </c>
      <c r="M526" s="301" t="s">
        <v>315</v>
      </c>
      <c r="N526" s="301" t="s">
        <v>315</v>
      </c>
      <c r="O526" s="301" t="s">
        <v>315</v>
      </c>
      <c r="P526" s="301" t="s">
        <v>3355</v>
      </c>
      <c r="Q526" s="301" t="s">
        <v>3355</v>
      </c>
      <c r="R526" s="301" t="s">
        <v>3356</v>
      </c>
      <c r="S526" s="301" t="s">
        <v>3356</v>
      </c>
      <c r="T526" s="301" t="s">
        <v>3357</v>
      </c>
      <c r="U526" s="301" t="s">
        <v>3357</v>
      </c>
      <c r="V526" s="301" t="s">
        <v>3358</v>
      </c>
      <c r="W526" s="298" t="s">
        <v>389</v>
      </c>
      <c r="X526" s="298" t="s">
        <v>3296</v>
      </c>
    </row>
    <row r="527">
      <c r="A527" s="295" t="s">
        <v>3359</v>
      </c>
      <c r="B527" s="298">
        <v>4.0</v>
      </c>
      <c r="C527" s="298" t="s">
        <v>288</v>
      </c>
      <c r="D527" s="298" t="s">
        <v>421</v>
      </c>
      <c r="E527" s="298" t="s">
        <v>311</v>
      </c>
      <c r="F527" s="298" t="str">
        <f>'Character Sheet'!$E$9</f>
        <v/>
      </c>
      <c r="G527" s="298" t="s">
        <v>674</v>
      </c>
      <c r="H527" s="298" t="s">
        <v>295</v>
      </c>
      <c r="I527" s="298" t="s">
        <v>3360</v>
      </c>
      <c r="J527" s="298" t="s">
        <v>315</v>
      </c>
      <c r="K527" s="298" t="s">
        <v>675</v>
      </c>
      <c r="L527" s="298" t="s">
        <v>493</v>
      </c>
      <c r="M527" s="301" t="s">
        <v>315</v>
      </c>
      <c r="N527" s="301" t="s">
        <v>315</v>
      </c>
      <c r="O527" s="301" t="s">
        <v>315</v>
      </c>
      <c r="P527" s="301" t="s">
        <v>3361</v>
      </c>
      <c r="Q527" s="301" t="s">
        <v>3361</v>
      </c>
      <c r="R527" s="301" t="s">
        <v>3361</v>
      </c>
      <c r="S527" s="301" t="s">
        <v>3361</v>
      </c>
      <c r="T527" s="301" t="s">
        <v>3361</v>
      </c>
      <c r="U527" s="301" t="s">
        <v>3361</v>
      </c>
      <c r="V527" s="301" t="s">
        <v>3361</v>
      </c>
      <c r="W527" s="298" t="s">
        <v>460</v>
      </c>
      <c r="X527" s="298" t="s">
        <v>318</v>
      </c>
    </row>
    <row r="528">
      <c r="A528" s="295" t="s">
        <v>3362</v>
      </c>
      <c r="B528" s="298">
        <v>4.0</v>
      </c>
      <c r="C528" s="298" t="s">
        <v>522</v>
      </c>
      <c r="D528" s="298" t="s">
        <v>310</v>
      </c>
      <c r="E528" s="298" t="s">
        <v>311</v>
      </c>
      <c r="F528" s="298" t="s">
        <v>999</v>
      </c>
      <c r="G528" s="298" t="s">
        <v>674</v>
      </c>
      <c r="H528" s="298" t="s">
        <v>324</v>
      </c>
      <c r="I528" s="298" t="s">
        <v>315</v>
      </c>
      <c r="J528" s="298" t="s">
        <v>315</v>
      </c>
      <c r="K528" s="298" t="s">
        <v>298</v>
      </c>
      <c r="L528" s="298" t="s">
        <v>493</v>
      </c>
      <c r="M528" s="301" t="s">
        <v>315</v>
      </c>
      <c r="N528" s="301" t="s">
        <v>315</v>
      </c>
      <c r="O528" s="301" t="s">
        <v>315</v>
      </c>
      <c r="P528" s="301" t="s">
        <v>3363</v>
      </c>
      <c r="Q528" s="301" t="s">
        <v>3363</v>
      </c>
      <c r="R528" s="301" t="s">
        <v>3363</v>
      </c>
      <c r="S528" s="301" t="s">
        <v>3363</v>
      </c>
      <c r="T528" s="301" t="s">
        <v>3363</v>
      </c>
      <c r="U528" s="301" t="s">
        <v>3363</v>
      </c>
      <c r="V528" s="301" t="s">
        <v>3363</v>
      </c>
      <c r="W528" s="298" t="s">
        <v>429</v>
      </c>
      <c r="X528" s="298" t="s">
        <v>306</v>
      </c>
    </row>
    <row r="529">
      <c r="A529" s="295" t="s">
        <v>3364</v>
      </c>
      <c r="B529" s="298">
        <v>4.0</v>
      </c>
      <c r="C529" s="298" t="s">
        <v>432</v>
      </c>
      <c r="D529" s="298" t="s">
        <v>421</v>
      </c>
      <c r="E529" s="298" t="s">
        <v>290</v>
      </c>
      <c r="F529" s="298" t="str">
        <f>'Character Sheet'!$K$9</f>
        <v/>
      </c>
      <c r="G529" s="298" t="s">
        <v>477</v>
      </c>
      <c r="H529" s="298" t="s">
        <v>324</v>
      </c>
      <c r="I529" s="298" t="s">
        <v>315</v>
      </c>
      <c r="J529" s="298" t="s">
        <v>315</v>
      </c>
      <c r="K529" s="298" t="s">
        <v>298</v>
      </c>
      <c r="L529" s="298" t="s">
        <v>493</v>
      </c>
      <c r="M529" s="301" t="s">
        <v>315</v>
      </c>
      <c r="N529" s="301" t="s">
        <v>315</v>
      </c>
      <c r="O529" s="301" t="s">
        <v>315</v>
      </c>
      <c r="P529" s="301" t="s">
        <v>3365</v>
      </c>
      <c r="Q529" s="301" t="s">
        <v>3366</v>
      </c>
      <c r="R529" s="301" t="s">
        <v>3367</v>
      </c>
      <c r="S529" s="301" t="s">
        <v>3368</v>
      </c>
      <c r="T529" s="301" t="s">
        <v>3369</v>
      </c>
      <c r="U529" s="301" t="s">
        <v>3370</v>
      </c>
      <c r="V529" s="301" t="s">
        <v>3371</v>
      </c>
      <c r="W529" s="298" t="s">
        <v>460</v>
      </c>
      <c r="X529" s="298" t="s">
        <v>815</v>
      </c>
    </row>
    <row r="530">
      <c r="A530" s="295" t="s">
        <v>3372</v>
      </c>
      <c r="B530" s="298">
        <v>4.0</v>
      </c>
      <c r="C530" s="298" t="s">
        <v>288</v>
      </c>
      <c r="D530" s="298" t="s">
        <v>421</v>
      </c>
      <c r="E530" s="298" t="s">
        <v>290</v>
      </c>
      <c r="F530" s="298" t="str">
        <f>'Character Sheet'!$C$9</f>
        <v/>
      </c>
      <c r="G530" s="298" t="s">
        <v>294</v>
      </c>
      <c r="H530" s="298" t="s">
        <v>324</v>
      </c>
      <c r="I530" s="298" t="s">
        <v>324</v>
      </c>
      <c r="J530" s="298" t="s">
        <v>315</v>
      </c>
      <c r="K530" s="298" t="s">
        <v>632</v>
      </c>
      <c r="L530" s="298" t="s">
        <v>493</v>
      </c>
      <c r="M530" s="301" t="s">
        <v>315</v>
      </c>
      <c r="N530" s="301" t="s">
        <v>315</v>
      </c>
      <c r="O530" s="301" t="s">
        <v>315</v>
      </c>
      <c r="P530" s="301" t="s">
        <v>3373</v>
      </c>
      <c r="Q530" s="301" t="s">
        <v>3373</v>
      </c>
      <c r="R530" s="301" t="s">
        <v>3374</v>
      </c>
      <c r="S530" s="301" t="s">
        <v>3374</v>
      </c>
      <c r="T530" s="301" t="s">
        <v>3375</v>
      </c>
      <c r="U530" s="301" t="s">
        <v>3375</v>
      </c>
      <c r="V530" s="301" t="s">
        <v>3376</v>
      </c>
      <c r="W530" s="298" t="s">
        <v>305</v>
      </c>
      <c r="X530" s="298" t="s">
        <v>966</v>
      </c>
    </row>
    <row r="531">
      <c r="A531" s="295" t="s">
        <v>3377</v>
      </c>
      <c r="B531" s="298">
        <v>4.0</v>
      </c>
      <c r="C531" s="298" t="s">
        <v>288</v>
      </c>
      <c r="D531" s="298" t="s">
        <v>334</v>
      </c>
      <c r="E531" s="298" t="s">
        <v>311</v>
      </c>
      <c r="F531" s="298" t="s">
        <v>999</v>
      </c>
      <c r="G531" s="298" t="s">
        <v>674</v>
      </c>
      <c r="H531" s="298" t="s">
        <v>335</v>
      </c>
      <c r="I531" s="298" t="s">
        <v>296</v>
      </c>
      <c r="J531" s="298" t="s">
        <v>315</v>
      </c>
      <c r="K531" s="298" t="s">
        <v>298</v>
      </c>
      <c r="L531" s="298" t="s">
        <v>493</v>
      </c>
      <c r="M531" s="301" t="s">
        <v>315</v>
      </c>
      <c r="N531" s="301" t="s">
        <v>315</v>
      </c>
      <c r="O531" s="301" t="s">
        <v>315</v>
      </c>
      <c r="P531" s="301" t="s">
        <v>3378</v>
      </c>
      <c r="Q531" s="301" t="s">
        <v>3378</v>
      </c>
      <c r="R531" s="301" t="s">
        <v>3378</v>
      </c>
      <c r="S531" s="301" t="s">
        <v>3378</v>
      </c>
      <c r="T531" s="301" t="s">
        <v>3378</v>
      </c>
      <c r="U531" s="301" t="s">
        <v>3378</v>
      </c>
      <c r="V531" s="301" t="s">
        <v>3378</v>
      </c>
      <c r="W531" s="298" t="s">
        <v>429</v>
      </c>
      <c r="X531" s="298" t="s">
        <v>306</v>
      </c>
    </row>
    <row r="532">
      <c r="A532" s="295" t="s">
        <v>3379</v>
      </c>
      <c r="B532" s="298">
        <v>4.0</v>
      </c>
      <c r="C532" s="298" t="s">
        <v>288</v>
      </c>
      <c r="D532" s="298" t="s">
        <v>321</v>
      </c>
      <c r="E532" s="298" t="s">
        <v>290</v>
      </c>
      <c r="F532" s="298" t="str">
        <f>'Character Sheet'!$E$9</f>
        <v/>
      </c>
      <c r="G532" s="298" t="s">
        <v>674</v>
      </c>
      <c r="H532" s="298" t="s">
        <v>360</v>
      </c>
      <c r="I532" s="298" t="s">
        <v>296</v>
      </c>
      <c r="J532" s="298" t="s">
        <v>315</v>
      </c>
      <c r="K532" s="298" t="s">
        <v>1753</v>
      </c>
      <c r="L532" s="298" t="s">
        <v>493</v>
      </c>
      <c r="M532" s="301" t="s">
        <v>315</v>
      </c>
      <c r="N532" s="301" t="s">
        <v>315</v>
      </c>
      <c r="O532" s="301" t="s">
        <v>315</v>
      </c>
      <c r="P532" s="301" t="s">
        <v>3380</v>
      </c>
      <c r="Q532" s="301" t="s">
        <v>3381</v>
      </c>
      <c r="R532" s="301" t="s">
        <v>3382</v>
      </c>
      <c r="S532" s="301" t="s">
        <v>3383</v>
      </c>
      <c r="T532" s="301" t="s">
        <v>3384</v>
      </c>
      <c r="U532" s="301" t="s">
        <v>3385</v>
      </c>
      <c r="V532" s="301" t="s">
        <v>3386</v>
      </c>
      <c r="W532" s="298" t="s">
        <v>460</v>
      </c>
      <c r="X532" s="298" t="s">
        <v>318</v>
      </c>
    </row>
    <row r="533">
      <c r="A533" s="295" t="s">
        <v>3387</v>
      </c>
      <c r="B533" s="298">
        <v>4.0</v>
      </c>
      <c r="C533" s="298" t="s">
        <v>288</v>
      </c>
      <c r="D533" s="298" t="s">
        <v>421</v>
      </c>
      <c r="E533" s="298" t="s">
        <v>311</v>
      </c>
      <c r="F533" s="298" t="str">
        <f>'Character Sheet'!$C$9</f>
        <v/>
      </c>
      <c r="G533" s="298" t="s">
        <v>294</v>
      </c>
      <c r="H533" s="298" t="s">
        <v>295</v>
      </c>
      <c r="I533" s="298" t="s">
        <v>296</v>
      </c>
      <c r="J533" s="298" t="s">
        <v>180</v>
      </c>
      <c r="K533" s="298" t="s">
        <v>632</v>
      </c>
      <c r="L533" s="298" t="s">
        <v>493</v>
      </c>
      <c r="M533" s="301" t="s">
        <v>315</v>
      </c>
      <c r="N533" s="301" t="s">
        <v>315</v>
      </c>
      <c r="O533" s="301" t="s">
        <v>315</v>
      </c>
      <c r="P533" s="301" t="s">
        <v>3388</v>
      </c>
      <c r="Q533" s="301" t="s">
        <v>3388</v>
      </c>
      <c r="R533" s="301" t="s">
        <v>3388</v>
      </c>
      <c r="S533" s="301" t="s">
        <v>3388</v>
      </c>
      <c r="T533" s="301" t="s">
        <v>3388</v>
      </c>
      <c r="U533" s="301" t="s">
        <v>3388</v>
      </c>
      <c r="V533" s="301" t="s">
        <v>3388</v>
      </c>
      <c r="W533" s="298" t="s">
        <v>460</v>
      </c>
      <c r="X533" s="298" t="s">
        <v>306</v>
      </c>
    </row>
    <row r="534">
      <c r="A534" s="295" t="s">
        <v>3389</v>
      </c>
      <c r="B534" s="298">
        <v>4.0</v>
      </c>
      <c r="C534" s="298" t="s">
        <v>522</v>
      </c>
      <c r="D534" s="298" t="s">
        <v>151</v>
      </c>
      <c r="E534" s="298" t="s">
        <v>311</v>
      </c>
      <c r="F534" s="298" t="s">
        <v>999</v>
      </c>
      <c r="G534" s="298" t="s">
        <v>674</v>
      </c>
      <c r="H534" s="298" t="s">
        <v>335</v>
      </c>
      <c r="I534" s="298" t="s">
        <v>3390</v>
      </c>
      <c r="J534" s="298" t="s">
        <v>315</v>
      </c>
      <c r="K534" s="298" t="s">
        <v>1001</v>
      </c>
      <c r="L534" s="298" t="s">
        <v>493</v>
      </c>
      <c r="M534" s="301" t="s">
        <v>315</v>
      </c>
      <c r="N534" s="301" t="s">
        <v>315</v>
      </c>
      <c r="O534" s="301" t="s">
        <v>315</v>
      </c>
      <c r="P534" s="301" t="s">
        <v>3391</v>
      </c>
      <c r="Q534" s="301" t="s">
        <v>3391</v>
      </c>
      <c r="R534" s="301" t="s">
        <v>3391</v>
      </c>
      <c r="S534" s="301" t="s">
        <v>3391</v>
      </c>
      <c r="T534" s="301" t="s">
        <v>3391</v>
      </c>
      <c r="U534" s="301" t="s">
        <v>3391</v>
      </c>
      <c r="V534" s="301" t="s">
        <v>3391</v>
      </c>
      <c r="W534" s="298" t="s">
        <v>460</v>
      </c>
      <c r="X534" s="298" t="s">
        <v>306</v>
      </c>
    </row>
    <row r="535">
      <c r="A535" s="295" t="s">
        <v>3392</v>
      </c>
      <c r="B535" s="298">
        <v>4.0</v>
      </c>
      <c r="C535" s="298" t="s">
        <v>288</v>
      </c>
      <c r="D535" s="298" t="s">
        <v>462</v>
      </c>
      <c r="E535" s="298" t="s">
        <v>290</v>
      </c>
      <c r="F535" s="298" t="str">
        <f>'Character Sheet'!$C$9</f>
        <v/>
      </c>
      <c r="G535" s="298" t="s">
        <v>294</v>
      </c>
      <c r="H535" s="298" t="s">
        <v>335</v>
      </c>
      <c r="I535" s="298" t="s">
        <v>3393</v>
      </c>
      <c r="J535" s="298" t="s">
        <v>315</v>
      </c>
      <c r="K535" s="298" t="s">
        <v>298</v>
      </c>
      <c r="L535" s="298" t="s">
        <v>493</v>
      </c>
      <c r="M535" s="301" t="s">
        <v>315</v>
      </c>
      <c r="N535" s="301" t="s">
        <v>315</v>
      </c>
      <c r="O535" s="301" t="s">
        <v>315</v>
      </c>
      <c r="P535" s="301" t="s">
        <v>3394</v>
      </c>
      <c r="Q535" s="301" t="s">
        <v>3395</v>
      </c>
      <c r="R535" s="301" t="s">
        <v>3396</v>
      </c>
      <c r="S535" s="301" t="s">
        <v>3397</v>
      </c>
      <c r="T535" s="301" t="s">
        <v>3398</v>
      </c>
      <c r="U535" s="301" t="s">
        <v>3399</v>
      </c>
      <c r="V535" s="301" t="s">
        <v>3400</v>
      </c>
      <c r="W535" s="298" t="s">
        <v>499</v>
      </c>
      <c r="X535" s="298" t="s">
        <v>678</v>
      </c>
    </row>
    <row r="536">
      <c r="A536" s="295" t="s">
        <v>3401</v>
      </c>
      <c r="B536" s="298">
        <v>4.0</v>
      </c>
      <c r="C536" s="298" t="s">
        <v>522</v>
      </c>
      <c r="D536" s="298" t="s">
        <v>359</v>
      </c>
      <c r="E536" s="298" t="s">
        <v>311</v>
      </c>
      <c r="F536" s="298" t="str">
        <f>'Character Sheet'!$C$9</f>
        <v/>
      </c>
      <c r="G536" s="298" t="s">
        <v>294</v>
      </c>
      <c r="H536" s="298" t="s">
        <v>335</v>
      </c>
      <c r="I536" s="298" t="s">
        <v>296</v>
      </c>
      <c r="J536" s="298" t="s">
        <v>192</v>
      </c>
      <c r="K536" s="298" t="s">
        <v>1174</v>
      </c>
      <c r="L536" s="298" t="s">
        <v>493</v>
      </c>
      <c r="M536" s="301" t="s">
        <v>315</v>
      </c>
      <c r="N536" s="301" t="s">
        <v>315</v>
      </c>
      <c r="O536" s="301" t="s">
        <v>315</v>
      </c>
      <c r="P536" s="301" t="s">
        <v>3402</v>
      </c>
      <c r="Q536" s="301" t="s">
        <v>3402</v>
      </c>
      <c r="R536" s="301" t="s">
        <v>3402</v>
      </c>
      <c r="S536" s="301" t="s">
        <v>3402</v>
      </c>
      <c r="T536" s="301" t="s">
        <v>3402</v>
      </c>
      <c r="U536" s="301" t="s">
        <v>3402</v>
      </c>
      <c r="V536" s="301" t="s">
        <v>3402</v>
      </c>
      <c r="W536" s="298" t="s">
        <v>460</v>
      </c>
      <c r="X536" s="298" t="s">
        <v>2571</v>
      </c>
    </row>
    <row r="537">
      <c r="A537" s="295" t="s">
        <v>3403</v>
      </c>
      <c r="B537" s="298">
        <v>4.0</v>
      </c>
      <c r="C537" s="298" t="s">
        <v>288</v>
      </c>
      <c r="D537" s="298" t="s">
        <v>334</v>
      </c>
      <c r="E537" s="298" t="s">
        <v>290</v>
      </c>
      <c r="F537" s="298" t="str">
        <f>'Character Sheet'!$C$9</f>
        <v/>
      </c>
      <c r="G537" s="298" t="s">
        <v>294</v>
      </c>
      <c r="H537" s="298" t="s">
        <v>360</v>
      </c>
      <c r="I537" s="298" t="s">
        <v>1413</v>
      </c>
      <c r="J537" s="298" t="s">
        <v>336</v>
      </c>
      <c r="K537" s="298" t="s">
        <v>424</v>
      </c>
      <c r="L537" s="298" t="s">
        <v>493</v>
      </c>
      <c r="M537" s="301" t="s">
        <v>315</v>
      </c>
      <c r="N537" s="301" t="s">
        <v>315</v>
      </c>
      <c r="O537" s="301" t="s">
        <v>315</v>
      </c>
      <c r="P537" s="301" t="s">
        <v>3404</v>
      </c>
      <c r="Q537" s="301" t="s">
        <v>3405</v>
      </c>
      <c r="R537" s="301" t="s">
        <v>3406</v>
      </c>
      <c r="S537" s="301" t="s">
        <v>3407</v>
      </c>
      <c r="T537" s="301" t="s">
        <v>3408</v>
      </c>
      <c r="U537" s="301" t="s">
        <v>3409</v>
      </c>
      <c r="V537" s="301" t="s">
        <v>3410</v>
      </c>
      <c r="W537" s="298" t="s">
        <v>331</v>
      </c>
      <c r="X537" s="298" t="s">
        <v>318</v>
      </c>
    </row>
    <row r="538">
      <c r="A538" s="295" t="s">
        <v>3411</v>
      </c>
      <c r="B538" s="298">
        <v>4.0</v>
      </c>
      <c r="C538" s="298" t="s">
        <v>288</v>
      </c>
      <c r="D538" s="298" t="s">
        <v>334</v>
      </c>
      <c r="E538" s="298" t="s">
        <v>290</v>
      </c>
      <c r="F538" s="298" t="str">
        <f>'Character Sheet'!$C$9</f>
        <v/>
      </c>
      <c r="G538" s="298" t="s">
        <v>294</v>
      </c>
      <c r="H538" s="298" t="s">
        <v>335</v>
      </c>
      <c r="I538" s="298" t="s">
        <v>2038</v>
      </c>
      <c r="J538" s="298" t="s">
        <v>173</v>
      </c>
      <c r="K538" s="298" t="s">
        <v>1174</v>
      </c>
      <c r="L538" s="298" t="s">
        <v>493</v>
      </c>
      <c r="M538" s="301" t="s">
        <v>315</v>
      </c>
      <c r="N538" s="301" t="s">
        <v>315</v>
      </c>
      <c r="O538" s="301" t="s">
        <v>315</v>
      </c>
      <c r="P538" s="301" t="s">
        <v>3412</v>
      </c>
      <c r="Q538" s="301" t="s">
        <v>3412</v>
      </c>
      <c r="R538" s="301" t="s">
        <v>3413</v>
      </c>
      <c r="S538" s="301" t="s">
        <v>3413</v>
      </c>
      <c r="T538" s="301" t="s">
        <v>3414</v>
      </c>
      <c r="U538" s="301" t="s">
        <v>3414</v>
      </c>
      <c r="V538" s="301" t="s">
        <v>3415</v>
      </c>
      <c r="W538" s="298" t="s">
        <v>331</v>
      </c>
      <c r="X538" s="298" t="s">
        <v>678</v>
      </c>
    </row>
    <row r="539">
      <c r="A539" s="295" t="s">
        <v>3416</v>
      </c>
      <c r="B539" s="298">
        <v>4.0</v>
      </c>
      <c r="C539" s="298" t="s">
        <v>288</v>
      </c>
      <c r="D539" s="298" t="s">
        <v>462</v>
      </c>
      <c r="E539" s="298" t="s">
        <v>311</v>
      </c>
      <c r="F539" s="298" t="str">
        <f>'Character Sheet'!$C$9</f>
        <v/>
      </c>
      <c r="G539" s="298" t="s">
        <v>294</v>
      </c>
      <c r="H539" s="298" t="s">
        <v>335</v>
      </c>
      <c r="I539" s="298" t="s">
        <v>3417</v>
      </c>
      <c r="J539" s="298" t="s">
        <v>315</v>
      </c>
      <c r="K539" s="298" t="s">
        <v>298</v>
      </c>
      <c r="L539" s="298" t="s">
        <v>493</v>
      </c>
      <c r="M539" s="301" t="s">
        <v>315</v>
      </c>
      <c r="N539" s="301" t="s">
        <v>315</v>
      </c>
      <c r="O539" s="301" t="s">
        <v>315</v>
      </c>
      <c r="P539" s="301" t="s">
        <v>3418</v>
      </c>
      <c r="Q539" s="301" t="s">
        <v>3418</v>
      </c>
      <c r="R539" s="301" t="s">
        <v>3418</v>
      </c>
      <c r="S539" s="301" t="s">
        <v>3418</v>
      </c>
      <c r="T539" s="301" t="s">
        <v>3418</v>
      </c>
      <c r="U539" s="301" t="s">
        <v>3418</v>
      </c>
      <c r="V539" s="301" t="s">
        <v>3418</v>
      </c>
      <c r="W539" s="298" t="s">
        <v>305</v>
      </c>
      <c r="X539" s="298" t="s">
        <v>306</v>
      </c>
    </row>
    <row r="540">
      <c r="A540" s="295" t="s">
        <v>3419</v>
      </c>
      <c r="B540" s="298">
        <v>4.0</v>
      </c>
      <c r="C540" s="298" t="s">
        <v>288</v>
      </c>
      <c r="D540" s="298" t="s">
        <v>421</v>
      </c>
      <c r="E540" s="298" t="s">
        <v>311</v>
      </c>
      <c r="F540" s="298" t="str">
        <f>'Character Sheet'!$C$9</f>
        <v/>
      </c>
      <c r="G540" s="298" t="s">
        <v>294</v>
      </c>
      <c r="H540" s="298" t="s">
        <v>2740</v>
      </c>
      <c r="I540" s="298" t="s">
        <v>3420</v>
      </c>
      <c r="J540" s="298" t="s">
        <v>315</v>
      </c>
      <c r="K540" s="298" t="s">
        <v>632</v>
      </c>
      <c r="L540" s="298" t="s">
        <v>493</v>
      </c>
      <c r="M540" s="301" t="s">
        <v>315</v>
      </c>
      <c r="N540" s="301" t="s">
        <v>315</v>
      </c>
      <c r="O540" s="301" t="s">
        <v>315</v>
      </c>
      <c r="P540" s="301" t="s">
        <v>3421</v>
      </c>
      <c r="Q540" s="301" t="s">
        <v>3421</v>
      </c>
      <c r="R540" s="301" t="s">
        <v>3421</v>
      </c>
      <c r="S540" s="301" t="s">
        <v>3421</v>
      </c>
      <c r="T540" s="301" t="s">
        <v>3421</v>
      </c>
      <c r="U540" s="301" t="s">
        <v>3421</v>
      </c>
      <c r="V540" s="301" t="s">
        <v>3421</v>
      </c>
      <c r="W540" s="298" t="s">
        <v>357</v>
      </c>
      <c r="X540" s="298" t="s">
        <v>569</v>
      </c>
    </row>
    <row r="541">
      <c r="A541" s="295" t="s">
        <v>3422</v>
      </c>
      <c r="B541" s="298">
        <v>4.0</v>
      </c>
      <c r="C541" s="298" t="s">
        <v>288</v>
      </c>
      <c r="D541" s="298" t="s">
        <v>151</v>
      </c>
      <c r="E541" s="298" t="s">
        <v>311</v>
      </c>
      <c r="F541" s="298" t="str">
        <f>'Character Sheet'!$E$9</f>
        <v/>
      </c>
      <c r="G541" s="298" t="s">
        <v>674</v>
      </c>
      <c r="H541" s="298" t="s">
        <v>352</v>
      </c>
      <c r="I541" s="298" t="s">
        <v>1000</v>
      </c>
      <c r="J541" s="298" t="s">
        <v>315</v>
      </c>
      <c r="K541" s="298" t="s">
        <v>632</v>
      </c>
      <c r="L541" s="298" t="s">
        <v>493</v>
      </c>
      <c r="M541" s="301" t="s">
        <v>315</v>
      </c>
      <c r="N541" s="301" t="s">
        <v>315</v>
      </c>
      <c r="O541" s="301" t="s">
        <v>315</v>
      </c>
      <c r="P541" s="301" t="s">
        <v>3423</v>
      </c>
      <c r="Q541" s="301" t="s">
        <v>3423</v>
      </c>
      <c r="R541" s="301" t="s">
        <v>3423</v>
      </c>
      <c r="S541" s="301" t="s">
        <v>3423</v>
      </c>
      <c r="T541" s="301" t="s">
        <v>3423</v>
      </c>
      <c r="U541" s="301" t="s">
        <v>3423</v>
      </c>
      <c r="V541" s="301" t="s">
        <v>3423</v>
      </c>
      <c r="W541" s="298" t="s">
        <v>305</v>
      </c>
      <c r="X541" s="298" t="s">
        <v>306</v>
      </c>
    </row>
    <row r="542">
      <c r="A542" s="295" t="s">
        <v>3424</v>
      </c>
      <c r="B542" s="298">
        <v>4.0</v>
      </c>
      <c r="C542" s="298" t="s">
        <v>288</v>
      </c>
      <c r="D542" s="298" t="s">
        <v>334</v>
      </c>
      <c r="E542" s="298" t="s">
        <v>311</v>
      </c>
      <c r="F542" s="298" t="s">
        <v>625</v>
      </c>
      <c r="G542" s="298" t="s">
        <v>674</v>
      </c>
      <c r="H542" s="298" t="s">
        <v>295</v>
      </c>
      <c r="I542" s="298" t="s">
        <v>315</v>
      </c>
      <c r="J542" s="298" t="s">
        <v>315</v>
      </c>
      <c r="K542" s="298" t="s">
        <v>675</v>
      </c>
      <c r="L542" s="298" t="s">
        <v>493</v>
      </c>
      <c r="M542" s="301" t="s">
        <v>315</v>
      </c>
      <c r="N542" s="301" t="s">
        <v>315</v>
      </c>
      <c r="O542" s="301" t="s">
        <v>315</v>
      </c>
      <c r="P542" s="301" t="s">
        <v>3425</v>
      </c>
      <c r="Q542" s="301" t="s">
        <v>3426</v>
      </c>
      <c r="R542" s="301" t="s">
        <v>3427</v>
      </c>
      <c r="S542" s="301" t="s">
        <v>3428</v>
      </c>
      <c r="T542" s="301" t="s">
        <v>3429</v>
      </c>
      <c r="U542" s="301" t="s">
        <v>3430</v>
      </c>
      <c r="V542" s="301" t="s">
        <v>3431</v>
      </c>
      <c r="W542" s="298" t="s">
        <v>389</v>
      </c>
      <c r="X542" s="298" t="s">
        <v>318</v>
      </c>
    </row>
    <row r="543">
      <c r="A543" s="295" t="s">
        <v>3432</v>
      </c>
      <c r="B543" s="298">
        <v>4.0</v>
      </c>
      <c r="C543" s="298" t="s">
        <v>288</v>
      </c>
      <c r="D543" s="298" t="s">
        <v>310</v>
      </c>
      <c r="E543" s="298" t="s">
        <v>311</v>
      </c>
      <c r="F543" s="298" t="str">
        <f>'Character Sheet'!$C$9</f>
        <v/>
      </c>
      <c r="G543" s="298" t="s">
        <v>294</v>
      </c>
      <c r="H543" s="298" t="s">
        <v>324</v>
      </c>
      <c r="I543" s="298" t="s">
        <v>324</v>
      </c>
      <c r="J543" s="298" t="s">
        <v>315</v>
      </c>
      <c r="K543" s="298" t="s">
        <v>325</v>
      </c>
      <c r="L543" s="298" t="s">
        <v>493</v>
      </c>
      <c r="M543" s="301" t="s">
        <v>315</v>
      </c>
      <c r="N543" s="301" t="s">
        <v>315</v>
      </c>
      <c r="O543" s="301" t="s">
        <v>315</v>
      </c>
      <c r="P543" s="301" t="s">
        <v>3433</v>
      </c>
      <c r="Q543" s="301" t="s">
        <v>3433</v>
      </c>
      <c r="R543" s="301" t="s">
        <v>3433</v>
      </c>
      <c r="S543" s="301" t="s">
        <v>3433</v>
      </c>
      <c r="T543" s="301" t="s">
        <v>3433</v>
      </c>
      <c r="U543" s="301" t="s">
        <v>3433</v>
      </c>
      <c r="V543" s="301" t="s">
        <v>3433</v>
      </c>
      <c r="W543" s="298" t="s">
        <v>499</v>
      </c>
      <c r="X543" s="298" t="s">
        <v>306</v>
      </c>
    </row>
    <row r="544">
      <c r="A544" s="295" t="s">
        <v>3434</v>
      </c>
      <c r="B544" s="298">
        <v>4.0</v>
      </c>
      <c r="C544" s="298" t="s">
        <v>288</v>
      </c>
      <c r="D544" s="298" t="s">
        <v>421</v>
      </c>
      <c r="E544" s="298" t="s">
        <v>311</v>
      </c>
      <c r="F544" s="298" t="str">
        <f>'Character Sheet'!$C$9</f>
        <v/>
      </c>
      <c r="G544" s="298" t="s">
        <v>294</v>
      </c>
      <c r="H544" s="298" t="s">
        <v>335</v>
      </c>
      <c r="I544" s="298" t="s">
        <v>296</v>
      </c>
      <c r="J544" s="298" t="s">
        <v>315</v>
      </c>
      <c r="K544" s="298" t="s">
        <v>1972</v>
      </c>
      <c r="L544" s="298" t="s">
        <v>493</v>
      </c>
      <c r="M544" s="301" t="s">
        <v>315</v>
      </c>
      <c r="N544" s="301" t="s">
        <v>315</v>
      </c>
      <c r="O544" s="301" t="s">
        <v>315</v>
      </c>
      <c r="P544" s="301" t="s">
        <v>3435</v>
      </c>
      <c r="Q544" s="301" t="s">
        <v>3435</v>
      </c>
      <c r="R544" s="301" t="s">
        <v>3435</v>
      </c>
      <c r="S544" s="301" t="s">
        <v>3435</v>
      </c>
      <c r="T544" s="301" t="s">
        <v>3435</v>
      </c>
      <c r="U544" s="301" t="s">
        <v>3435</v>
      </c>
      <c r="V544" s="301" t="s">
        <v>3435</v>
      </c>
      <c r="W544" s="298" t="s">
        <v>331</v>
      </c>
      <c r="X544" s="298" t="s">
        <v>306</v>
      </c>
    </row>
    <row r="545">
      <c r="A545" s="295" t="s">
        <v>3436</v>
      </c>
      <c r="B545" s="298">
        <v>4.0</v>
      </c>
      <c r="C545" s="298" t="s">
        <v>288</v>
      </c>
      <c r="D545" s="298" t="s">
        <v>151</v>
      </c>
      <c r="E545" s="298" t="s">
        <v>290</v>
      </c>
      <c r="F545" s="298" t="str">
        <f>'Character Sheet'!$E$9</f>
        <v/>
      </c>
      <c r="G545" s="298" t="s">
        <v>674</v>
      </c>
      <c r="H545" s="298" t="s">
        <v>360</v>
      </c>
      <c r="I545" s="298" t="s">
        <v>1000</v>
      </c>
      <c r="J545" s="298" t="s">
        <v>315</v>
      </c>
      <c r="K545" s="298" t="s">
        <v>675</v>
      </c>
      <c r="L545" s="298" t="s">
        <v>493</v>
      </c>
      <c r="M545" s="301" t="s">
        <v>315</v>
      </c>
      <c r="N545" s="301" t="s">
        <v>315</v>
      </c>
      <c r="O545" s="301" t="s">
        <v>315</v>
      </c>
      <c r="P545" s="301" t="s">
        <v>3437</v>
      </c>
      <c r="Q545" s="301" t="s">
        <v>3438</v>
      </c>
      <c r="R545" s="301" t="s">
        <v>3439</v>
      </c>
      <c r="S545" s="301" t="s">
        <v>3440</v>
      </c>
      <c r="T545" s="301" t="s">
        <v>3441</v>
      </c>
      <c r="U545" s="301" t="s">
        <v>3442</v>
      </c>
      <c r="V545" s="301" t="s">
        <v>3443</v>
      </c>
      <c r="W545" s="298" t="s">
        <v>499</v>
      </c>
      <c r="X545" s="298" t="s">
        <v>678</v>
      </c>
    </row>
    <row r="546">
      <c r="A546" s="295" t="s">
        <v>3444</v>
      </c>
      <c r="B546" s="298">
        <v>4.0</v>
      </c>
      <c r="C546" s="298" t="s">
        <v>522</v>
      </c>
      <c r="D546" s="298" t="s">
        <v>334</v>
      </c>
      <c r="E546" s="298" t="s">
        <v>311</v>
      </c>
      <c r="F546" s="298" t="str">
        <f>'Character Sheet'!$C$9</f>
        <v/>
      </c>
      <c r="G546" s="298" t="s">
        <v>294</v>
      </c>
      <c r="H546" s="298" t="s">
        <v>360</v>
      </c>
      <c r="I546" s="298" t="s">
        <v>296</v>
      </c>
      <c r="J546" s="298" t="s">
        <v>192</v>
      </c>
      <c r="K546" s="298" t="s">
        <v>1174</v>
      </c>
      <c r="L546" s="298" t="s">
        <v>493</v>
      </c>
      <c r="M546" s="301" t="s">
        <v>315</v>
      </c>
      <c r="N546" s="301" t="s">
        <v>315</v>
      </c>
      <c r="O546" s="301" t="s">
        <v>315</v>
      </c>
      <c r="P546" s="301" t="s">
        <v>3445</v>
      </c>
      <c r="Q546" s="301" t="s">
        <v>3445</v>
      </c>
      <c r="R546" s="301" t="s">
        <v>3445</v>
      </c>
      <c r="S546" s="301" t="s">
        <v>3445</v>
      </c>
      <c r="T546" s="301" t="s">
        <v>3445</v>
      </c>
      <c r="U546" s="301" t="s">
        <v>3445</v>
      </c>
      <c r="V546" s="301" t="s">
        <v>3445</v>
      </c>
      <c r="W546" s="298" t="s">
        <v>429</v>
      </c>
      <c r="X546" s="298" t="s">
        <v>799</v>
      </c>
    </row>
    <row r="547">
      <c r="A547" s="295" t="s">
        <v>3446</v>
      </c>
      <c r="B547" s="298">
        <v>4.0</v>
      </c>
      <c r="C547" s="298" t="s">
        <v>522</v>
      </c>
      <c r="D547" s="298" t="s">
        <v>421</v>
      </c>
      <c r="E547" s="298" t="s">
        <v>290</v>
      </c>
      <c r="F547" s="298" t="str">
        <f>'Character Sheet'!$C$9</f>
        <v/>
      </c>
      <c r="G547" s="298" t="s">
        <v>294</v>
      </c>
      <c r="H547" s="298" t="s">
        <v>324</v>
      </c>
      <c r="I547" s="298" t="s">
        <v>324</v>
      </c>
      <c r="J547" s="298" t="s">
        <v>315</v>
      </c>
      <c r="K547" s="298" t="s">
        <v>632</v>
      </c>
      <c r="L547" s="298" t="s">
        <v>493</v>
      </c>
      <c r="M547" s="301" t="s">
        <v>315</v>
      </c>
      <c r="N547" s="301" t="s">
        <v>315</v>
      </c>
      <c r="O547" s="301" t="s">
        <v>315</v>
      </c>
      <c r="P547" s="301" t="s">
        <v>3447</v>
      </c>
      <c r="Q547" s="301" t="s">
        <v>3447</v>
      </c>
      <c r="R547" s="301" t="s">
        <v>3448</v>
      </c>
      <c r="S547" s="301" t="s">
        <v>3448</v>
      </c>
      <c r="T547" s="301" t="s">
        <v>3449</v>
      </c>
      <c r="U547" s="301" t="s">
        <v>3449</v>
      </c>
      <c r="V547" s="301" t="s">
        <v>3450</v>
      </c>
      <c r="W547" s="298" t="s">
        <v>429</v>
      </c>
      <c r="X547" s="298" t="s">
        <v>318</v>
      </c>
    </row>
    <row r="548">
      <c r="A548" s="295" t="s">
        <v>3451</v>
      </c>
      <c r="B548" s="298">
        <v>4.0</v>
      </c>
      <c r="C548" s="298" t="s">
        <v>288</v>
      </c>
      <c r="D548" s="298" t="s">
        <v>421</v>
      </c>
      <c r="E548" s="298" t="s">
        <v>290</v>
      </c>
      <c r="F548" s="298" t="str">
        <f>'Character Sheet'!$C$9</f>
        <v/>
      </c>
      <c r="G548" s="298" t="s">
        <v>294</v>
      </c>
      <c r="H548" s="298" t="s">
        <v>335</v>
      </c>
      <c r="I548" s="298" t="s">
        <v>296</v>
      </c>
      <c r="J548" s="298" t="s">
        <v>315</v>
      </c>
      <c r="K548" s="298" t="s">
        <v>3452</v>
      </c>
      <c r="L548" s="298" t="s">
        <v>493</v>
      </c>
      <c r="M548" s="301" t="s">
        <v>315</v>
      </c>
      <c r="N548" s="301" t="s">
        <v>315</v>
      </c>
      <c r="O548" s="301" t="s">
        <v>315</v>
      </c>
      <c r="P548" s="301" t="s">
        <v>3453</v>
      </c>
      <c r="Q548" s="301" t="s">
        <v>3453</v>
      </c>
      <c r="R548" s="301" t="s">
        <v>3454</v>
      </c>
      <c r="S548" s="301" t="s">
        <v>3454</v>
      </c>
      <c r="T548" s="301" t="s">
        <v>3455</v>
      </c>
      <c r="U548" s="301" t="s">
        <v>3455</v>
      </c>
      <c r="V548" s="301" t="s">
        <v>3456</v>
      </c>
      <c r="W548" s="298" t="s">
        <v>305</v>
      </c>
      <c r="X548" s="298" t="s">
        <v>306</v>
      </c>
    </row>
    <row r="549">
      <c r="A549" s="295" t="s">
        <v>3457</v>
      </c>
      <c r="B549" s="298">
        <v>4.0</v>
      </c>
      <c r="C549" s="298" t="s">
        <v>288</v>
      </c>
      <c r="D549" s="298" t="s">
        <v>359</v>
      </c>
      <c r="E549" s="298" t="s">
        <v>290</v>
      </c>
      <c r="F549" s="298" t="str">
        <f>'Character Sheet'!$C$9</f>
        <v/>
      </c>
      <c r="G549" s="298" t="s">
        <v>294</v>
      </c>
      <c r="H549" s="298" t="s">
        <v>295</v>
      </c>
      <c r="I549" s="298" t="s">
        <v>296</v>
      </c>
      <c r="J549" s="298" t="s">
        <v>192</v>
      </c>
      <c r="K549" s="298" t="s">
        <v>1174</v>
      </c>
      <c r="L549" s="298" t="s">
        <v>493</v>
      </c>
      <c r="M549" s="301" t="s">
        <v>315</v>
      </c>
      <c r="N549" s="301" t="s">
        <v>315</v>
      </c>
      <c r="O549" s="301" t="s">
        <v>315</v>
      </c>
      <c r="P549" s="301" t="s">
        <v>3458</v>
      </c>
      <c r="Q549" s="301" t="s">
        <v>3458</v>
      </c>
      <c r="R549" s="301" t="s">
        <v>3458</v>
      </c>
      <c r="S549" s="301" t="s">
        <v>3458</v>
      </c>
      <c r="T549" s="301" t="s">
        <v>3459</v>
      </c>
      <c r="U549" s="301" t="s">
        <v>3459</v>
      </c>
      <c r="V549" s="301" t="s">
        <v>3459</v>
      </c>
      <c r="W549" s="298" t="s">
        <v>460</v>
      </c>
      <c r="X549" s="298" t="s">
        <v>306</v>
      </c>
    </row>
    <row r="550">
      <c r="A550" s="295" t="s">
        <v>3460</v>
      </c>
      <c r="B550" s="298">
        <v>4.0</v>
      </c>
      <c r="C550" s="298" t="s">
        <v>522</v>
      </c>
      <c r="D550" s="298" t="s">
        <v>334</v>
      </c>
      <c r="E550" s="298" t="s">
        <v>311</v>
      </c>
      <c r="F550" s="298" t="str">
        <f>'Character Sheet'!$C$9</f>
        <v/>
      </c>
      <c r="G550" s="298" t="s">
        <v>294</v>
      </c>
      <c r="H550" s="298" t="s">
        <v>295</v>
      </c>
      <c r="I550" s="298" t="s">
        <v>1413</v>
      </c>
      <c r="J550" s="298" t="s">
        <v>173</v>
      </c>
      <c r="K550" s="298" t="s">
        <v>298</v>
      </c>
      <c r="L550" s="298" t="s">
        <v>493</v>
      </c>
      <c r="M550" s="301" t="s">
        <v>315</v>
      </c>
      <c r="N550" s="301" t="s">
        <v>315</v>
      </c>
      <c r="O550" s="301" t="s">
        <v>315</v>
      </c>
      <c r="P550" s="301" t="s">
        <v>3461</v>
      </c>
      <c r="Q550" s="301" t="s">
        <v>3461</v>
      </c>
      <c r="R550" s="301" t="s">
        <v>3461</v>
      </c>
      <c r="S550" s="301" t="s">
        <v>3461</v>
      </c>
      <c r="T550" s="301" t="s">
        <v>3461</v>
      </c>
      <c r="U550" s="301" t="s">
        <v>3461</v>
      </c>
      <c r="V550" s="301" t="s">
        <v>3461</v>
      </c>
      <c r="W550" s="298" t="s">
        <v>305</v>
      </c>
      <c r="X550" s="298" t="s">
        <v>2163</v>
      </c>
    </row>
    <row r="551">
      <c r="A551" s="295" t="s">
        <v>3462</v>
      </c>
      <c r="B551" s="298">
        <v>4.0</v>
      </c>
      <c r="C551" s="298" t="s">
        <v>522</v>
      </c>
      <c r="D551" s="298" t="s">
        <v>334</v>
      </c>
      <c r="E551" s="298" t="s">
        <v>311</v>
      </c>
      <c r="F551" s="298" t="s">
        <v>999</v>
      </c>
      <c r="G551" s="298" t="s">
        <v>674</v>
      </c>
      <c r="H551" s="298" t="s">
        <v>335</v>
      </c>
      <c r="I551" s="298" t="s">
        <v>2103</v>
      </c>
      <c r="J551" s="298" t="s">
        <v>192</v>
      </c>
      <c r="K551" s="298" t="s">
        <v>325</v>
      </c>
      <c r="L551" s="298" t="s">
        <v>493</v>
      </c>
      <c r="M551" s="301" t="s">
        <v>315</v>
      </c>
      <c r="N551" s="301" t="s">
        <v>315</v>
      </c>
      <c r="O551" s="301" t="s">
        <v>315</v>
      </c>
      <c r="P551" s="301" t="s">
        <v>3463</v>
      </c>
      <c r="Q551" s="301" t="s">
        <v>3463</v>
      </c>
      <c r="R551" s="301" t="s">
        <v>3463</v>
      </c>
      <c r="S551" s="301" t="s">
        <v>3463</v>
      </c>
      <c r="T551" s="301" t="s">
        <v>3463</v>
      </c>
      <c r="U551" s="301" t="s">
        <v>3463</v>
      </c>
      <c r="V551" s="301" t="s">
        <v>3463</v>
      </c>
      <c r="W551" s="298" t="s">
        <v>429</v>
      </c>
      <c r="X551" s="298" t="s">
        <v>306</v>
      </c>
    </row>
    <row r="552">
      <c r="A552" s="295" t="s">
        <v>3464</v>
      </c>
      <c r="B552" s="298">
        <v>4.0</v>
      </c>
      <c r="C552" s="298" t="s">
        <v>288</v>
      </c>
      <c r="D552" s="298" t="s">
        <v>310</v>
      </c>
      <c r="E552" s="298" t="s">
        <v>290</v>
      </c>
      <c r="F552" s="298" t="str">
        <f>'Character Sheet'!$C$9</f>
        <v/>
      </c>
      <c r="G552" s="298" t="s">
        <v>294</v>
      </c>
      <c r="H552" s="298" t="s">
        <v>324</v>
      </c>
      <c r="I552" s="298" t="s">
        <v>324</v>
      </c>
      <c r="J552" s="298" t="s">
        <v>315</v>
      </c>
      <c r="K552" s="298" t="s">
        <v>325</v>
      </c>
      <c r="L552" s="298" t="s">
        <v>493</v>
      </c>
      <c r="M552" s="301" t="s">
        <v>315</v>
      </c>
      <c r="N552" s="301" t="s">
        <v>315</v>
      </c>
      <c r="O552" s="301" t="s">
        <v>315</v>
      </c>
      <c r="P552" s="301" t="s">
        <v>3465</v>
      </c>
      <c r="Q552" s="301" t="s">
        <v>3465</v>
      </c>
      <c r="R552" s="301" t="s">
        <v>3466</v>
      </c>
      <c r="S552" s="301" t="s">
        <v>3466</v>
      </c>
      <c r="T552" s="301" t="s">
        <v>3466</v>
      </c>
      <c r="U552" s="301" t="s">
        <v>3466</v>
      </c>
      <c r="V552" s="301" t="s">
        <v>3466</v>
      </c>
      <c r="W552" s="298" t="s">
        <v>460</v>
      </c>
      <c r="X552" s="298" t="s">
        <v>306</v>
      </c>
    </row>
    <row r="553">
      <c r="A553" s="295" t="s">
        <v>3467</v>
      </c>
      <c r="B553" s="298">
        <v>4.0</v>
      </c>
      <c r="C553" s="298" t="s">
        <v>288</v>
      </c>
      <c r="D553" s="298" t="s">
        <v>462</v>
      </c>
      <c r="E553" s="298" t="s">
        <v>311</v>
      </c>
      <c r="F553" s="298" t="str">
        <f>'Character Sheet'!$C$9</f>
        <v/>
      </c>
      <c r="G553" s="298" t="s">
        <v>294</v>
      </c>
      <c r="H553" s="298" t="s">
        <v>295</v>
      </c>
      <c r="I553" s="298" t="s">
        <v>3468</v>
      </c>
      <c r="J553" s="298" t="s">
        <v>173</v>
      </c>
      <c r="K553" s="298" t="s">
        <v>298</v>
      </c>
      <c r="L553" s="298" t="s">
        <v>493</v>
      </c>
      <c r="M553" s="301" t="s">
        <v>315</v>
      </c>
      <c r="N553" s="301" t="s">
        <v>315</v>
      </c>
      <c r="O553" s="301" t="s">
        <v>315</v>
      </c>
      <c r="P553" s="301" t="s">
        <v>3469</v>
      </c>
      <c r="Q553" s="301" t="s">
        <v>3469</v>
      </c>
      <c r="R553" s="301" t="s">
        <v>3469</v>
      </c>
      <c r="S553" s="301" t="s">
        <v>3469</v>
      </c>
      <c r="T553" s="301" t="s">
        <v>3469</v>
      </c>
      <c r="U553" s="301" t="s">
        <v>3469</v>
      </c>
      <c r="V553" s="301" t="s">
        <v>3469</v>
      </c>
      <c r="W553" s="298" t="s">
        <v>684</v>
      </c>
      <c r="X553" s="298" t="s">
        <v>318</v>
      </c>
    </row>
    <row r="554">
      <c r="A554" s="295" t="s">
        <v>3470</v>
      </c>
      <c r="B554" s="298">
        <v>4.0</v>
      </c>
      <c r="C554" s="298" t="s">
        <v>288</v>
      </c>
      <c r="D554" s="298" t="s">
        <v>321</v>
      </c>
      <c r="E554" s="298" t="s">
        <v>311</v>
      </c>
      <c r="F554" s="298" t="str">
        <f>'Character Sheet'!$C$9</f>
        <v/>
      </c>
      <c r="G554" s="298" t="s">
        <v>294</v>
      </c>
      <c r="H554" s="298" t="s">
        <v>324</v>
      </c>
      <c r="I554" s="298" t="s">
        <v>324</v>
      </c>
      <c r="J554" s="298" t="s">
        <v>315</v>
      </c>
      <c r="K554" s="298" t="s">
        <v>2509</v>
      </c>
      <c r="L554" s="298" t="s">
        <v>493</v>
      </c>
      <c r="M554" s="301" t="s">
        <v>315</v>
      </c>
      <c r="N554" s="301" t="s">
        <v>315</v>
      </c>
      <c r="O554" s="301" t="s">
        <v>315</v>
      </c>
      <c r="P554" s="301" t="s">
        <v>3471</v>
      </c>
      <c r="Q554" s="301" t="s">
        <v>3471</v>
      </c>
      <c r="R554" s="301" t="s">
        <v>3471</v>
      </c>
      <c r="S554" s="301" t="s">
        <v>3471</v>
      </c>
      <c r="T554" s="301" t="s">
        <v>3471</v>
      </c>
      <c r="U554" s="301" t="s">
        <v>3471</v>
      </c>
      <c r="V554" s="301" t="s">
        <v>3471</v>
      </c>
      <c r="W554" s="298" t="s">
        <v>460</v>
      </c>
      <c r="X554" s="298" t="s">
        <v>318</v>
      </c>
    </row>
    <row r="555">
      <c r="A555" s="295" t="s">
        <v>3472</v>
      </c>
      <c r="B555" s="298">
        <v>4.0</v>
      </c>
      <c r="C555" s="298" t="s">
        <v>288</v>
      </c>
      <c r="D555" s="298" t="s">
        <v>334</v>
      </c>
      <c r="E555" s="298" t="s">
        <v>290</v>
      </c>
      <c r="F555" s="298" t="str">
        <f>'Character Sheet'!$C$9</f>
        <v/>
      </c>
      <c r="G555" s="298" t="s">
        <v>294</v>
      </c>
      <c r="H555" s="298" t="s">
        <v>295</v>
      </c>
      <c r="I555" s="298" t="s">
        <v>296</v>
      </c>
      <c r="J555" s="298" t="s">
        <v>173</v>
      </c>
      <c r="K555" s="298" t="s">
        <v>298</v>
      </c>
      <c r="L555" s="298" t="s">
        <v>493</v>
      </c>
      <c r="M555" s="301" t="s">
        <v>315</v>
      </c>
      <c r="N555" s="301" t="s">
        <v>315</v>
      </c>
      <c r="O555" s="301" t="s">
        <v>315</v>
      </c>
      <c r="P555" s="301" t="s">
        <v>3473</v>
      </c>
      <c r="Q555" s="301" t="s">
        <v>3474</v>
      </c>
      <c r="R555" s="301" t="s">
        <v>3475</v>
      </c>
      <c r="S555" s="301" t="s">
        <v>3476</v>
      </c>
      <c r="T555" s="301" t="s">
        <v>3477</v>
      </c>
      <c r="U555" s="301" t="s">
        <v>3478</v>
      </c>
      <c r="V555" s="301" t="s">
        <v>3479</v>
      </c>
      <c r="W555" s="298" t="s">
        <v>331</v>
      </c>
      <c r="X555" s="298" t="s">
        <v>678</v>
      </c>
    </row>
    <row r="556">
      <c r="A556" s="295" t="s">
        <v>3480</v>
      </c>
      <c r="B556" s="298">
        <v>4.0</v>
      </c>
      <c r="C556" s="298" t="s">
        <v>288</v>
      </c>
      <c r="D556" s="298" t="s">
        <v>462</v>
      </c>
      <c r="E556" s="298" t="s">
        <v>290</v>
      </c>
      <c r="F556" s="298" t="str">
        <f>'Character Sheet'!$C$9</f>
        <v/>
      </c>
      <c r="G556" s="298" t="s">
        <v>294</v>
      </c>
      <c r="H556" s="298" t="s">
        <v>324</v>
      </c>
      <c r="I556" s="298" t="s">
        <v>324</v>
      </c>
      <c r="J556" s="298" t="s">
        <v>315</v>
      </c>
      <c r="K556" s="298" t="s">
        <v>1990</v>
      </c>
      <c r="L556" s="298" t="s">
        <v>493</v>
      </c>
      <c r="M556" s="301" t="s">
        <v>315</v>
      </c>
      <c r="N556" s="301" t="s">
        <v>315</v>
      </c>
      <c r="O556" s="301" t="s">
        <v>315</v>
      </c>
      <c r="P556" s="301" t="s">
        <v>3481</v>
      </c>
      <c r="Q556" s="301" t="s">
        <v>3481</v>
      </c>
      <c r="R556" s="301" t="s">
        <v>3482</v>
      </c>
      <c r="S556" s="301" t="s">
        <v>3482</v>
      </c>
      <c r="T556" s="301" t="s">
        <v>3482</v>
      </c>
      <c r="U556" s="301" t="s">
        <v>3482</v>
      </c>
      <c r="V556" s="301" t="s">
        <v>3482</v>
      </c>
      <c r="W556" s="298" t="s">
        <v>460</v>
      </c>
      <c r="X556" s="298" t="s">
        <v>318</v>
      </c>
    </row>
    <row r="557">
      <c r="A557" s="295" t="s">
        <v>3483</v>
      </c>
      <c r="B557" s="298">
        <v>4.0</v>
      </c>
      <c r="C557" s="298" t="s">
        <v>288</v>
      </c>
      <c r="D557" s="298" t="s">
        <v>321</v>
      </c>
      <c r="E557" s="298" t="s">
        <v>290</v>
      </c>
      <c r="F557" s="298" t="str">
        <f>'Character Sheet'!$C$9</f>
        <v/>
      </c>
      <c r="G557" s="298" t="s">
        <v>294</v>
      </c>
      <c r="H557" s="298" t="s">
        <v>295</v>
      </c>
      <c r="I557" s="298" t="s">
        <v>3484</v>
      </c>
      <c r="J557" s="298" t="s">
        <v>315</v>
      </c>
      <c r="K557" s="298" t="s">
        <v>675</v>
      </c>
      <c r="L557" s="298" t="s">
        <v>493</v>
      </c>
      <c r="M557" s="301" t="s">
        <v>315</v>
      </c>
      <c r="N557" s="301" t="s">
        <v>315</v>
      </c>
      <c r="O557" s="301" t="s">
        <v>315</v>
      </c>
      <c r="P557" s="301" t="s">
        <v>3485</v>
      </c>
      <c r="Q557" s="301" t="s">
        <v>3486</v>
      </c>
      <c r="R557" s="301" t="s">
        <v>3486</v>
      </c>
      <c r="S557" s="301" t="s">
        <v>3487</v>
      </c>
      <c r="T557" s="301" t="s">
        <v>3487</v>
      </c>
      <c r="U557" s="301" t="s">
        <v>3487</v>
      </c>
      <c r="V557" s="301" t="s">
        <v>3487</v>
      </c>
      <c r="W557" s="298" t="s">
        <v>460</v>
      </c>
      <c r="X557" s="298" t="s">
        <v>306</v>
      </c>
    </row>
    <row r="558">
      <c r="A558" s="295" t="s">
        <v>3488</v>
      </c>
      <c r="B558" s="298">
        <v>4.0</v>
      </c>
      <c r="C558" s="298" t="s">
        <v>288</v>
      </c>
      <c r="D558" s="298" t="s">
        <v>334</v>
      </c>
      <c r="E558" s="298" t="s">
        <v>290</v>
      </c>
      <c r="F558" s="298" t="s">
        <v>625</v>
      </c>
      <c r="G558" s="298" t="s">
        <v>294</v>
      </c>
      <c r="H558" s="298" t="s">
        <v>324</v>
      </c>
      <c r="I558" s="298" t="s">
        <v>324</v>
      </c>
      <c r="J558" s="298" t="s">
        <v>315</v>
      </c>
      <c r="K558" s="298" t="s">
        <v>1972</v>
      </c>
      <c r="L558" s="298" t="s">
        <v>493</v>
      </c>
      <c r="M558" s="301" t="s">
        <v>315</v>
      </c>
      <c r="N558" s="301" t="s">
        <v>315</v>
      </c>
      <c r="O558" s="301" t="s">
        <v>315</v>
      </c>
      <c r="P558" s="301" t="s">
        <v>3489</v>
      </c>
      <c r="Q558" s="301" t="s">
        <v>3490</v>
      </c>
      <c r="R558" s="301" t="s">
        <v>3491</v>
      </c>
      <c r="S558" s="301" t="s">
        <v>3492</v>
      </c>
      <c r="T558" s="301" t="s">
        <v>3493</v>
      </c>
      <c r="U558" s="301" t="s">
        <v>3494</v>
      </c>
      <c r="V558" s="301" t="s">
        <v>3495</v>
      </c>
      <c r="W558" s="298" t="s">
        <v>389</v>
      </c>
      <c r="X558" s="298" t="s">
        <v>306</v>
      </c>
    </row>
    <row r="559">
      <c r="A559" s="295" t="s">
        <v>3496</v>
      </c>
      <c r="B559" s="298">
        <v>4.0</v>
      </c>
      <c r="C559" s="298" t="s">
        <v>288</v>
      </c>
      <c r="D559" s="298" t="s">
        <v>289</v>
      </c>
      <c r="E559" s="298" t="s">
        <v>290</v>
      </c>
      <c r="F559" s="298" t="str">
        <f>'Character Sheet'!$E$9</f>
        <v/>
      </c>
      <c r="G559" s="298" t="s">
        <v>674</v>
      </c>
      <c r="H559" s="298" t="s">
        <v>352</v>
      </c>
      <c r="I559" s="298" t="s">
        <v>1225</v>
      </c>
      <c r="J559" s="298" t="s">
        <v>315</v>
      </c>
      <c r="K559" s="298" t="s">
        <v>632</v>
      </c>
      <c r="L559" s="298" t="s">
        <v>493</v>
      </c>
      <c r="M559" s="301" t="s">
        <v>315</v>
      </c>
      <c r="N559" s="301" t="s">
        <v>315</v>
      </c>
      <c r="O559" s="301" t="s">
        <v>315</v>
      </c>
      <c r="P559" s="301" t="s">
        <v>3497</v>
      </c>
      <c r="Q559" s="301" t="s">
        <v>3498</v>
      </c>
      <c r="R559" s="301" t="s">
        <v>3499</v>
      </c>
      <c r="S559" s="301" t="s">
        <v>3500</v>
      </c>
      <c r="T559" s="301" t="s">
        <v>3501</v>
      </c>
      <c r="U559" s="301" t="s">
        <v>3502</v>
      </c>
      <c r="V559" s="301" t="s">
        <v>3503</v>
      </c>
      <c r="W559" s="298" t="s">
        <v>305</v>
      </c>
      <c r="X559" s="298" t="s">
        <v>306</v>
      </c>
    </row>
    <row r="560">
      <c r="A560" s="477" t="s">
        <v>3504</v>
      </c>
      <c r="B560" s="298">
        <v>4.0</v>
      </c>
      <c r="C560" s="478" t="s">
        <v>288</v>
      </c>
      <c r="D560" s="478" t="s">
        <v>289</v>
      </c>
      <c r="E560" s="478" t="s">
        <v>290</v>
      </c>
      <c r="F560" s="478" t="str">
        <f>'Character Sheet'!$C$9</f>
        <v/>
      </c>
      <c r="G560" s="478" t="s">
        <v>294</v>
      </c>
      <c r="H560" s="478" t="s">
        <v>324</v>
      </c>
      <c r="I560" s="478" t="s">
        <v>315</v>
      </c>
      <c r="J560" s="478" t="s">
        <v>407</v>
      </c>
      <c r="K560" s="478" t="s">
        <v>298</v>
      </c>
      <c r="L560" s="298" t="s">
        <v>493</v>
      </c>
      <c r="M560" s="301" t="s">
        <v>315</v>
      </c>
      <c r="N560" s="301" t="s">
        <v>315</v>
      </c>
      <c r="O560" s="301" t="s">
        <v>315</v>
      </c>
      <c r="P560" s="479" t="s">
        <v>3505</v>
      </c>
      <c r="Q560" s="479" t="s">
        <v>3506</v>
      </c>
      <c r="R560" s="479" t="s">
        <v>3507</v>
      </c>
      <c r="S560" s="479" t="s">
        <v>3508</v>
      </c>
      <c r="T560" s="479" t="s">
        <v>3509</v>
      </c>
      <c r="U560" s="479" t="s">
        <v>3510</v>
      </c>
      <c r="V560" s="479" t="s">
        <v>3511</v>
      </c>
      <c r="W560" s="478" t="s">
        <v>305</v>
      </c>
      <c r="X560" s="478" t="s">
        <v>306</v>
      </c>
    </row>
    <row r="561">
      <c r="A561" s="295" t="s">
        <v>3512</v>
      </c>
      <c r="B561" s="298">
        <v>4.0</v>
      </c>
      <c r="C561" s="298" t="s">
        <v>522</v>
      </c>
      <c r="D561" s="298" t="s">
        <v>310</v>
      </c>
      <c r="E561" s="298" t="s">
        <v>311</v>
      </c>
      <c r="F561" s="298" t="s">
        <v>999</v>
      </c>
      <c r="G561" s="298" t="s">
        <v>674</v>
      </c>
      <c r="H561" s="298" t="s">
        <v>335</v>
      </c>
      <c r="I561" s="298" t="s">
        <v>296</v>
      </c>
      <c r="J561" s="298" t="s">
        <v>315</v>
      </c>
      <c r="K561" s="298" t="s">
        <v>298</v>
      </c>
      <c r="L561" s="298" t="s">
        <v>493</v>
      </c>
      <c r="M561" s="301" t="s">
        <v>315</v>
      </c>
      <c r="N561" s="301" t="s">
        <v>315</v>
      </c>
      <c r="O561" s="301" t="s">
        <v>315</v>
      </c>
      <c r="P561" s="301" t="s">
        <v>3513</v>
      </c>
      <c r="Q561" s="301" t="s">
        <v>3513</v>
      </c>
      <c r="R561" s="301" t="s">
        <v>3513</v>
      </c>
      <c r="S561" s="301" t="s">
        <v>3513</v>
      </c>
      <c r="T561" s="301" t="s">
        <v>3513</v>
      </c>
      <c r="U561" s="301" t="s">
        <v>3513</v>
      </c>
      <c r="V561" s="301" t="s">
        <v>3513</v>
      </c>
      <c r="W561" s="298" t="s">
        <v>315</v>
      </c>
      <c r="X561" s="298" t="s">
        <v>2632</v>
      </c>
    </row>
    <row r="562">
      <c r="A562" s="341" t="s">
        <v>3514</v>
      </c>
      <c r="B562" s="343">
        <v>4.0</v>
      </c>
      <c r="C562" s="343" t="s">
        <v>288</v>
      </c>
      <c r="D562" s="343" t="s">
        <v>310</v>
      </c>
      <c r="E562" s="343" t="s">
        <v>290</v>
      </c>
      <c r="F562" s="343" t="str">
        <f>'Character Sheet'!$B$9</f>
        <v/>
      </c>
      <c r="G562" s="343" t="s">
        <v>477</v>
      </c>
      <c r="H562" s="343" t="s">
        <v>2993</v>
      </c>
      <c r="I562" s="343" t="s">
        <v>296</v>
      </c>
      <c r="J562" s="343" t="s">
        <v>315</v>
      </c>
      <c r="K562" s="343" t="s">
        <v>478</v>
      </c>
      <c r="L562" s="343" t="s">
        <v>493</v>
      </c>
      <c r="M562" s="344" t="s">
        <v>315</v>
      </c>
      <c r="N562" s="344" t="s">
        <v>315</v>
      </c>
      <c r="O562" s="344" t="s">
        <v>315</v>
      </c>
      <c r="P562" s="344" t="s">
        <v>3515</v>
      </c>
      <c r="Q562" s="344" t="s">
        <v>3515</v>
      </c>
      <c r="R562" s="344" t="s">
        <v>3515</v>
      </c>
      <c r="S562" s="344" t="s">
        <v>3515</v>
      </c>
      <c r="T562" s="344" t="s">
        <v>3515</v>
      </c>
      <c r="U562" s="344" t="s">
        <v>3515</v>
      </c>
      <c r="V562" s="344" t="s">
        <v>3515</v>
      </c>
      <c r="W562" s="343" t="s">
        <v>460</v>
      </c>
      <c r="X562" s="343" t="s">
        <v>318</v>
      </c>
    </row>
    <row r="563">
      <c r="A563" s="295" t="s">
        <v>3516</v>
      </c>
      <c r="B563" s="298">
        <v>5.0</v>
      </c>
      <c r="C563" s="298" t="s">
        <v>288</v>
      </c>
      <c r="D563" s="298" t="s">
        <v>462</v>
      </c>
      <c r="E563" s="298" t="s">
        <v>290</v>
      </c>
      <c r="F563" s="298" t="str">
        <f>'Character Sheet'!$C$9</f>
        <v/>
      </c>
      <c r="G563" s="298" t="s">
        <v>294</v>
      </c>
      <c r="H563" s="298" t="s">
        <v>324</v>
      </c>
      <c r="I563" s="298" t="s">
        <v>324</v>
      </c>
      <c r="J563" s="298" t="s">
        <v>315</v>
      </c>
      <c r="K563" s="298" t="s">
        <v>632</v>
      </c>
      <c r="L563" s="298" t="s">
        <v>493</v>
      </c>
      <c r="M563" s="301" t="s">
        <v>315</v>
      </c>
      <c r="N563" s="301" t="s">
        <v>315</v>
      </c>
      <c r="O563" s="301" t="s">
        <v>315</v>
      </c>
      <c r="P563" s="301" t="s">
        <v>315</v>
      </c>
      <c r="Q563" s="301" t="s">
        <v>3517</v>
      </c>
      <c r="R563" s="301" t="s">
        <v>3518</v>
      </c>
      <c r="S563" s="301" t="s">
        <v>3518</v>
      </c>
      <c r="T563" s="301" t="s">
        <v>3518</v>
      </c>
      <c r="U563" s="301" t="s">
        <v>3518</v>
      </c>
      <c r="V563" s="301" t="s">
        <v>3518</v>
      </c>
      <c r="W563" s="298" t="s">
        <v>536</v>
      </c>
      <c r="X563" s="298" t="s">
        <v>318</v>
      </c>
    </row>
    <row r="564">
      <c r="A564" s="295" t="s">
        <v>3519</v>
      </c>
      <c r="B564" s="298">
        <v>5.0</v>
      </c>
      <c r="C564" s="298" t="s">
        <v>288</v>
      </c>
      <c r="D564" s="298" t="s">
        <v>334</v>
      </c>
      <c r="E564" s="298" t="s">
        <v>311</v>
      </c>
      <c r="F564" s="298" t="str">
        <f>'Character Sheet'!$C$9</f>
        <v/>
      </c>
      <c r="G564" s="298" t="s">
        <v>294</v>
      </c>
      <c r="H564" s="298" t="s">
        <v>335</v>
      </c>
      <c r="I564" s="298" t="s">
        <v>296</v>
      </c>
      <c r="J564" s="298" t="s">
        <v>173</v>
      </c>
      <c r="K564" s="298" t="s">
        <v>298</v>
      </c>
      <c r="L564" s="298" t="s">
        <v>493</v>
      </c>
      <c r="M564" s="301" t="s">
        <v>315</v>
      </c>
      <c r="N564" s="301" t="s">
        <v>315</v>
      </c>
      <c r="O564" s="301" t="s">
        <v>315</v>
      </c>
      <c r="P564" s="301" t="s">
        <v>315</v>
      </c>
      <c r="Q564" s="301" t="s">
        <v>3520</v>
      </c>
      <c r="R564" s="301" t="s">
        <v>3521</v>
      </c>
      <c r="S564" s="301" t="s">
        <v>3522</v>
      </c>
      <c r="T564" s="301" t="s">
        <v>3523</v>
      </c>
      <c r="U564" s="301" t="s">
        <v>3524</v>
      </c>
      <c r="V564" s="301" t="s">
        <v>3525</v>
      </c>
      <c r="W564" s="298" t="s">
        <v>429</v>
      </c>
      <c r="X564" s="298" t="s">
        <v>306</v>
      </c>
    </row>
    <row r="565">
      <c r="A565" s="295" t="s">
        <v>3526</v>
      </c>
      <c r="B565" s="298">
        <v>5.0</v>
      </c>
      <c r="C565" s="298" t="s">
        <v>288</v>
      </c>
      <c r="D565" s="298" t="s">
        <v>289</v>
      </c>
      <c r="E565" s="298" t="s">
        <v>290</v>
      </c>
      <c r="F565" s="298" t="str">
        <f>'Character Sheet'!$C$9</f>
        <v/>
      </c>
      <c r="G565" s="298" t="s">
        <v>294</v>
      </c>
      <c r="H565" s="298" t="s">
        <v>352</v>
      </c>
      <c r="I565" s="298" t="s">
        <v>1000</v>
      </c>
      <c r="J565" s="298" t="s">
        <v>407</v>
      </c>
      <c r="K565" s="298" t="s">
        <v>632</v>
      </c>
      <c r="L565" s="298" t="s">
        <v>493</v>
      </c>
      <c r="M565" s="301" t="s">
        <v>315</v>
      </c>
      <c r="N565" s="301" t="s">
        <v>315</v>
      </c>
      <c r="O565" s="301" t="s">
        <v>315</v>
      </c>
      <c r="P565" s="301" t="s">
        <v>315</v>
      </c>
      <c r="Q565" s="301" t="s">
        <v>3527</v>
      </c>
      <c r="R565" s="301" t="s">
        <v>3527</v>
      </c>
      <c r="S565" s="301" t="s">
        <v>3528</v>
      </c>
      <c r="T565" s="301" t="s">
        <v>3528</v>
      </c>
      <c r="U565" s="301" t="s">
        <v>3529</v>
      </c>
      <c r="V565" s="301" t="s">
        <v>3529</v>
      </c>
      <c r="W565" s="298" t="s">
        <v>305</v>
      </c>
      <c r="X565" s="298" t="s">
        <v>966</v>
      </c>
    </row>
    <row r="566">
      <c r="A566" s="295" t="s">
        <v>3530</v>
      </c>
      <c r="B566" s="298">
        <v>5.0</v>
      </c>
      <c r="C566" s="298" t="s">
        <v>288</v>
      </c>
      <c r="D566" s="298" t="s">
        <v>421</v>
      </c>
      <c r="E566" s="298" t="s">
        <v>290</v>
      </c>
      <c r="F566" s="298" t="s">
        <v>3531</v>
      </c>
      <c r="G566" s="298" t="s">
        <v>674</v>
      </c>
      <c r="H566" s="298" t="s">
        <v>335</v>
      </c>
      <c r="I566" s="298" t="s">
        <v>3532</v>
      </c>
      <c r="J566" s="298" t="s">
        <v>192</v>
      </c>
      <c r="K566" s="298" t="s">
        <v>3533</v>
      </c>
      <c r="L566" s="298" t="s">
        <v>493</v>
      </c>
      <c r="M566" s="301" t="s">
        <v>315</v>
      </c>
      <c r="N566" s="301" t="s">
        <v>315</v>
      </c>
      <c r="O566" s="301" t="s">
        <v>315</v>
      </c>
      <c r="P566" s="301" t="s">
        <v>315</v>
      </c>
      <c r="Q566" s="301" t="s">
        <v>3534</v>
      </c>
      <c r="R566" s="301" t="s">
        <v>3534</v>
      </c>
      <c r="S566" s="301" t="s">
        <v>3535</v>
      </c>
      <c r="T566" s="301" t="s">
        <v>3535</v>
      </c>
      <c r="U566" s="301" t="s">
        <v>3536</v>
      </c>
      <c r="V566" s="301" t="s">
        <v>3536</v>
      </c>
      <c r="W566" s="298" t="s">
        <v>331</v>
      </c>
      <c r="X566" s="298" t="s">
        <v>318</v>
      </c>
    </row>
    <row r="567">
      <c r="A567" s="295" t="s">
        <v>3537</v>
      </c>
      <c r="B567" s="298">
        <v>5.0</v>
      </c>
      <c r="C567" s="298" t="s">
        <v>288</v>
      </c>
      <c r="D567" s="298" t="s">
        <v>421</v>
      </c>
      <c r="E567" s="298" t="s">
        <v>290</v>
      </c>
      <c r="F567" s="298" t="str">
        <f>'Character Sheet'!$C$9</f>
        <v/>
      </c>
      <c r="G567" s="298" t="s">
        <v>294</v>
      </c>
      <c r="H567" s="298" t="s">
        <v>295</v>
      </c>
      <c r="I567" s="298" t="s">
        <v>296</v>
      </c>
      <c r="J567" s="298" t="s">
        <v>192</v>
      </c>
      <c r="K567" s="298" t="s">
        <v>298</v>
      </c>
      <c r="L567" s="298" t="s">
        <v>493</v>
      </c>
      <c r="M567" s="301" t="s">
        <v>315</v>
      </c>
      <c r="N567" s="301" t="s">
        <v>315</v>
      </c>
      <c r="O567" s="301" t="s">
        <v>315</v>
      </c>
      <c r="P567" s="301" t="s">
        <v>315</v>
      </c>
      <c r="Q567" s="301" t="s">
        <v>3538</v>
      </c>
      <c r="R567" s="301" t="s">
        <v>3538</v>
      </c>
      <c r="S567" s="301" t="s">
        <v>3538</v>
      </c>
      <c r="T567" s="301" t="s">
        <v>3538</v>
      </c>
      <c r="U567" s="301" t="s">
        <v>3540</v>
      </c>
      <c r="V567" s="301" t="s">
        <v>3540</v>
      </c>
      <c r="W567" s="298" t="s">
        <v>317</v>
      </c>
      <c r="X567" s="298" t="s">
        <v>306</v>
      </c>
    </row>
    <row r="568">
      <c r="A568" s="295" t="s">
        <v>3541</v>
      </c>
      <c r="B568" s="298">
        <v>5.0</v>
      </c>
      <c r="C568" s="298" t="s">
        <v>288</v>
      </c>
      <c r="D568" s="298" t="s">
        <v>151</v>
      </c>
      <c r="E568" s="298" t="s">
        <v>311</v>
      </c>
      <c r="F568" s="298" t="str">
        <f>'Character Sheet'!$E$9</f>
        <v/>
      </c>
      <c r="G568" s="298" t="s">
        <v>674</v>
      </c>
      <c r="H568" s="298" t="s">
        <v>352</v>
      </c>
      <c r="I568" s="298" t="s">
        <v>1000</v>
      </c>
      <c r="J568" s="298" t="s">
        <v>203</v>
      </c>
      <c r="K568" s="298" t="s">
        <v>632</v>
      </c>
      <c r="L568" s="298" t="s">
        <v>493</v>
      </c>
      <c r="M568" s="301" t="s">
        <v>315</v>
      </c>
      <c r="N568" s="301" t="s">
        <v>315</v>
      </c>
      <c r="O568" s="301" t="s">
        <v>315</v>
      </c>
      <c r="P568" s="301" t="s">
        <v>315</v>
      </c>
      <c r="Q568" s="301" t="s">
        <v>3542</v>
      </c>
      <c r="R568" s="301" t="s">
        <v>3542</v>
      </c>
      <c r="S568" s="301" t="s">
        <v>3542</v>
      </c>
      <c r="T568" s="301" t="s">
        <v>3542</v>
      </c>
      <c r="U568" s="301" t="s">
        <v>3542</v>
      </c>
      <c r="V568" s="301" t="s">
        <v>3542</v>
      </c>
      <c r="W568" s="298" t="s">
        <v>460</v>
      </c>
      <c r="X568" s="298" t="s">
        <v>306</v>
      </c>
    </row>
    <row r="569">
      <c r="A569" s="295" t="s">
        <v>3543</v>
      </c>
      <c r="B569" s="298">
        <v>5.0</v>
      </c>
      <c r="C569" s="298" t="s">
        <v>522</v>
      </c>
      <c r="D569" s="298" t="s">
        <v>462</v>
      </c>
      <c r="E569" s="298" t="s">
        <v>311</v>
      </c>
      <c r="F569" s="298" t="str">
        <f>'Character Sheet'!$C$9</f>
        <v/>
      </c>
      <c r="G569" s="298" t="s">
        <v>294</v>
      </c>
      <c r="H569" s="298" t="s">
        <v>335</v>
      </c>
      <c r="I569" s="298" t="s">
        <v>3544</v>
      </c>
      <c r="J569" s="298" t="s">
        <v>315</v>
      </c>
      <c r="K569" s="298" t="s">
        <v>632</v>
      </c>
      <c r="L569" s="298" t="s">
        <v>493</v>
      </c>
      <c r="M569" s="301" t="s">
        <v>315</v>
      </c>
      <c r="N569" s="301" t="s">
        <v>315</v>
      </c>
      <c r="O569" s="301" t="s">
        <v>315</v>
      </c>
      <c r="P569" s="301" t="s">
        <v>315</v>
      </c>
      <c r="Q569" s="301" t="s">
        <v>3545</v>
      </c>
      <c r="R569" s="301" t="s">
        <v>3545</v>
      </c>
      <c r="S569" s="301" t="s">
        <v>3545</v>
      </c>
      <c r="T569" s="301" t="s">
        <v>3545</v>
      </c>
      <c r="U569" s="301" t="s">
        <v>3545</v>
      </c>
      <c r="V569" s="301" t="s">
        <v>3545</v>
      </c>
      <c r="W569" s="298" t="s">
        <v>389</v>
      </c>
      <c r="X569" s="298" t="s">
        <v>1714</v>
      </c>
    </row>
    <row r="570">
      <c r="A570" s="295" t="s">
        <v>3546</v>
      </c>
      <c r="B570" s="298">
        <v>5.0</v>
      </c>
      <c r="C570" s="298" t="s">
        <v>288</v>
      </c>
      <c r="D570" s="298" t="s">
        <v>289</v>
      </c>
      <c r="E570" s="298" t="s">
        <v>290</v>
      </c>
      <c r="F570" s="298" t="str">
        <f>'Character Sheet'!$C$9</f>
        <v/>
      </c>
      <c r="G570" s="298" t="s">
        <v>294</v>
      </c>
      <c r="H570" s="298" t="s">
        <v>324</v>
      </c>
      <c r="I570" s="298" t="s">
        <v>2831</v>
      </c>
      <c r="J570" s="298" t="s">
        <v>180</v>
      </c>
      <c r="K570" s="298" t="s">
        <v>298</v>
      </c>
      <c r="L570" s="298" t="s">
        <v>493</v>
      </c>
      <c r="M570" s="301" t="s">
        <v>315</v>
      </c>
      <c r="N570" s="301" t="s">
        <v>315</v>
      </c>
      <c r="O570" s="301" t="s">
        <v>315</v>
      </c>
      <c r="P570" s="301" t="s">
        <v>315</v>
      </c>
      <c r="Q570" s="301" t="s">
        <v>3547</v>
      </c>
      <c r="R570" s="301" t="s">
        <v>3548</v>
      </c>
      <c r="S570" s="301" t="s">
        <v>3549</v>
      </c>
      <c r="T570" s="301" t="s">
        <v>3550</v>
      </c>
      <c r="U570" s="301" t="s">
        <v>3551</v>
      </c>
      <c r="V570" s="301" t="s">
        <v>3552</v>
      </c>
      <c r="W570" s="298" t="s">
        <v>305</v>
      </c>
      <c r="X570" s="298" t="s">
        <v>318</v>
      </c>
    </row>
    <row r="571">
      <c r="A571" s="295" t="s">
        <v>3553</v>
      </c>
      <c r="B571" s="298">
        <v>5.0</v>
      </c>
      <c r="C571" s="298" t="s">
        <v>288</v>
      </c>
      <c r="D571" s="298" t="s">
        <v>421</v>
      </c>
      <c r="E571" s="298" t="s">
        <v>311</v>
      </c>
      <c r="F571" s="298" t="str">
        <f>'Character Sheet'!$N$9</f>
        <v/>
      </c>
      <c r="G571" s="298" t="s">
        <v>3554</v>
      </c>
      <c r="H571" s="298" t="s">
        <v>295</v>
      </c>
      <c r="I571" s="298" t="s">
        <v>315</v>
      </c>
      <c r="J571" s="298" t="s">
        <v>315</v>
      </c>
      <c r="K571" s="298" t="s">
        <v>478</v>
      </c>
      <c r="L571" s="298" t="s">
        <v>493</v>
      </c>
      <c r="M571" s="301" t="s">
        <v>315</v>
      </c>
      <c r="N571" s="301" t="s">
        <v>315</v>
      </c>
      <c r="O571" s="301" t="s">
        <v>315</v>
      </c>
      <c r="P571" s="301" t="s">
        <v>315</v>
      </c>
      <c r="Q571" s="301" t="s">
        <v>3555</v>
      </c>
      <c r="R571" s="301" t="s">
        <v>3555</v>
      </c>
      <c r="S571" s="301" t="s">
        <v>3555</v>
      </c>
      <c r="T571" s="301" t="s">
        <v>3555</v>
      </c>
      <c r="U571" s="301" t="s">
        <v>3555</v>
      </c>
      <c r="V571" s="301" t="s">
        <v>3555</v>
      </c>
      <c r="W571" s="298" t="s">
        <v>389</v>
      </c>
      <c r="X571" s="298" t="s">
        <v>318</v>
      </c>
    </row>
    <row r="572">
      <c r="A572" s="295" t="s">
        <v>3556</v>
      </c>
      <c r="B572" s="298">
        <v>5.0</v>
      </c>
      <c r="C572" s="298" t="s">
        <v>522</v>
      </c>
      <c r="D572" s="298" t="s">
        <v>321</v>
      </c>
      <c r="E572" s="298" t="s">
        <v>311</v>
      </c>
      <c r="F572" s="298" t="s">
        <v>625</v>
      </c>
      <c r="G572" s="298" t="s">
        <v>674</v>
      </c>
      <c r="H572" s="298" t="s">
        <v>335</v>
      </c>
      <c r="I572" s="298" t="s">
        <v>435</v>
      </c>
      <c r="J572" s="298" t="s">
        <v>315</v>
      </c>
      <c r="K572" s="298" t="s">
        <v>1972</v>
      </c>
      <c r="L572" s="298" t="s">
        <v>493</v>
      </c>
      <c r="M572" s="301" t="s">
        <v>315</v>
      </c>
      <c r="N572" s="301" t="s">
        <v>315</v>
      </c>
      <c r="O572" s="301" t="s">
        <v>315</v>
      </c>
      <c r="P572" s="301" t="s">
        <v>315</v>
      </c>
      <c r="Q572" s="301" t="s">
        <v>3557</v>
      </c>
      <c r="R572" s="301" t="s">
        <v>3557</v>
      </c>
      <c r="S572" s="301" t="s">
        <v>3557</v>
      </c>
      <c r="T572" s="301" t="s">
        <v>3557</v>
      </c>
      <c r="U572" s="301" t="s">
        <v>3557</v>
      </c>
      <c r="V572" s="301" t="s">
        <v>3557</v>
      </c>
      <c r="W572" s="298" t="s">
        <v>460</v>
      </c>
      <c r="X572" s="298" t="s">
        <v>2632</v>
      </c>
    </row>
    <row r="573">
      <c r="A573" s="295" t="s">
        <v>3558</v>
      </c>
      <c r="B573" s="298">
        <v>5.0</v>
      </c>
      <c r="C573" s="298" t="s">
        <v>288</v>
      </c>
      <c r="D573" s="298" t="s">
        <v>151</v>
      </c>
      <c r="E573" s="298" t="s">
        <v>290</v>
      </c>
      <c r="F573" s="298" t="str">
        <f>'Character Sheet'!$C$9</f>
        <v/>
      </c>
      <c r="G573" s="298" t="s">
        <v>294</v>
      </c>
      <c r="H573" s="298" t="s">
        <v>360</v>
      </c>
      <c r="I573" s="298" t="s">
        <v>324</v>
      </c>
      <c r="J573" s="298" t="s">
        <v>203</v>
      </c>
      <c r="K573" s="298" t="s">
        <v>298</v>
      </c>
      <c r="L573" s="298" t="s">
        <v>493</v>
      </c>
      <c r="M573" s="301" t="s">
        <v>315</v>
      </c>
      <c r="N573" s="301" t="s">
        <v>315</v>
      </c>
      <c r="O573" s="301" t="s">
        <v>315</v>
      </c>
      <c r="P573" s="301" t="s">
        <v>315</v>
      </c>
      <c r="Q573" s="301" t="s">
        <v>3559</v>
      </c>
      <c r="R573" s="301" t="s">
        <v>3559</v>
      </c>
      <c r="S573" s="301" t="s">
        <v>3560</v>
      </c>
      <c r="T573" s="301" t="s">
        <v>3560</v>
      </c>
      <c r="U573" s="301" t="s">
        <v>3561</v>
      </c>
      <c r="V573" s="301" t="s">
        <v>3561</v>
      </c>
      <c r="W573" s="298" t="s">
        <v>331</v>
      </c>
      <c r="X573" s="298" t="s">
        <v>318</v>
      </c>
    </row>
    <row r="574">
      <c r="A574" s="295" t="s">
        <v>3562</v>
      </c>
      <c r="B574" s="298">
        <v>5.0</v>
      </c>
      <c r="C574" s="298" t="s">
        <v>288</v>
      </c>
      <c r="D574" s="298" t="s">
        <v>334</v>
      </c>
      <c r="E574" s="298" t="s">
        <v>290</v>
      </c>
      <c r="F574" s="298" t="str">
        <f>'Character Sheet'!$C$9</f>
        <v/>
      </c>
      <c r="G574" s="298" t="s">
        <v>294</v>
      </c>
      <c r="H574" s="298" t="s">
        <v>360</v>
      </c>
      <c r="I574" s="298" t="s">
        <v>296</v>
      </c>
      <c r="J574" s="298" t="s">
        <v>173</v>
      </c>
      <c r="K574" s="298" t="s">
        <v>632</v>
      </c>
      <c r="L574" s="298" t="s">
        <v>493</v>
      </c>
      <c r="M574" s="301" t="s">
        <v>315</v>
      </c>
      <c r="N574" s="301" t="s">
        <v>315</v>
      </c>
      <c r="O574" s="301" t="s">
        <v>315</v>
      </c>
      <c r="P574" s="301" t="s">
        <v>315</v>
      </c>
      <c r="Q574" s="301" t="s">
        <v>3563</v>
      </c>
      <c r="R574" s="301" t="s">
        <v>3564</v>
      </c>
      <c r="S574" s="301" t="s">
        <v>3565</v>
      </c>
      <c r="T574" s="301" t="s">
        <v>3566</v>
      </c>
      <c r="U574" s="301" t="s">
        <v>3567</v>
      </c>
      <c r="V574" s="301" t="s">
        <v>3568</v>
      </c>
      <c r="W574" s="298" t="s">
        <v>357</v>
      </c>
      <c r="X574" s="298" t="s">
        <v>678</v>
      </c>
    </row>
    <row r="575">
      <c r="A575" s="295" t="s">
        <v>3569</v>
      </c>
      <c r="B575" s="298">
        <v>5.0</v>
      </c>
      <c r="C575" s="298" t="s">
        <v>522</v>
      </c>
      <c r="D575" s="298" t="s">
        <v>334</v>
      </c>
      <c r="E575" s="298" t="s">
        <v>290</v>
      </c>
      <c r="F575" s="298" t="str">
        <f>'Character Sheet'!$C$9</f>
        <v/>
      </c>
      <c r="G575" s="298" t="s">
        <v>294</v>
      </c>
      <c r="H575" s="298" t="s">
        <v>335</v>
      </c>
      <c r="I575" s="298" t="s">
        <v>296</v>
      </c>
      <c r="J575" s="298" t="s">
        <v>203</v>
      </c>
      <c r="K575" s="298" t="s">
        <v>298</v>
      </c>
      <c r="L575" s="298" t="s">
        <v>493</v>
      </c>
      <c r="M575" s="301" t="s">
        <v>315</v>
      </c>
      <c r="N575" s="301" t="s">
        <v>315</v>
      </c>
      <c r="O575" s="301" t="s">
        <v>315</v>
      </c>
      <c r="P575" s="301" t="s">
        <v>315</v>
      </c>
      <c r="Q575" s="301" t="s">
        <v>3570</v>
      </c>
      <c r="R575" s="301" t="s">
        <v>3571</v>
      </c>
      <c r="S575" s="301" t="s">
        <v>3572</v>
      </c>
      <c r="T575" s="301" t="s">
        <v>3573</v>
      </c>
      <c r="U575" s="301" t="s">
        <v>3574</v>
      </c>
      <c r="V575" s="301" t="s">
        <v>3575</v>
      </c>
      <c r="W575" s="298" t="s">
        <v>331</v>
      </c>
      <c r="X575" s="298" t="s">
        <v>3308</v>
      </c>
    </row>
    <row r="576">
      <c r="A576" s="295" t="s">
        <v>3576</v>
      </c>
      <c r="B576" s="298">
        <v>5.0</v>
      </c>
      <c r="C576" s="298" t="s">
        <v>288</v>
      </c>
      <c r="D576" s="298" t="s">
        <v>334</v>
      </c>
      <c r="E576" s="298" t="s">
        <v>311</v>
      </c>
      <c r="F576" s="298" t="str">
        <f>'Character Sheet'!$K$9</f>
        <v/>
      </c>
      <c r="G576" s="298" t="s">
        <v>477</v>
      </c>
      <c r="H576" s="298" t="s">
        <v>360</v>
      </c>
      <c r="I576" s="298" t="s">
        <v>671</v>
      </c>
      <c r="J576" s="298" t="s">
        <v>315</v>
      </c>
      <c r="K576" s="298" t="s">
        <v>298</v>
      </c>
      <c r="L576" s="298" t="s">
        <v>493</v>
      </c>
      <c r="M576" s="301" t="s">
        <v>315</v>
      </c>
      <c r="N576" s="301" t="s">
        <v>315</v>
      </c>
      <c r="O576" s="301" t="s">
        <v>315</v>
      </c>
      <c r="P576" s="301" t="s">
        <v>315</v>
      </c>
      <c r="Q576" s="301" t="s">
        <v>3577</v>
      </c>
      <c r="R576" s="301" t="s">
        <v>3577</v>
      </c>
      <c r="S576" s="301" t="s">
        <v>3577</v>
      </c>
      <c r="T576" s="301" t="s">
        <v>3577</v>
      </c>
      <c r="U576" s="301" t="s">
        <v>3577</v>
      </c>
      <c r="V576" s="301" t="s">
        <v>3577</v>
      </c>
      <c r="W576" s="298" t="s">
        <v>404</v>
      </c>
      <c r="X576" s="298" t="s">
        <v>306</v>
      </c>
    </row>
    <row r="577">
      <c r="A577" s="295" t="s">
        <v>3578</v>
      </c>
      <c r="B577" s="298">
        <v>5.0</v>
      </c>
      <c r="C577" s="298" t="s">
        <v>288</v>
      </c>
      <c r="D577" s="298" t="s">
        <v>321</v>
      </c>
      <c r="E577" s="298" t="s">
        <v>290</v>
      </c>
      <c r="F577" s="298" t="str">
        <f>'Character Sheet'!$E$9</f>
        <v/>
      </c>
      <c r="G577" s="298" t="s">
        <v>674</v>
      </c>
      <c r="H577" s="298" t="s">
        <v>3579</v>
      </c>
      <c r="I577" s="298" t="s">
        <v>3580</v>
      </c>
      <c r="J577" s="298" t="s">
        <v>315</v>
      </c>
      <c r="K577" s="298" t="s">
        <v>325</v>
      </c>
      <c r="L577" s="298" t="s">
        <v>493</v>
      </c>
      <c r="M577" s="301" t="s">
        <v>315</v>
      </c>
      <c r="N577" s="301" t="s">
        <v>315</v>
      </c>
      <c r="O577" s="301" t="s">
        <v>315</v>
      </c>
      <c r="P577" s="301" t="s">
        <v>315</v>
      </c>
      <c r="Q577" s="301" t="s">
        <v>3581</v>
      </c>
      <c r="R577" s="301" t="s">
        <v>3582</v>
      </c>
      <c r="S577" s="301" t="s">
        <v>3582</v>
      </c>
      <c r="T577" s="301" t="s">
        <v>3583</v>
      </c>
      <c r="U577" s="301" t="s">
        <v>3583</v>
      </c>
      <c r="V577" s="301" t="s">
        <v>3583</v>
      </c>
      <c r="W577" s="298" t="s">
        <v>499</v>
      </c>
      <c r="X577" s="298" t="s">
        <v>678</v>
      </c>
    </row>
    <row r="578">
      <c r="A578" s="295" t="s">
        <v>3584</v>
      </c>
      <c r="B578" s="298">
        <v>5.0</v>
      </c>
      <c r="C578" s="298" t="s">
        <v>288</v>
      </c>
      <c r="D578" s="298" t="s">
        <v>421</v>
      </c>
      <c r="E578" s="298" t="s">
        <v>290</v>
      </c>
      <c r="F578" s="298" t="str">
        <f>'Character Sheet'!$E$9</f>
        <v/>
      </c>
      <c r="G578" s="298" t="s">
        <v>674</v>
      </c>
      <c r="H578" s="298" t="s">
        <v>352</v>
      </c>
      <c r="I578" s="298" t="s">
        <v>1225</v>
      </c>
      <c r="J578" s="298" t="s">
        <v>407</v>
      </c>
      <c r="K578" s="298" t="s">
        <v>325</v>
      </c>
      <c r="L578" s="298" t="s">
        <v>493</v>
      </c>
      <c r="M578" s="301" t="s">
        <v>315</v>
      </c>
      <c r="N578" s="301" t="s">
        <v>315</v>
      </c>
      <c r="O578" s="301" t="s">
        <v>315</v>
      </c>
      <c r="P578" s="301" t="s">
        <v>315</v>
      </c>
      <c r="Q578" s="301" t="s">
        <v>3585</v>
      </c>
      <c r="R578" s="301" t="s">
        <v>3585</v>
      </c>
      <c r="S578" s="301" t="s">
        <v>3586</v>
      </c>
      <c r="T578" s="301" t="s">
        <v>3586</v>
      </c>
      <c r="U578" s="301" t="s">
        <v>3586</v>
      </c>
      <c r="V578" s="301" t="s">
        <v>3586</v>
      </c>
      <c r="W578" s="298" t="s">
        <v>460</v>
      </c>
      <c r="X578" s="298" t="s">
        <v>306</v>
      </c>
    </row>
    <row r="579">
      <c r="A579" s="295" t="s">
        <v>3587</v>
      </c>
      <c r="B579" s="298">
        <v>5.0</v>
      </c>
      <c r="C579" s="298" t="s">
        <v>288</v>
      </c>
      <c r="D579" s="298" t="s">
        <v>321</v>
      </c>
      <c r="E579" s="298" t="s">
        <v>311</v>
      </c>
      <c r="F579" s="298" t="str">
        <f>'Character Sheet'!$C$9</f>
        <v/>
      </c>
      <c r="G579" s="298" t="s">
        <v>294</v>
      </c>
      <c r="H579" s="298" t="s">
        <v>295</v>
      </c>
      <c r="I579" s="298" t="s">
        <v>296</v>
      </c>
      <c r="J579" s="298" t="s">
        <v>192</v>
      </c>
      <c r="K579" s="298" t="s">
        <v>632</v>
      </c>
      <c r="L579" s="298" t="s">
        <v>493</v>
      </c>
      <c r="M579" s="301" t="s">
        <v>315</v>
      </c>
      <c r="N579" s="301" t="s">
        <v>315</v>
      </c>
      <c r="O579" s="301" t="s">
        <v>315</v>
      </c>
      <c r="P579" s="301" t="s">
        <v>315</v>
      </c>
      <c r="Q579" s="301" t="s">
        <v>3588</v>
      </c>
      <c r="R579" s="301" t="s">
        <v>3588</v>
      </c>
      <c r="S579" s="301" t="s">
        <v>3588</v>
      </c>
      <c r="T579" s="301" t="s">
        <v>3588</v>
      </c>
      <c r="U579" s="301" t="s">
        <v>3588</v>
      </c>
      <c r="V579" s="301" t="s">
        <v>3588</v>
      </c>
      <c r="W579" s="298" t="s">
        <v>460</v>
      </c>
      <c r="X579" s="298" t="s">
        <v>306</v>
      </c>
    </row>
    <row r="580">
      <c r="A580" s="295" t="s">
        <v>3589</v>
      </c>
      <c r="B580" s="298">
        <v>5.0</v>
      </c>
      <c r="C580" s="298" t="s">
        <v>288</v>
      </c>
      <c r="D580" s="298" t="s">
        <v>334</v>
      </c>
      <c r="E580" s="298" t="s">
        <v>290</v>
      </c>
      <c r="F580" s="298" t="str">
        <f>'Character Sheet'!$E$9</f>
        <v/>
      </c>
      <c r="G580" s="298" t="s">
        <v>674</v>
      </c>
      <c r="H580" s="298" t="s">
        <v>352</v>
      </c>
      <c r="I580" s="298" t="s">
        <v>1000</v>
      </c>
      <c r="J580" s="298" t="s">
        <v>336</v>
      </c>
      <c r="K580" s="298" t="s">
        <v>632</v>
      </c>
      <c r="L580" s="298" t="s">
        <v>493</v>
      </c>
      <c r="M580" s="301" t="s">
        <v>315</v>
      </c>
      <c r="N580" s="301" t="s">
        <v>315</v>
      </c>
      <c r="O580" s="301" t="s">
        <v>315</v>
      </c>
      <c r="P580" s="301" t="s">
        <v>315</v>
      </c>
      <c r="Q580" s="301" t="s">
        <v>3590</v>
      </c>
      <c r="R580" s="301" t="s">
        <v>3591</v>
      </c>
      <c r="S580" s="301" t="s">
        <v>3592</v>
      </c>
      <c r="T580" s="301" t="s">
        <v>3593</v>
      </c>
      <c r="U580" s="301" t="s">
        <v>3594</v>
      </c>
      <c r="V580" s="301" t="s">
        <v>3595</v>
      </c>
      <c r="W580" s="298" t="s">
        <v>305</v>
      </c>
      <c r="X580" s="298" t="s">
        <v>306</v>
      </c>
    </row>
    <row r="581">
      <c r="A581" s="295" t="s">
        <v>3596</v>
      </c>
      <c r="B581" s="298">
        <v>5.0</v>
      </c>
      <c r="C581" s="298" t="s">
        <v>288</v>
      </c>
      <c r="D581" s="298" t="s">
        <v>289</v>
      </c>
      <c r="E581" s="298" t="s">
        <v>290</v>
      </c>
      <c r="F581" s="298" t="str">
        <f>'Character Sheet'!$C$9</f>
        <v/>
      </c>
      <c r="G581" s="298" t="s">
        <v>294</v>
      </c>
      <c r="H581" s="298" t="s">
        <v>324</v>
      </c>
      <c r="I581" s="298" t="s">
        <v>360</v>
      </c>
      <c r="J581" s="298" t="s">
        <v>407</v>
      </c>
      <c r="K581" s="298" t="s">
        <v>298</v>
      </c>
      <c r="L581" s="298" t="s">
        <v>493</v>
      </c>
      <c r="M581" s="301" t="s">
        <v>315</v>
      </c>
      <c r="N581" s="301" t="s">
        <v>315</v>
      </c>
      <c r="O581" s="301" t="s">
        <v>315</v>
      </c>
      <c r="P581" s="301" t="s">
        <v>315</v>
      </c>
      <c r="Q581" s="301" t="s">
        <v>3597</v>
      </c>
      <c r="R581" s="301" t="s">
        <v>3598</v>
      </c>
      <c r="S581" s="301" t="s">
        <v>3599</v>
      </c>
      <c r="T581" s="301" t="s">
        <v>3600</v>
      </c>
      <c r="U581" s="301" t="s">
        <v>3601</v>
      </c>
      <c r="V581" s="301" t="s">
        <v>3602</v>
      </c>
      <c r="W581" s="298" t="s">
        <v>305</v>
      </c>
      <c r="X581" s="298" t="s">
        <v>306</v>
      </c>
    </row>
    <row r="582">
      <c r="A582" s="295" t="s">
        <v>3603</v>
      </c>
      <c r="B582" s="298">
        <v>5.0</v>
      </c>
      <c r="C582" s="298" t="s">
        <v>288</v>
      </c>
      <c r="D582" s="298" t="s">
        <v>289</v>
      </c>
      <c r="E582" s="298" t="s">
        <v>311</v>
      </c>
      <c r="F582" s="298" t="str">
        <f>'Character Sheet'!$C$9</f>
        <v/>
      </c>
      <c r="G582" s="298" t="s">
        <v>294</v>
      </c>
      <c r="H582" s="298" t="s">
        <v>1278</v>
      </c>
      <c r="I582" s="298" t="s">
        <v>3604</v>
      </c>
      <c r="J582" s="298" t="s">
        <v>315</v>
      </c>
      <c r="K582" s="298" t="s">
        <v>298</v>
      </c>
      <c r="L582" s="298" t="s">
        <v>493</v>
      </c>
      <c r="M582" s="301" t="s">
        <v>315</v>
      </c>
      <c r="N582" s="301" t="s">
        <v>315</v>
      </c>
      <c r="O582" s="301" t="s">
        <v>315</v>
      </c>
      <c r="P582" s="301" t="s">
        <v>315</v>
      </c>
      <c r="Q582" s="301" t="s">
        <v>3605</v>
      </c>
      <c r="R582" s="301" t="s">
        <v>3605</v>
      </c>
      <c r="S582" s="301" t="s">
        <v>3605</v>
      </c>
      <c r="T582" s="301" t="s">
        <v>3605</v>
      </c>
      <c r="U582" s="301" t="s">
        <v>3605</v>
      </c>
      <c r="V582" s="301" t="s">
        <v>3605</v>
      </c>
      <c r="W582" s="298" t="s">
        <v>305</v>
      </c>
      <c r="X582" s="298" t="s">
        <v>306</v>
      </c>
    </row>
    <row r="583">
      <c r="A583" s="295" t="s">
        <v>3606</v>
      </c>
      <c r="B583" s="298">
        <v>5.0</v>
      </c>
      <c r="C583" s="298" t="s">
        <v>288</v>
      </c>
      <c r="D583" s="298" t="s">
        <v>359</v>
      </c>
      <c r="E583" s="298" t="s">
        <v>290</v>
      </c>
      <c r="F583" s="298" t="str">
        <f>'Character Sheet'!$C$9</f>
        <v/>
      </c>
      <c r="G583" s="298" t="s">
        <v>294</v>
      </c>
      <c r="H583" s="298" t="s">
        <v>324</v>
      </c>
      <c r="I583" s="298" t="s">
        <v>2051</v>
      </c>
      <c r="J583" s="298" t="s">
        <v>192</v>
      </c>
      <c r="K583" s="298" t="s">
        <v>1174</v>
      </c>
      <c r="L583" s="298" t="s">
        <v>493</v>
      </c>
      <c r="M583" s="301" t="s">
        <v>315</v>
      </c>
      <c r="N583" s="301" t="s">
        <v>315</v>
      </c>
      <c r="O583" s="301" t="s">
        <v>315</v>
      </c>
      <c r="P583" s="301" t="s">
        <v>315</v>
      </c>
      <c r="Q583" s="301" t="s">
        <v>3607</v>
      </c>
      <c r="R583" s="301" t="s">
        <v>3607</v>
      </c>
      <c r="S583" s="301" t="s">
        <v>3608</v>
      </c>
      <c r="T583" s="301" t="s">
        <v>3608</v>
      </c>
      <c r="U583" s="301" t="s">
        <v>3608</v>
      </c>
      <c r="V583" s="301" t="s">
        <v>3608</v>
      </c>
      <c r="W583" s="298" t="s">
        <v>460</v>
      </c>
      <c r="X583" s="298" t="s">
        <v>306</v>
      </c>
    </row>
    <row r="584">
      <c r="A584" s="295" t="s">
        <v>3609</v>
      </c>
      <c r="B584" s="298">
        <v>5.0</v>
      </c>
      <c r="C584" s="298" t="s">
        <v>288</v>
      </c>
      <c r="D584" s="298" t="s">
        <v>421</v>
      </c>
      <c r="E584" s="298" t="s">
        <v>311</v>
      </c>
      <c r="F584" s="298" t="str">
        <f>'Character Sheet'!$C$9</f>
        <v/>
      </c>
      <c r="G584" s="298" t="s">
        <v>294</v>
      </c>
      <c r="H584" s="298" t="s">
        <v>335</v>
      </c>
      <c r="I584" s="298" t="s">
        <v>2038</v>
      </c>
      <c r="J584" s="298" t="s">
        <v>315</v>
      </c>
      <c r="K584" s="298" t="s">
        <v>325</v>
      </c>
      <c r="L584" s="298" t="s">
        <v>493</v>
      </c>
      <c r="M584" s="301" t="s">
        <v>315</v>
      </c>
      <c r="N584" s="301" t="s">
        <v>315</v>
      </c>
      <c r="O584" s="301" t="s">
        <v>315</v>
      </c>
      <c r="P584" s="301" t="s">
        <v>315</v>
      </c>
      <c r="Q584" s="301" t="s">
        <v>3610</v>
      </c>
      <c r="R584" s="301" t="s">
        <v>3610</v>
      </c>
      <c r="S584" s="301" t="s">
        <v>3610</v>
      </c>
      <c r="T584" s="301" t="s">
        <v>3610</v>
      </c>
      <c r="U584" s="301" t="s">
        <v>3610</v>
      </c>
      <c r="V584" s="301" t="s">
        <v>3610</v>
      </c>
      <c r="W584" s="298" t="s">
        <v>483</v>
      </c>
      <c r="X584" s="298" t="s">
        <v>306</v>
      </c>
    </row>
    <row r="585">
      <c r="A585" s="295" t="s">
        <v>3611</v>
      </c>
      <c r="B585" s="298">
        <v>5.0</v>
      </c>
      <c r="C585" s="298" t="s">
        <v>522</v>
      </c>
      <c r="D585" s="298" t="s">
        <v>462</v>
      </c>
      <c r="E585" s="298" t="s">
        <v>290</v>
      </c>
      <c r="F585" s="298" t="str">
        <f>'Character Sheet'!$K$9</f>
        <v/>
      </c>
      <c r="G585" s="298" t="s">
        <v>477</v>
      </c>
      <c r="H585" s="298" t="s">
        <v>360</v>
      </c>
      <c r="I585" s="298" t="s">
        <v>3612</v>
      </c>
      <c r="J585" s="298" t="s">
        <v>315</v>
      </c>
      <c r="K585" s="298" t="s">
        <v>298</v>
      </c>
      <c r="L585" s="298" t="s">
        <v>493</v>
      </c>
      <c r="M585" s="301" t="s">
        <v>315</v>
      </c>
      <c r="N585" s="301" t="s">
        <v>315</v>
      </c>
      <c r="O585" s="301" t="s">
        <v>315</v>
      </c>
      <c r="P585" s="301" t="s">
        <v>315</v>
      </c>
      <c r="Q585" s="301" t="s">
        <v>3613</v>
      </c>
      <c r="R585" s="301" t="s">
        <v>3613</v>
      </c>
      <c r="S585" s="301" t="s">
        <v>3613</v>
      </c>
      <c r="T585" s="301" t="s">
        <v>3613</v>
      </c>
      <c r="U585" s="301" t="s">
        <v>3613</v>
      </c>
      <c r="V585" s="301" t="s">
        <v>3613</v>
      </c>
      <c r="W585" s="298" t="s">
        <v>305</v>
      </c>
      <c r="X585" s="298" t="s">
        <v>1082</v>
      </c>
    </row>
    <row r="586">
      <c r="A586" s="295" t="s">
        <v>3614</v>
      </c>
      <c r="B586" s="298">
        <v>5.0</v>
      </c>
      <c r="C586" s="298" t="s">
        <v>288</v>
      </c>
      <c r="D586" s="298" t="s">
        <v>359</v>
      </c>
      <c r="E586" s="298" t="s">
        <v>311</v>
      </c>
      <c r="F586" s="298" t="s">
        <v>999</v>
      </c>
      <c r="G586" s="298" t="s">
        <v>674</v>
      </c>
      <c r="H586" s="298" t="s">
        <v>335</v>
      </c>
      <c r="I586" s="298" t="s">
        <v>3615</v>
      </c>
      <c r="J586" s="298" t="s">
        <v>315</v>
      </c>
      <c r="K586" s="298" t="s">
        <v>1001</v>
      </c>
      <c r="L586" s="298" t="s">
        <v>493</v>
      </c>
      <c r="M586" s="301" t="s">
        <v>315</v>
      </c>
      <c r="N586" s="301" t="s">
        <v>315</v>
      </c>
      <c r="O586" s="301" t="s">
        <v>315</v>
      </c>
      <c r="P586" s="301" t="s">
        <v>315</v>
      </c>
      <c r="Q586" s="301" t="s">
        <v>3616</v>
      </c>
      <c r="R586" s="301" t="s">
        <v>3616</v>
      </c>
      <c r="S586" s="301" t="s">
        <v>3616</v>
      </c>
      <c r="T586" s="301" t="s">
        <v>3616</v>
      </c>
      <c r="U586" s="301" t="s">
        <v>3616</v>
      </c>
      <c r="V586" s="301" t="s">
        <v>3616</v>
      </c>
      <c r="W586" s="298" t="s">
        <v>536</v>
      </c>
      <c r="X586" s="298" t="s">
        <v>306</v>
      </c>
    </row>
    <row r="587">
      <c r="A587" s="295" t="s">
        <v>3617</v>
      </c>
      <c r="B587" s="298">
        <v>5.0</v>
      </c>
      <c r="C587" s="298" t="s">
        <v>522</v>
      </c>
      <c r="D587" s="298" t="s">
        <v>321</v>
      </c>
      <c r="E587" s="298" t="s">
        <v>290</v>
      </c>
      <c r="F587" s="298" t="str">
        <f>'Character Sheet'!$K$9</f>
        <v/>
      </c>
      <c r="G587" s="298" t="s">
        <v>493</v>
      </c>
      <c r="H587" s="298" t="s">
        <v>352</v>
      </c>
      <c r="I587" s="298" t="s">
        <v>296</v>
      </c>
      <c r="J587" s="298" t="s">
        <v>315</v>
      </c>
      <c r="K587" s="298" t="s">
        <v>424</v>
      </c>
      <c r="L587" s="298" t="s">
        <v>493</v>
      </c>
      <c r="M587" s="301" t="s">
        <v>315</v>
      </c>
      <c r="N587" s="301" t="s">
        <v>315</v>
      </c>
      <c r="O587" s="301" t="s">
        <v>315</v>
      </c>
      <c r="P587" s="301" t="s">
        <v>315</v>
      </c>
      <c r="Q587" s="301" t="s">
        <v>3618</v>
      </c>
      <c r="R587" s="301" t="s">
        <v>3618</v>
      </c>
      <c r="S587" s="301" t="s">
        <v>3619</v>
      </c>
      <c r="T587" s="301" t="s">
        <v>3619</v>
      </c>
      <c r="U587" s="301" t="s">
        <v>3619</v>
      </c>
      <c r="V587" s="301" t="s">
        <v>3619</v>
      </c>
      <c r="W587" s="298" t="s">
        <v>978</v>
      </c>
      <c r="X587" s="298" t="s">
        <v>306</v>
      </c>
    </row>
    <row r="588">
      <c r="A588" s="295" t="s">
        <v>3620</v>
      </c>
      <c r="B588" s="298">
        <v>5.0</v>
      </c>
      <c r="C588" s="298" t="s">
        <v>522</v>
      </c>
      <c r="D588" s="298" t="s">
        <v>334</v>
      </c>
      <c r="E588" s="298" t="s">
        <v>311</v>
      </c>
      <c r="F588" s="298" t="str">
        <f>'Character Sheet'!$E$9</f>
        <v/>
      </c>
      <c r="G588" s="298" t="s">
        <v>674</v>
      </c>
      <c r="H588" s="298" t="s">
        <v>295</v>
      </c>
      <c r="I588" s="298" t="s">
        <v>296</v>
      </c>
      <c r="J588" s="298" t="s">
        <v>315</v>
      </c>
      <c r="K588" s="298" t="s">
        <v>298</v>
      </c>
      <c r="L588" s="298" t="s">
        <v>493</v>
      </c>
      <c r="M588" s="301" t="s">
        <v>315</v>
      </c>
      <c r="N588" s="301" t="s">
        <v>315</v>
      </c>
      <c r="O588" s="301" t="s">
        <v>315</v>
      </c>
      <c r="P588" s="301" t="s">
        <v>315</v>
      </c>
      <c r="Q588" s="301" t="s">
        <v>3621</v>
      </c>
      <c r="R588" s="301" t="s">
        <v>3621</v>
      </c>
      <c r="S588" s="301" t="s">
        <v>3621</v>
      </c>
      <c r="T588" s="301" t="s">
        <v>3621</v>
      </c>
      <c r="U588" s="301" t="s">
        <v>3621</v>
      </c>
      <c r="V588" s="301" t="s">
        <v>3621</v>
      </c>
      <c r="W588" s="298" t="s">
        <v>536</v>
      </c>
      <c r="X588" s="298" t="s">
        <v>3125</v>
      </c>
    </row>
    <row r="589">
      <c r="A589" s="295" t="s">
        <v>3622</v>
      </c>
      <c r="B589" s="298">
        <v>5.0</v>
      </c>
      <c r="C589" s="298" t="s">
        <v>288</v>
      </c>
      <c r="D589" s="298" t="s">
        <v>462</v>
      </c>
      <c r="E589" s="298" t="s">
        <v>290</v>
      </c>
      <c r="F589" s="298" t="str">
        <f>'Character Sheet'!$C$9</f>
        <v/>
      </c>
      <c r="G589" s="298" t="s">
        <v>294</v>
      </c>
      <c r="H589" s="298" t="s">
        <v>324</v>
      </c>
      <c r="I589" s="298" t="s">
        <v>324</v>
      </c>
      <c r="J589" s="298" t="s">
        <v>315</v>
      </c>
      <c r="K589" s="298" t="s">
        <v>632</v>
      </c>
      <c r="L589" s="298" t="s">
        <v>493</v>
      </c>
      <c r="M589" s="301" t="s">
        <v>315</v>
      </c>
      <c r="N589" s="301" t="s">
        <v>315</v>
      </c>
      <c r="O589" s="301" t="s">
        <v>315</v>
      </c>
      <c r="P589" s="301" t="s">
        <v>315</v>
      </c>
      <c r="Q589" s="301" t="s">
        <v>3623</v>
      </c>
      <c r="R589" s="301" t="s">
        <v>3624</v>
      </c>
      <c r="S589" s="301" t="s">
        <v>3625</v>
      </c>
      <c r="T589" s="301" t="s">
        <v>3625</v>
      </c>
      <c r="U589" s="301" t="s">
        <v>3625</v>
      </c>
      <c r="V589" s="301" t="s">
        <v>3625</v>
      </c>
      <c r="W589" s="298" t="s">
        <v>305</v>
      </c>
      <c r="X589" s="298" t="s">
        <v>306</v>
      </c>
    </row>
    <row r="590">
      <c r="A590" s="295" t="s">
        <v>3626</v>
      </c>
      <c r="B590" s="298">
        <v>5.0</v>
      </c>
      <c r="C590" s="298" t="s">
        <v>522</v>
      </c>
      <c r="D590" s="298" t="s">
        <v>289</v>
      </c>
      <c r="E590" s="298" t="s">
        <v>311</v>
      </c>
      <c r="F590" s="298" t="str">
        <f>'Character Sheet'!$C$9</f>
        <v/>
      </c>
      <c r="G590" s="298" t="s">
        <v>294</v>
      </c>
      <c r="H590" s="298" t="s">
        <v>360</v>
      </c>
      <c r="I590" s="298" t="s">
        <v>1000</v>
      </c>
      <c r="J590" s="298" t="s">
        <v>407</v>
      </c>
      <c r="K590" s="298" t="s">
        <v>632</v>
      </c>
      <c r="L590" s="298" t="s">
        <v>493</v>
      </c>
      <c r="M590" s="301" t="s">
        <v>315</v>
      </c>
      <c r="N590" s="301" t="s">
        <v>315</v>
      </c>
      <c r="O590" s="301" t="s">
        <v>315</v>
      </c>
      <c r="P590" s="301" t="s">
        <v>315</v>
      </c>
      <c r="Q590" s="301" t="s">
        <v>3627</v>
      </c>
      <c r="R590" s="301" t="s">
        <v>3627</v>
      </c>
      <c r="S590" s="301" t="s">
        <v>3628</v>
      </c>
      <c r="T590" s="301" t="s">
        <v>3628</v>
      </c>
      <c r="U590" s="301" t="s">
        <v>3629</v>
      </c>
      <c r="V590" s="301" t="s">
        <v>3629</v>
      </c>
      <c r="W590" s="298" t="s">
        <v>460</v>
      </c>
      <c r="X590" s="298" t="s">
        <v>569</v>
      </c>
    </row>
    <row r="591">
      <c r="A591" s="295" t="s">
        <v>3630</v>
      </c>
      <c r="B591" s="298">
        <v>5.0</v>
      </c>
      <c r="C591" s="298" t="s">
        <v>522</v>
      </c>
      <c r="D591" s="298" t="s">
        <v>321</v>
      </c>
      <c r="E591" s="298" t="s">
        <v>311</v>
      </c>
      <c r="F591" s="298" t="s">
        <v>999</v>
      </c>
      <c r="G591" s="298" t="s">
        <v>674</v>
      </c>
      <c r="H591" s="298" t="s">
        <v>335</v>
      </c>
      <c r="I591" s="298" t="s">
        <v>3341</v>
      </c>
      <c r="J591" s="298" t="s">
        <v>315</v>
      </c>
      <c r="K591" s="298" t="s">
        <v>1972</v>
      </c>
      <c r="L591" s="298" t="s">
        <v>493</v>
      </c>
      <c r="M591" s="301" t="s">
        <v>315</v>
      </c>
      <c r="N591" s="301" t="s">
        <v>315</v>
      </c>
      <c r="O591" s="301" t="s">
        <v>315</v>
      </c>
      <c r="P591" s="301" t="s">
        <v>315</v>
      </c>
      <c r="Q591" s="301" t="s">
        <v>3631</v>
      </c>
      <c r="R591" s="301" t="s">
        <v>3631</v>
      </c>
      <c r="S591" s="301" t="s">
        <v>3631</v>
      </c>
      <c r="T591" s="301" t="s">
        <v>3631</v>
      </c>
      <c r="U591" s="301" t="s">
        <v>3631</v>
      </c>
      <c r="V591" s="301" t="s">
        <v>3631</v>
      </c>
      <c r="W591" s="298" t="s">
        <v>460</v>
      </c>
      <c r="X591" s="298" t="s">
        <v>306</v>
      </c>
    </row>
    <row r="592">
      <c r="A592" s="295" t="s">
        <v>3632</v>
      </c>
      <c r="B592" s="298">
        <v>5.0</v>
      </c>
      <c r="C592" s="298" t="s">
        <v>288</v>
      </c>
      <c r="D592" s="298" t="s">
        <v>289</v>
      </c>
      <c r="E592" s="298" t="s">
        <v>290</v>
      </c>
      <c r="F592" s="298" t="str">
        <f>'Character Sheet'!$C$9</f>
        <v/>
      </c>
      <c r="G592" s="298" t="s">
        <v>294</v>
      </c>
      <c r="H592" s="298" t="s">
        <v>352</v>
      </c>
      <c r="I592" s="298" t="s">
        <v>3633</v>
      </c>
      <c r="J592" s="298" t="s">
        <v>407</v>
      </c>
      <c r="K592" s="298" t="s">
        <v>298</v>
      </c>
      <c r="L592" s="298" t="s">
        <v>493</v>
      </c>
      <c r="M592" s="301" t="s">
        <v>315</v>
      </c>
      <c r="N592" s="301" t="s">
        <v>315</v>
      </c>
      <c r="O592" s="301" t="s">
        <v>315</v>
      </c>
      <c r="P592" s="301" t="s">
        <v>315</v>
      </c>
      <c r="Q592" s="301" t="s">
        <v>3634</v>
      </c>
      <c r="R592" s="301" t="s">
        <v>3635</v>
      </c>
      <c r="S592" s="301" t="s">
        <v>3636</v>
      </c>
      <c r="T592" s="301" t="s">
        <v>3637</v>
      </c>
      <c r="U592" s="301" t="s">
        <v>3638</v>
      </c>
      <c r="V592" s="301" t="s">
        <v>3639</v>
      </c>
      <c r="W592" s="298" t="s">
        <v>404</v>
      </c>
      <c r="X592" s="298" t="s">
        <v>306</v>
      </c>
    </row>
    <row r="593">
      <c r="A593" s="295" t="s">
        <v>3640</v>
      </c>
      <c r="B593" s="298">
        <v>5.0</v>
      </c>
      <c r="C593" s="298" t="s">
        <v>288</v>
      </c>
      <c r="D593" s="298" t="s">
        <v>151</v>
      </c>
      <c r="E593" s="298" t="s">
        <v>290</v>
      </c>
      <c r="F593" s="298" t="str">
        <f>'Character Sheet'!$E$9</f>
        <v/>
      </c>
      <c r="G593" s="298" t="s">
        <v>674</v>
      </c>
      <c r="H593" s="298" t="s">
        <v>352</v>
      </c>
      <c r="I593" s="298" t="s">
        <v>1000</v>
      </c>
      <c r="J593" s="298" t="s">
        <v>315</v>
      </c>
      <c r="K593" s="298" t="s">
        <v>632</v>
      </c>
      <c r="L593" s="298" t="s">
        <v>493</v>
      </c>
      <c r="M593" s="301" t="s">
        <v>315</v>
      </c>
      <c r="N593" s="301" t="s">
        <v>315</v>
      </c>
      <c r="O593" s="301" t="s">
        <v>315</v>
      </c>
      <c r="P593" s="301" t="s">
        <v>315</v>
      </c>
      <c r="Q593" s="301" t="s">
        <v>3641</v>
      </c>
      <c r="R593" s="301" t="s">
        <v>3641</v>
      </c>
      <c r="S593" s="301" t="s">
        <v>3642</v>
      </c>
      <c r="T593" s="301" t="s">
        <v>3642</v>
      </c>
      <c r="U593" s="301" t="s">
        <v>3643</v>
      </c>
      <c r="V593" s="301" t="s">
        <v>3643</v>
      </c>
      <c r="W593" s="298" t="s">
        <v>305</v>
      </c>
      <c r="X593" s="298" t="s">
        <v>318</v>
      </c>
    </row>
    <row r="594">
      <c r="A594" s="295" t="s">
        <v>3644</v>
      </c>
      <c r="B594" s="298">
        <v>5.0</v>
      </c>
      <c r="C594" s="298" t="s">
        <v>288</v>
      </c>
      <c r="D594" s="298" t="s">
        <v>289</v>
      </c>
      <c r="E594" s="298" t="s">
        <v>311</v>
      </c>
      <c r="F594" s="298" t="str">
        <f>'Character Sheet'!$E$9</f>
        <v/>
      </c>
      <c r="G594" s="298" t="s">
        <v>674</v>
      </c>
      <c r="H594" s="298" t="s">
        <v>324</v>
      </c>
      <c r="I594" s="298" t="s">
        <v>324</v>
      </c>
      <c r="J594" s="298" t="s">
        <v>315</v>
      </c>
      <c r="K594" s="298" t="s">
        <v>298</v>
      </c>
      <c r="L594" s="298" t="s">
        <v>493</v>
      </c>
      <c r="M594" s="301" t="s">
        <v>315</v>
      </c>
      <c r="N594" s="301" t="s">
        <v>315</v>
      </c>
      <c r="O594" s="301" t="s">
        <v>315</v>
      </c>
      <c r="P594" s="301" t="s">
        <v>315</v>
      </c>
      <c r="Q594" s="301" t="s">
        <v>3645</v>
      </c>
      <c r="R594" s="301" t="s">
        <v>3645</v>
      </c>
      <c r="S594" s="301" t="s">
        <v>3645</v>
      </c>
      <c r="T594" s="301" t="s">
        <v>3645</v>
      </c>
      <c r="U594" s="301" t="s">
        <v>3645</v>
      </c>
      <c r="V594" s="301" t="s">
        <v>3645</v>
      </c>
      <c r="W594" s="298" t="s">
        <v>305</v>
      </c>
      <c r="X594" s="298" t="s">
        <v>318</v>
      </c>
    </row>
    <row r="595">
      <c r="A595" s="295" t="s">
        <v>3646</v>
      </c>
      <c r="B595" s="298">
        <v>5.0</v>
      </c>
      <c r="C595" s="298" t="s">
        <v>288</v>
      </c>
      <c r="D595" s="298" t="s">
        <v>289</v>
      </c>
      <c r="E595" s="298" t="s">
        <v>290</v>
      </c>
      <c r="F595" s="298" t="str">
        <f>'Character Sheet'!$C$9</f>
        <v/>
      </c>
      <c r="G595" s="298" t="s">
        <v>294</v>
      </c>
      <c r="H595" s="298" t="s">
        <v>360</v>
      </c>
      <c r="I595" s="298" t="s">
        <v>315</v>
      </c>
      <c r="J595" s="298" t="s">
        <v>315</v>
      </c>
      <c r="K595" s="298" t="s">
        <v>424</v>
      </c>
      <c r="L595" s="298" t="s">
        <v>493</v>
      </c>
      <c r="M595" s="301" t="s">
        <v>315</v>
      </c>
      <c r="N595" s="301" t="s">
        <v>315</v>
      </c>
      <c r="O595" s="301" t="s">
        <v>315</v>
      </c>
      <c r="P595" s="301" t="s">
        <v>315</v>
      </c>
      <c r="Q595" s="301" t="s">
        <v>3647</v>
      </c>
      <c r="R595" s="301" t="s">
        <v>3648</v>
      </c>
      <c r="S595" s="301" t="s">
        <v>3649</v>
      </c>
      <c r="T595" s="301" t="s">
        <v>3650</v>
      </c>
      <c r="U595" s="301" t="s">
        <v>3651</v>
      </c>
      <c r="V595" s="301" t="s">
        <v>3651</v>
      </c>
      <c r="W595" s="298" t="s">
        <v>460</v>
      </c>
      <c r="X595" s="298" t="s">
        <v>318</v>
      </c>
    </row>
    <row r="596">
      <c r="A596" s="295" t="s">
        <v>3652</v>
      </c>
      <c r="B596" s="298">
        <v>5.0</v>
      </c>
      <c r="C596" s="298" t="s">
        <v>288</v>
      </c>
      <c r="D596" s="298" t="s">
        <v>289</v>
      </c>
      <c r="E596" s="298" t="s">
        <v>290</v>
      </c>
      <c r="F596" s="298" t="str">
        <f>'Character Sheet'!$C$9</f>
        <v/>
      </c>
      <c r="G596" s="298" t="s">
        <v>294</v>
      </c>
      <c r="H596" s="298" t="s">
        <v>1278</v>
      </c>
      <c r="I596" s="298" t="s">
        <v>3633</v>
      </c>
      <c r="J596" s="298" t="s">
        <v>180</v>
      </c>
      <c r="K596" s="298" t="s">
        <v>478</v>
      </c>
      <c r="L596" s="298" t="s">
        <v>493</v>
      </c>
      <c r="M596" s="301" t="s">
        <v>315</v>
      </c>
      <c r="N596" s="301" t="s">
        <v>315</v>
      </c>
      <c r="O596" s="301" t="s">
        <v>315</v>
      </c>
      <c r="P596" s="301" t="s">
        <v>315</v>
      </c>
      <c r="Q596" s="301" t="s">
        <v>3653</v>
      </c>
      <c r="R596" s="301" t="s">
        <v>3654</v>
      </c>
      <c r="S596" s="301" t="s">
        <v>3655</v>
      </c>
      <c r="T596" s="301" t="s">
        <v>3656</v>
      </c>
      <c r="U596" s="301" t="s">
        <v>3657</v>
      </c>
      <c r="V596" s="301" t="s">
        <v>3658</v>
      </c>
      <c r="W596" s="298" t="s">
        <v>305</v>
      </c>
      <c r="X596" s="298" t="s">
        <v>318</v>
      </c>
    </row>
    <row r="597">
      <c r="A597" s="295" t="s">
        <v>3659</v>
      </c>
      <c r="B597" s="298">
        <v>5.0</v>
      </c>
      <c r="C597" s="298" t="s">
        <v>288</v>
      </c>
      <c r="D597" s="298" t="s">
        <v>359</v>
      </c>
      <c r="E597" s="298" t="s">
        <v>311</v>
      </c>
      <c r="F597" s="298" t="str">
        <f>'Character Sheet'!$C$9</f>
        <v/>
      </c>
      <c r="G597" s="298" t="s">
        <v>294</v>
      </c>
      <c r="H597" s="298" t="s">
        <v>324</v>
      </c>
      <c r="I597" s="298" t="s">
        <v>3354</v>
      </c>
      <c r="J597" s="298" t="s">
        <v>192</v>
      </c>
      <c r="K597" s="298" t="s">
        <v>424</v>
      </c>
      <c r="L597" s="298" t="s">
        <v>493</v>
      </c>
      <c r="M597" s="301" t="s">
        <v>315</v>
      </c>
      <c r="N597" s="301" t="s">
        <v>315</v>
      </c>
      <c r="O597" s="301" t="s">
        <v>315</v>
      </c>
      <c r="P597" s="301" t="s">
        <v>315</v>
      </c>
      <c r="Q597" s="301" t="s">
        <v>3660</v>
      </c>
      <c r="R597" s="301" t="s">
        <v>3660</v>
      </c>
      <c r="S597" s="301" t="s">
        <v>3660</v>
      </c>
      <c r="T597" s="301" t="s">
        <v>3660</v>
      </c>
      <c r="U597" s="301" t="s">
        <v>3660</v>
      </c>
      <c r="V597" s="301" t="s">
        <v>3660</v>
      </c>
      <c r="W597" s="298" t="s">
        <v>357</v>
      </c>
      <c r="X597" s="298" t="s">
        <v>318</v>
      </c>
    </row>
    <row r="598">
      <c r="A598" s="295" t="s">
        <v>3661</v>
      </c>
      <c r="B598" s="298">
        <v>5.0</v>
      </c>
      <c r="C598" s="298" t="s">
        <v>288</v>
      </c>
      <c r="D598" s="298" t="s">
        <v>462</v>
      </c>
      <c r="E598" s="298" t="s">
        <v>290</v>
      </c>
      <c r="F598" s="298" t="str">
        <f>'Character Sheet'!$C$9</f>
        <v/>
      </c>
      <c r="G598" s="298" t="s">
        <v>294</v>
      </c>
      <c r="H598" s="298" t="s">
        <v>360</v>
      </c>
      <c r="I598" s="298" t="s">
        <v>2564</v>
      </c>
      <c r="J598" s="298" t="s">
        <v>336</v>
      </c>
      <c r="K598" s="298" t="s">
        <v>298</v>
      </c>
      <c r="L598" s="298" t="s">
        <v>493</v>
      </c>
      <c r="M598" s="301" t="s">
        <v>315</v>
      </c>
      <c r="N598" s="301" t="s">
        <v>315</v>
      </c>
      <c r="O598" s="301" t="s">
        <v>315</v>
      </c>
      <c r="P598" s="301" t="s">
        <v>315</v>
      </c>
      <c r="Q598" s="301" t="s">
        <v>3662</v>
      </c>
      <c r="R598" s="301" t="s">
        <v>3663</v>
      </c>
      <c r="S598" s="301" t="s">
        <v>3664</v>
      </c>
      <c r="T598" s="301" t="s">
        <v>3665</v>
      </c>
      <c r="U598" s="301" t="s">
        <v>3666</v>
      </c>
      <c r="V598" s="301" t="s">
        <v>3667</v>
      </c>
      <c r="W598" s="298" t="s">
        <v>305</v>
      </c>
      <c r="X598" s="298" t="s">
        <v>678</v>
      </c>
    </row>
    <row r="599">
      <c r="A599" s="295" t="s">
        <v>3668</v>
      </c>
      <c r="B599" s="298">
        <v>5.0</v>
      </c>
      <c r="C599" s="298" t="s">
        <v>288</v>
      </c>
      <c r="D599" s="298" t="s">
        <v>321</v>
      </c>
      <c r="E599" s="298" t="s">
        <v>290</v>
      </c>
      <c r="F599" s="298" t="str">
        <f>'Character Sheet'!$C$9</f>
        <v/>
      </c>
      <c r="G599" s="298" t="s">
        <v>2188</v>
      </c>
      <c r="H599" s="298" t="s">
        <v>295</v>
      </c>
      <c r="I599" s="298" t="s">
        <v>296</v>
      </c>
      <c r="J599" s="298" t="s">
        <v>192</v>
      </c>
      <c r="K599" s="298" t="s">
        <v>675</v>
      </c>
      <c r="L599" s="298" t="s">
        <v>493</v>
      </c>
      <c r="M599" s="301" t="s">
        <v>315</v>
      </c>
      <c r="N599" s="301" t="s">
        <v>315</v>
      </c>
      <c r="O599" s="301" t="s">
        <v>315</v>
      </c>
      <c r="P599" s="301" t="s">
        <v>315</v>
      </c>
      <c r="Q599" s="301" t="s">
        <v>3669</v>
      </c>
      <c r="R599" s="301" t="s">
        <v>3670</v>
      </c>
      <c r="S599" s="301" t="s">
        <v>3670</v>
      </c>
      <c r="T599" s="301" t="s">
        <v>3671</v>
      </c>
      <c r="U599" s="301" t="s">
        <v>3671</v>
      </c>
      <c r="V599" s="301" t="s">
        <v>3671</v>
      </c>
      <c r="W599" s="298" t="s">
        <v>460</v>
      </c>
      <c r="X599" s="298" t="s">
        <v>306</v>
      </c>
    </row>
    <row r="600">
      <c r="A600" s="295" t="s">
        <v>3672</v>
      </c>
      <c r="B600" s="298">
        <v>5.0</v>
      </c>
      <c r="C600" s="298" t="s">
        <v>288</v>
      </c>
      <c r="D600" s="298" t="s">
        <v>334</v>
      </c>
      <c r="E600" s="298" t="s">
        <v>290</v>
      </c>
      <c r="F600" s="298" t="str">
        <f>'Character Sheet'!$E$9</f>
        <v/>
      </c>
      <c r="G600" s="298" t="s">
        <v>674</v>
      </c>
      <c r="H600" s="298" t="s">
        <v>295</v>
      </c>
      <c r="I600" s="298" t="s">
        <v>315</v>
      </c>
      <c r="J600" s="298" t="s">
        <v>315</v>
      </c>
      <c r="K600" s="298" t="s">
        <v>632</v>
      </c>
      <c r="L600" s="298" t="s">
        <v>493</v>
      </c>
      <c r="M600" s="301" t="s">
        <v>315</v>
      </c>
      <c r="N600" s="301" t="s">
        <v>315</v>
      </c>
      <c r="O600" s="301" t="s">
        <v>315</v>
      </c>
      <c r="P600" s="301" t="s">
        <v>315</v>
      </c>
      <c r="Q600" s="301" t="s">
        <v>3673</v>
      </c>
      <c r="R600" s="301" t="s">
        <v>3674</v>
      </c>
      <c r="S600" s="301" t="s">
        <v>3675</v>
      </c>
      <c r="T600" s="301" t="s">
        <v>3676</v>
      </c>
      <c r="U600" s="301" t="s">
        <v>3677</v>
      </c>
      <c r="V600" s="301" t="s">
        <v>3678</v>
      </c>
      <c r="W600" s="298" t="s">
        <v>389</v>
      </c>
      <c r="X600" s="298" t="s">
        <v>318</v>
      </c>
    </row>
    <row r="601">
      <c r="A601" s="295" t="s">
        <v>3679</v>
      </c>
      <c r="B601" s="298">
        <v>5.0</v>
      </c>
      <c r="C601" s="298" t="s">
        <v>288</v>
      </c>
      <c r="D601" s="298" t="s">
        <v>321</v>
      </c>
      <c r="E601" s="298" t="s">
        <v>290</v>
      </c>
      <c r="F601" s="298" t="s">
        <v>999</v>
      </c>
      <c r="G601" s="298" t="s">
        <v>294</v>
      </c>
      <c r="H601" s="298" t="s">
        <v>1278</v>
      </c>
      <c r="I601" s="298" t="s">
        <v>2777</v>
      </c>
      <c r="J601" s="298" t="s">
        <v>315</v>
      </c>
      <c r="K601" s="298" t="s">
        <v>675</v>
      </c>
      <c r="L601" s="298" t="s">
        <v>493</v>
      </c>
      <c r="M601" s="301" t="s">
        <v>315</v>
      </c>
      <c r="N601" s="301" t="s">
        <v>315</v>
      </c>
      <c r="O601" s="301" t="s">
        <v>315</v>
      </c>
      <c r="P601" s="301" t="s">
        <v>315</v>
      </c>
      <c r="Q601" s="301" t="s">
        <v>3680</v>
      </c>
      <c r="R601" s="301" t="s">
        <v>3681</v>
      </c>
      <c r="S601" s="301" t="s">
        <v>3681</v>
      </c>
      <c r="T601" s="301" t="s">
        <v>3682</v>
      </c>
      <c r="U601" s="301" t="s">
        <v>3682</v>
      </c>
      <c r="V601" s="301" t="s">
        <v>3682</v>
      </c>
      <c r="W601" s="298" t="s">
        <v>460</v>
      </c>
      <c r="X601" s="298" t="s">
        <v>306</v>
      </c>
    </row>
    <row r="602">
      <c r="A602" s="295" t="s">
        <v>3683</v>
      </c>
      <c r="B602" s="298">
        <v>5.0</v>
      </c>
      <c r="C602" s="298" t="s">
        <v>288</v>
      </c>
      <c r="D602" s="298" t="s">
        <v>151</v>
      </c>
      <c r="E602" s="298" t="s">
        <v>290</v>
      </c>
      <c r="F602" s="298" t="str">
        <f>'Character Sheet'!$C$9</f>
        <v/>
      </c>
      <c r="G602" s="298" t="s">
        <v>294</v>
      </c>
      <c r="H602" s="298" t="s">
        <v>295</v>
      </c>
      <c r="I602" s="298" t="s">
        <v>296</v>
      </c>
      <c r="J602" s="298" t="s">
        <v>180</v>
      </c>
      <c r="K602" s="298" t="s">
        <v>632</v>
      </c>
      <c r="L602" s="298" t="s">
        <v>493</v>
      </c>
      <c r="M602" s="301" t="s">
        <v>315</v>
      </c>
      <c r="N602" s="301" t="s">
        <v>315</v>
      </c>
      <c r="O602" s="301" t="s">
        <v>315</v>
      </c>
      <c r="P602" s="301" t="s">
        <v>315</v>
      </c>
      <c r="Q602" s="301" t="s">
        <v>3684</v>
      </c>
      <c r="R602" s="301" t="s">
        <v>3685</v>
      </c>
      <c r="S602" s="301" t="s">
        <v>3686</v>
      </c>
      <c r="T602" s="301" t="s">
        <v>3687</v>
      </c>
      <c r="U602" s="301" t="s">
        <v>3688</v>
      </c>
      <c r="V602" s="301" t="s">
        <v>3689</v>
      </c>
      <c r="W602" s="298" t="s">
        <v>305</v>
      </c>
      <c r="X602" s="298" t="s">
        <v>678</v>
      </c>
    </row>
    <row r="603">
      <c r="A603" s="295" t="s">
        <v>3690</v>
      </c>
      <c r="B603" s="298">
        <v>5.0</v>
      </c>
      <c r="C603" s="298" t="s">
        <v>432</v>
      </c>
      <c r="D603" s="298" t="s">
        <v>151</v>
      </c>
      <c r="E603" s="298" t="s">
        <v>311</v>
      </c>
      <c r="F603" s="298" t="str">
        <f>'Character Sheet'!$E$9</f>
        <v/>
      </c>
      <c r="G603" s="298" t="s">
        <v>674</v>
      </c>
      <c r="H603" s="298" t="s">
        <v>352</v>
      </c>
      <c r="I603" s="298" t="s">
        <v>1000</v>
      </c>
      <c r="J603" s="298" t="s">
        <v>407</v>
      </c>
      <c r="K603" s="298" t="s">
        <v>632</v>
      </c>
      <c r="L603" s="298" t="s">
        <v>493</v>
      </c>
      <c r="M603" s="301" t="s">
        <v>315</v>
      </c>
      <c r="N603" s="301" t="s">
        <v>315</v>
      </c>
      <c r="O603" s="301" t="s">
        <v>315</v>
      </c>
      <c r="P603" s="301" t="s">
        <v>315</v>
      </c>
      <c r="Q603" s="301" t="s">
        <v>3691</v>
      </c>
      <c r="R603" s="301" t="s">
        <v>3691</v>
      </c>
      <c r="S603" s="301" t="s">
        <v>3691</v>
      </c>
      <c r="T603" s="301" t="s">
        <v>3691</v>
      </c>
      <c r="U603" s="301" t="s">
        <v>3691</v>
      </c>
      <c r="V603" s="301" t="s">
        <v>3691</v>
      </c>
      <c r="W603" s="298" t="s">
        <v>305</v>
      </c>
      <c r="X603" s="298" t="s">
        <v>2746</v>
      </c>
    </row>
    <row r="604">
      <c r="A604" s="295" t="s">
        <v>3692</v>
      </c>
      <c r="B604" s="298">
        <v>5.0</v>
      </c>
      <c r="C604" s="298" t="s">
        <v>288</v>
      </c>
      <c r="D604" s="298" t="s">
        <v>310</v>
      </c>
      <c r="E604" s="298" t="s">
        <v>290</v>
      </c>
      <c r="F604" s="298" t="str">
        <f>'Character Sheet'!$C$9</f>
        <v/>
      </c>
      <c r="G604" s="298" t="s">
        <v>294</v>
      </c>
      <c r="H604" s="298" t="s">
        <v>360</v>
      </c>
      <c r="I604" s="298" t="s">
        <v>296</v>
      </c>
      <c r="J604" s="298" t="s">
        <v>336</v>
      </c>
      <c r="K604" s="298" t="s">
        <v>298</v>
      </c>
      <c r="L604" s="298" t="s">
        <v>493</v>
      </c>
      <c r="M604" s="301" t="s">
        <v>315</v>
      </c>
      <c r="N604" s="301" t="s">
        <v>315</v>
      </c>
      <c r="O604" s="301" t="s">
        <v>315</v>
      </c>
      <c r="P604" s="301" t="s">
        <v>315</v>
      </c>
      <c r="Q604" s="301" t="s">
        <v>3693</v>
      </c>
      <c r="R604" s="301" t="s">
        <v>3694</v>
      </c>
      <c r="S604" s="301" t="s">
        <v>3695</v>
      </c>
      <c r="T604" s="301" t="s">
        <v>3696</v>
      </c>
      <c r="U604" s="301" t="s">
        <v>3697</v>
      </c>
      <c r="V604" s="301" t="s">
        <v>3698</v>
      </c>
      <c r="W604" s="298" t="s">
        <v>429</v>
      </c>
      <c r="X604" s="298" t="s">
        <v>318</v>
      </c>
    </row>
    <row r="605">
      <c r="A605" s="295" t="s">
        <v>3699</v>
      </c>
      <c r="B605" s="298">
        <v>5.0</v>
      </c>
      <c r="C605" s="298" t="s">
        <v>522</v>
      </c>
      <c r="D605" s="298" t="s">
        <v>359</v>
      </c>
      <c r="E605" s="298" t="s">
        <v>311</v>
      </c>
      <c r="F605" s="298" t="str">
        <f>'Character Sheet'!$C$9</f>
        <v/>
      </c>
      <c r="G605" s="298" t="s">
        <v>294</v>
      </c>
      <c r="H605" s="298" t="s">
        <v>295</v>
      </c>
      <c r="I605" s="298" t="s">
        <v>296</v>
      </c>
      <c r="J605" s="298" t="s">
        <v>192</v>
      </c>
      <c r="K605" s="298" t="s">
        <v>424</v>
      </c>
      <c r="L605" s="298" t="s">
        <v>493</v>
      </c>
      <c r="M605" s="301" t="s">
        <v>315</v>
      </c>
      <c r="N605" s="301" t="s">
        <v>315</v>
      </c>
      <c r="O605" s="301" t="s">
        <v>315</v>
      </c>
      <c r="P605" s="301" t="s">
        <v>315</v>
      </c>
      <c r="Q605" s="301" t="s">
        <v>3700</v>
      </c>
      <c r="R605" s="301" t="s">
        <v>3700</v>
      </c>
      <c r="S605" s="301" t="s">
        <v>3700</v>
      </c>
      <c r="T605" s="301" t="s">
        <v>3700</v>
      </c>
      <c r="U605" s="301" t="s">
        <v>3700</v>
      </c>
      <c r="V605" s="301" t="s">
        <v>3700</v>
      </c>
      <c r="W605" s="298" t="s">
        <v>460</v>
      </c>
      <c r="X605" s="298" t="s">
        <v>3701</v>
      </c>
    </row>
    <row r="606">
      <c r="A606" s="295" t="s">
        <v>3702</v>
      </c>
      <c r="B606" s="298">
        <v>5.0</v>
      </c>
      <c r="C606" s="298" t="s">
        <v>288</v>
      </c>
      <c r="D606" s="298" t="s">
        <v>334</v>
      </c>
      <c r="E606" s="298" t="s">
        <v>290</v>
      </c>
      <c r="F606" s="298" t="str">
        <f>'Character Sheet'!$C$9</f>
        <v/>
      </c>
      <c r="G606" s="298" t="s">
        <v>294</v>
      </c>
      <c r="H606" s="298" t="s">
        <v>352</v>
      </c>
      <c r="I606" s="298" t="s">
        <v>1413</v>
      </c>
      <c r="J606" s="298" t="s">
        <v>746</v>
      </c>
      <c r="K606" s="298" t="s">
        <v>424</v>
      </c>
      <c r="L606" s="298" t="s">
        <v>493</v>
      </c>
      <c r="M606" s="301" t="s">
        <v>315</v>
      </c>
      <c r="N606" s="301" t="s">
        <v>315</v>
      </c>
      <c r="O606" s="301" t="s">
        <v>315</v>
      </c>
      <c r="P606" s="301" t="s">
        <v>315</v>
      </c>
      <c r="Q606" s="301" t="s">
        <v>3703</v>
      </c>
      <c r="R606" s="301" t="s">
        <v>3703</v>
      </c>
      <c r="S606" s="301" t="s">
        <v>3704</v>
      </c>
      <c r="T606" s="301" t="s">
        <v>3704</v>
      </c>
      <c r="U606" s="301" t="s">
        <v>3705</v>
      </c>
      <c r="V606" s="301" t="s">
        <v>3705</v>
      </c>
      <c r="W606" s="298" t="s">
        <v>331</v>
      </c>
      <c r="X606" s="298" t="s">
        <v>318</v>
      </c>
    </row>
    <row r="607">
      <c r="A607" s="295" t="s">
        <v>3706</v>
      </c>
      <c r="B607" s="298">
        <v>5.0</v>
      </c>
      <c r="C607" s="298" t="s">
        <v>288</v>
      </c>
      <c r="D607" s="298" t="s">
        <v>289</v>
      </c>
      <c r="E607" s="298" t="s">
        <v>290</v>
      </c>
      <c r="F607" s="298" t="str">
        <f>'Character Sheet'!$E$9</f>
        <v/>
      </c>
      <c r="G607" s="298" t="s">
        <v>674</v>
      </c>
      <c r="H607" s="298" t="s">
        <v>352</v>
      </c>
      <c r="I607" s="298" t="s">
        <v>1000</v>
      </c>
      <c r="J607" s="298" t="s">
        <v>407</v>
      </c>
      <c r="K607" s="298" t="s">
        <v>424</v>
      </c>
      <c r="L607" s="298" t="s">
        <v>493</v>
      </c>
      <c r="M607" s="301" t="s">
        <v>315</v>
      </c>
      <c r="N607" s="301" t="s">
        <v>315</v>
      </c>
      <c r="O607" s="301" t="s">
        <v>315</v>
      </c>
      <c r="P607" s="301" t="s">
        <v>315</v>
      </c>
      <c r="Q607" s="301" t="s">
        <v>3707</v>
      </c>
      <c r="R607" s="301" t="s">
        <v>3707</v>
      </c>
      <c r="S607" s="301" t="s">
        <v>3708</v>
      </c>
      <c r="T607" s="301" t="s">
        <v>3708</v>
      </c>
      <c r="U607" s="301" t="s">
        <v>3709</v>
      </c>
      <c r="V607" s="301" t="s">
        <v>3709</v>
      </c>
      <c r="W607" s="298" t="s">
        <v>499</v>
      </c>
      <c r="X607" s="298" t="s">
        <v>678</v>
      </c>
    </row>
    <row r="608">
      <c r="A608" s="295" t="s">
        <v>3710</v>
      </c>
      <c r="B608" s="298">
        <v>5.0</v>
      </c>
      <c r="C608" s="298" t="s">
        <v>288</v>
      </c>
      <c r="D608" s="298" t="s">
        <v>462</v>
      </c>
      <c r="E608" s="298" t="s">
        <v>311</v>
      </c>
      <c r="F608" s="298" t="str">
        <f>'Character Sheet'!$C$9</f>
        <v/>
      </c>
      <c r="G608" s="298" t="s">
        <v>294</v>
      </c>
      <c r="H608" s="298" t="s">
        <v>324</v>
      </c>
      <c r="I608" s="298" t="s">
        <v>324</v>
      </c>
      <c r="J608" s="298" t="s">
        <v>315</v>
      </c>
      <c r="K608" s="298" t="s">
        <v>632</v>
      </c>
      <c r="L608" s="298" t="s">
        <v>493</v>
      </c>
      <c r="M608" s="301" t="s">
        <v>315</v>
      </c>
      <c r="N608" s="301" t="s">
        <v>315</v>
      </c>
      <c r="O608" s="301" t="s">
        <v>315</v>
      </c>
      <c r="P608" s="301" t="s">
        <v>315</v>
      </c>
      <c r="Q608" s="301" t="s">
        <v>3711</v>
      </c>
      <c r="R608" s="301" t="s">
        <v>3711</v>
      </c>
      <c r="S608" s="301" t="s">
        <v>3711</v>
      </c>
      <c r="T608" s="301" t="s">
        <v>3711</v>
      </c>
      <c r="U608" s="301" t="s">
        <v>3711</v>
      </c>
      <c r="V608" s="301" t="s">
        <v>3711</v>
      </c>
      <c r="W608" s="298" t="s">
        <v>305</v>
      </c>
      <c r="X608" s="298" t="s">
        <v>318</v>
      </c>
    </row>
    <row r="609">
      <c r="A609" s="295" t="s">
        <v>3712</v>
      </c>
      <c r="B609" s="298">
        <v>5.0</v>
      </c>
      <c r="C609" s="298" t="s">
        <v>288</v>
      </c>
      <c r="D609" s="298" t="s">
        <v>462</v>
      </c>
      <c r="E609" s="298" t="s">
        <v>311</v>
      </c>
      <c r="F609" s="298" t="str">
        <f>'Character Sheet'!$C$9</f>
        <v/>
      </c>
      <c r="G609" s="298" t="s">
        <v>294</v>
      </c>
      <c r="H609" s="298" t="s">
        <v>324</v>
      </c>
      <c r="I609" s="298" t="s">
        <v>324</v>
      </c>
      <c r="J609" s="298" t="s">
        <v>315</v>
      </c>
      <c r="K609" s="298" t="s">
        <v>632</v>
      </c>
      <c r="L609" s="298" t="s">
        <v>493</v>
      </c>
      <c r="M609" s="301" t="s">
        <v>315</v>
      </c>
      <c r="N609" s="301" t="s">
        <v>315</v>
      </c>
      <c r="O609" s="301" t="s">
        <v>315</v>
      </c>
      <c r="P609" s="301" t="s">
        <v>315</v>
      </c>
      <c r="Q609" s="301" t="s">
        <v>3713</v>
      </c>
      <c r="R609" s="301" t="s">
        <v>3713</v>
      </c>
      <c r="S609" s="301" t="s">
        <v>3713</v>
      </c>
      <c r="T609" s="301" t="s">
        <v>3713</v>
      </c>
      <c r="U609" s="301" t="s">
        <v>3713</v>
      </c>
      <c r="V609" s="301" t="s">
        <v>3713</v>
      </c>
      <c r="W609" s="298" t="s">
        <v>305</v>
      </c>
      <c r="X609" s="298" t="s">
        <v>318</v>
      </c>
    </row>
    <row r="610">
      <c r="A610" s="295" t="s">
        <v>3714</v>
      </c>
      <c r="B610" s="298">
        <v>5.0</v>
      </c>
      <c r="C610" s="298" t="s">
        <v>288</v>
      </c>
      <c r="D610" s="298" t="s">
        <v>334</v>
      </c>
      <c r="E610" s="298" t="s">
        <v>311</v>
      </c>
      <c r="F610" s="298" t="str">
        <f>'Character Sheet'!$C$9</f>
        <v/>
      </c>
      <c r="G610" s="298" t="s">
        <v>294</v>
      </c>
      <c r="H610" s="298" t="s">
        <v>335</v>
      </c>
      <c r="I610" s="298" t="s">
        <v>296</v>
      </c>
      <c r="J610" s="298" t="s">
        <v>192</v>
      </c>
      <c r="K610" s="298" t="s">
        <v>298</v>
      </c>
      <c r="L610" s="298" t="s">
        <v>493</v>
      </c>
      <c r="M610" s="301" t="s">
        <v>315</v>
      </c>
      <c r="N610" s="301" t="s">
        <v>315</v>
      </c>
      <c r="O610" s="301" t="s">
        <v>315</v>
      </c>
      <c r="P610" s="301" t="s">
        <v>315</v>
      </c>
      <c r="Q610" s="301" t="s">
        <v>3715</v>
      </c>
      <c r="R610" s="301" t="s">
        <v>3715</v>
      </c>
      <c r="S610" s="301" t="s">
        <v>3715</v>
      </c>
      <c r="T610" s="301" t="s">
        <v>3715</v>
      </c>
      <c r="U610" s="301" t="s">
        <v>3715</v>
      </c>
      <c r="V610" s="301" t="s">
        <v>3715</v>
      </c>
      <c r="W610" s="298" t="s">
        <v>357</v>
      </c>
      <c r="X610" s="298" t="s">
        <v>306</v>
      </c>
    </row>
    <row r="611">
      <c r="A611" s="295" t="s">
        <v>3716</v>
      </c>
      <c r="B611" s="298">
        <v>5.0</v>
      </c>
      <c r="C611" s="298" t="s">
        <v>522</v>
      </c>
      <c r="D611" s="298" t="s">
        <v>310</v>
      </c>
      <c r="E611" s="298" t="s">
        <v>311</v>
      </c>
      <c r="F611" s="298" t="s">
        <v>625</v>
      </c>
      <c r="G611" s="298" t="s">
        <v>674</v>
      </c>
      <c r="H611" s="298" t="s">
        <v>295</v>
      </c>
      <c r="I611" s="298" t="s">
        <v>296</v>
      </c>
      <c r="J611" s="298" t="s">
        <v>192</v>
      </c>
      <c r="K611" s="298" t="s">
        <v>424</v>
      </c>
      <c r="L611" s="298" t="s">
        <v>493</v>
      </c>
      <c r="M611" s="301" t="s">
        <v>315</v>
      </c>
      <c r="N611" s="301" t="s">
        <v>315</v>
      </c>
      <c r="O611" s="301" t="s">
        <v>315</v>
      </c>
      <c r="P611" s="301" t="s">
        <v>315</v>
      </c>
      <c r="Q611" s="301" t="s">
        <v>3717</v>
      </c>
      <c r="R611" s="301" t="s">
        <v>3717</v>
      </c>
      <c r="S611" s="301" t="s">
        <v>3717</v>
      </c>
      <c r="T611" s="301" t="s">
        <v>3717</v>
      </c>
      <c r="U611" s="301" t="s">
        <v>3717</v>
      </c>
      <c r="V611" s="301" t="s">
        <v>3717</v>
      </c>
      <c r="W611" s="298" t="s">
        <v>460</v>
      </c>
      <c r="X611" s="298" t="s">
        <v>306</v>
      </c>
    </row>
    <row r="612">
      <c r="A612" s="295" t="s">
        <v>3718</v>
      </c>
      <c r="B612" s="298">
        <v>5.0</v>
      </c>
      <c r="C612" s="298" t="s">
        <v>522</v>
      </c>
      <c r="D612" s="298" t="s">
        <v>310</v>
      </c>
      <c r="E612" s="298" t="s">
        <v>311</v>
      </c>
      <c r="F612" s="298" t="str">
        <f>'Character Sheet'!$C$9</f>
        <v/>
      </c>
      <c r="G612" s="298" t="s">
        <v>294</v>
      </c>
      <c r="H612" s="298" t="s">
        <v>295</v>
      </c>
      <c r="I612" s="298" t="s">
        <v>3719</v>
      </c>
      <c r="J612" s="298" t="s">
        <v>173</v>
      </c>
      <c r="K612" s="298" t="s">
        <v>632</v>
      </c>
      <c r="L612" s="298" t="s">
        <v>493</v>
      </c>
      <c r="M612" s="301" t="s">
        <v>315</v>
      </c>
      <c r="N612" s="301" t="s">
        <v>315</v>
      </c>
      <c r="O612" s="301" t="s">
        <v>315</v>
      </c>
      <c r="P612" s="301" t="s">
        <v>315</v>
      </c>
      <c r="Q612" s="301" t="s">
        <v>3720</v>
      </c>
      <c r="R612" s="301" t="s">
        <v>3720</v>
      </c>
      <c r="S612" s="301" t="s">
        <v>3720</v>
      </c>
      <c r="T612" s="301" t="s">
        <v>3720</v>
      </c>
      <c r="U612" s="301" t="s">
        <v>3720</v>
      </c>
      <c r="V612" s="301" t="s">
        <v>3720</v>
      </c>
      <c r="W612" s="298" t="s">
        <v>429</v>
      </c>
      <c r="X612" s="298" t="s">
        <v>1714</v>
      </c>
    </row>
    <row r="613">
      <c r="A613" s="295" t="s">
        <v>3721</v>
      </c>
      <c r="B613" s="298">
        <v>5.0</v>
      </c>
      <c r="C613" s="298" t="s">
        <v>288</v>
      </c>
      <c r="D613" s="298" t="s">
        <v>321</v>
      </c>
      <c r="E613" s="298" t="s">
        <v>290</v>
      </c>
      <c r="F613" s="298" t="str">
        <f>'Character Sheet'!$C$9</f>
        <v/>
      </c>
      <c r="G613" s="298" t="s">
        <v>294</v>
      </c>
      <c r="H613" s="298" t="s">
        <v>295</v>
      </c>
      <c r="I613" s="298" t="s">
        <v>296</v>
      </c>
      <c r="J613" s="298" t="s">
        <v>746</v>
      </c>
      <c r="K613" s="298" t="s">
        <v>424</v>
      </c>
      <c r="L613" s="298" t="s">
        <v>493</v>
      </c>
      <c r="M613" s="301" t="s">
        <v>315</v>
      </c>
      <c r="N613" s="301" t="s">
        <v>315</v>
      </c>
      <c r="O613" s="301" t="s">
        <v>315</v>
      </c>
      <c r="P613" s="301" t="s">
        <v>315</v>
      </c>
      <c r="Q613" s="301" t="s">
        <v>3722</v>
      </c>
      <c r="R613" s="301" t="s">
        <v>3723</v>
      </c>
      <c r="S613" s="301" t="s">
        <v>3724</v>
      </c>
      <c r="T613" s="301" t="s">
        <v>3725</v>
      </c>
      <c r="U613" s="301" t="s">
        <v>3726</v>
      </c>
      <c r="V613" s="301" t="s">
        <v>3727</v>
      </c>
      <c r="W613" s="298" t="s">
        <v>331</v>
      </c>
      <c r="X613" s="298" t="s">
        <v>318</v>
      </c>
    </row>
    <row r="614">
      <c r="A614" s="295" t="s">
        <v>3728</v>
      </c>
      <c r="B614" s="298">
        <v>5.0</v>
      </c>
      <c r="C614" s="298" t="s">
        <v>288</v>
      </c>
      <c r="D614" s="298" t="s">
        <v>462</v>
      </c>
      <c r="E614" s="298" t="s">
        <v>290</v>
      </c>
      <c r="F614" s="298" t="str">
        <f>'Character Sheet'!$C$9</f>
        <v/>
      </c>
      <c r="G614" s="298" t="s">
        <v>294</v>
      </c>
      <c r="H614" s="298" t="s">
        <v>295</v>
      </c>
      <c r="I614" s="298" t="s">
        <v>3076</v>
      </c>
      <c r="J614" s="298" t="s">
        <v>315</v>
      </c>
      <c r="K614" s="298" t="s">
        <v>632</v>
      </c>
      <c r="L614" s="298" t="s">
        <v>493</v>
      </c>
      <c r="M614" s="301" t="s">
        <v>315</v>
      </c>
      <c r="N614" s="301" t="s">
        <v>315</v>
      </c>
      <c r="O614" s="301" t="s">
        <v>315</v>
      </c>
      <c r="P614" s="301" t="s">
        <v>315</v>
      </c>
      <c r="Q614" s="301" t="s">
        <v>3729</v>
      </c>
      <c r="R614" s="301" t="s">
        <v>3730</v>
      </c>
      <c r="S614" s="301" t="s">
        <v>3730</v>
      </c>
      <c r="T614" s="301" t="s">
        <v>3730</v>
      </c>
      <c r="U614" s="301" t="s">
        <v>3730</v>
      </c>
      <c r="V614" s="301" t="s">
        <v>3731</v>
      </c>
      <c r="W614" s="298" t="s">
        <v>499</v>
      </c>
      <c r="X614" s="298" t="s">
        <v>306</v>
      </c>
    </row>
    <row r="615">
      <c r="A615" s="295" t="s">
        <v>3732</v>
      </c>
      <c r="B615" s="298">
        <v>5.0</v>
      </c>
      <c r="C615" s="298" t="s">
        <v>522</v>
      </c>
      <c r="D615" s="298" t="s">
        <v>151</v>
      </c>
      <c r="E615" s="298" t="s">
        <v>290</v>
      </c>
      <c r="F615" s="298" t="str">
        <f>'Character Sheet'!$C$9</f>
        <v/>
      </c>
      <c r="G615" s="298" t="s">
        <v>294</v>
      </c>
      <c r="H615" s="298" t="s">
        <v>335</v>
      </c>
      <c r="I615" s="298" t="s">
        <v>3733</v>
      </c>
      <c r="J615" s="298" t="s">
        <v>315</v>
      </c>
      <c r="K615" s="298" t="s">
        <v>675</v>
      </c>
      <c r="L615" s="298" t="s">
        <v>493</v>
      </c>
      <c r="M615" s="301" t="s">
        <v>315</v>
      </c>
      <c r="N615" s="301" t="s">
        <v>315</v>
      </c>
      <c r="O615" s="301" t="s">
        <v>315</v>
      </c>
      <c r="P615" s="301" t="s">
        <v>315</v>
      </c>
      <c r="Q615" s="301" t="s">
        <v>3734</v>
      </c>
      <c r="R615" s="301" t="s">
        <v>3734</v>
      </c>
      <c r="S615" s="301" t="s">
        <v>3735</v>
      </c>
      <c r="T615" s="301" t="s">
        <v>3735</v>
      </c>
      <c r="U615" s="301" t="s">
        <v>3735</v>
      </c>
      <c r="V615" s="301" t="s">
        <v>3735</v>
      </c>
      <c r="W615" s="298" t="s">
        <v>305</v>
      </c>
      <c r="X615" s="298" t="s">
        <v>306</v>
      </c>
    </row>
    <row r="616">
      <c r="A616" s="295" t="s">
        <v>3736</v>
      </c>
      <c r="B616" s="298">
        <v>5.0</v>
      </c>
      <c r="C616" s="298" t="s">
        <v>522</v>
      </c>
      <c r="D616" s="298" t="s">
        <v>151</v>
      </c>
      <c r="E616" s="298" t="s">
        <v>290</v>
      </c>
      <c r="F616" s="298" t="str">
        <f>'Character Sheet'!$E$9</f>
        <v/>
      </c>
      <c r="G616" s="298" t="s">
        <v>674</v>
      </c>
      <c r="H616" s="298" t="s">
        <v>352</v>
      </c>
      <c r="I616" s="298" t="s">
        <v>315</v>
      </c>
      <c r="J616" s="298" t="s">
        <v>180</v>
      </c>
      <c r="K616" s="298" t="s">
        <v>424</v>
      </c>
      <c r="L616" s="298" t="s">
        <v>493</v>
      </c>
      <c r="M616" s="301" t="s">
        <v>315</v>
      </c>
      <c r="N616" s="301" t="s">
        <v>315</v>
      </c>
      <c r="O616" s="301" t="s">
        <v>315</v>
      </c>
      <c r="P616" s="301" t="s">
        <v>315</v>
      </c>
      <c r="Q616" s="301" t="s">
        <v>3737</v>
      </c>
      <c r="R616" s="301" t="s">
        <v>3738</v>
      </c>
      <c r="S616" s="301" t="s">
        <v>3739</v>
      </c>
      <c r="T616" s="301" t="s">
        <v>3740</v>
      </c>
      <c r="U616" s="301" t="s">
        <v>3741</v>
      </c>
      <c r="V616" s="301" t="s">
        <v>3742</v>
      </c>
      <c r="W616" s="298" t="s">
        <v>305</v>
      </c>
      <c r="X616" s="298" t="s">
        <v>3743</v>
      </c>
    </row>
    <row r="617">
      <c r="A617" s="295" t="s">
        <v>2123</v>
      </c>
      <c r="B617" s="298">
        <v>5.0</v>
      </c>
      <c r="C617" s="298" t="s">
        <v>288</v>
      </c>
      <c r="D617" s="298" t="s">
        <v>462</v>
      </c>
      <c r="E617" s="298" t="s">
        <v>290</v>
      </c>
      <c r="F617" s="298" t="str">
        <f>'Character Sheet'!$C$9</f>
        <v/>
      </c>
      <c r="G617" s="298" t="s">
        <v>294</v>
      </c>
      <c r="H617" s="298" t="s">
        <v>324</v>
      </c>
      <c r="I617" s="298" t="s">
        <v>324</v>
      </c>
      <c r="J617" s="298" t="s">
        <v>315</v>
      </c>
      <c r="K617" s="298" t="s">
        <v>632</v>
      </c>
      <c r="L617" s="298" t="s">
        <v>493</v>
      </c>
      <c r="M617" s="301" t="s">
        <v>315</v>
      </c>
      <c r="N617" s="301" t="s">
        <v>315</v>
      </c>
      <c r="O617" s="301" t="s">
        <v>315</v>
      </c>
      <c r="P617" s="301" t="s">
        <v>315</v>
      </c>
      <c r="Q617" s="301" t="s">
        <v>3744</v>
      </c>
      <c r="R617" s="301" t="s">
        <v>3745</v>
      </c>
      <c r="S617" s="301" t="s">
        <v>3745</v>
      </c>
      <c r="T617" s="301" t="s">
        <v>3745</v>
      </c>
      <c r="U617" s="301" t="s">
        <v>3745</v>
      </c>
      <c r="V617" s="301" t="s">
        <v>3745</v>
      </c>
      <c r="W617" s="298" t="s">
        <v>499</v>
      </c>
      <c r="X617" s="298" t="s">
        <v>306</v>
      </c>
    </row>
    <row r="618">
      <c r="A618" s="295" t="s">
        <v>3746</v>
      </c>
      <c r="B618" s="298">
        <v>5.0</v>
      </c>
      <c r="C618" s="298" t="s">
        <v>288</v>
      </c>
      <c r="D618" s="298" t="s">
        <v>321</v>
      </c>
      <c r="E618" s="298" t="s">
        <v>311</v>
      </c>
      <c r="F618" s="298" t="s">
        <v>625</v>
      </c>
      <c r="G618" s="298" t="s">
        <v>3747</v>
      </c>
      <c r="H618" s="298" t="s">
        <v>324</v>
      </c>
      <c r="I618" s="298" t="s">
        <v>324</v>
      </c>
      <c r="J618" s="298" t="s">
        <v>315</v>
      </c>
      <c r="K618" s="298" t="s">
        <v>675</v>
      </c>
      <c r="L618" s="298" t="s">
        <v>493</v>
      </c>
      <c r="M618" s="301" t="s">
        <v>315</v>
      </c>
      <c r="N618" s="301" t="s">
        <v>315</v>
      </c>
      <c r="O618" s="301" t="s">
        <v>315</v>
      </c>
      <c r="P618" s="301" t="s">
        <v>315</v>
      </c>
      <c r="Q618" s="301" t="s">
        <v>3748</v>
      </c>
      <c r="R618" s="301" t="s">
        <v>3748</v>
      </c>
      <c r="S618" s="301" t="s">
        <v>3748</v>
      </c>
      <c r="T618" s="301" t="s">
        <v>3748</v>
      </c>
      <c r="U618" s="301" t="s">
        <v>3748</v>
      </c>
      <c r="V618" s="301" t="s">
        <v>3748</v>
      </c>
      <c r="W618" s="298" t="s">
        <v>536</v>
      </c>
      <c r="X618" s="298" t="s">
        <v>318</v>
      </c>
    </row>
    <row r="619">
      <c r="A619" s="295" t="s">
        <v>3749</v>
      </c>
      <c r="B619" s="298">
        <v>5.0</v>
      </c>
      <c r="C619" s="298" t="s">
        <v>288</v>
      </c>
      <c r="D619" s="298" t="s">
        <v>310</v>
      </c>
      <c r="E619" s="298" t="s">
        <v>311</v>
      </c>
      <c r="F619" s="298" t="s">
        <v>625</v>
      </c>
      <c r="G619" s="298" t="s">
        <v>674</v>
      </c>
      <c r="H619" s="298" t="s">
        <v>1278</v>
      </c>
      <c r="I619" s="298" t="s">
        <v>315</v>
      </c>
      <c r="J619" s="298" t="s">
        <v>315</v>
      </c>
      <c r="K619" s="298" t="s">
        <v>1753</v>
      </c>
      <c r="L619" s="298" t="s">
        <v>493</v>
      </c>
      <c r="M619" s="301" t="s">
        <v>315</v>
      </c>
      <c r="N619" s="301" t="s">
        <v>315</v>
      </c>
      <c r="O619" s="301" t="s">
        <v>315</v>
      </c>
      <c r="P619" s="301" t="s">
        <v>315</v>
      </c>
      <c r="Q619" s="301" t="s">
        <v>3750</v>
      </c>
      <c r="R619" s="301" t="s">
        <v>3750</v>
      </c>
      <c r="S619" s="301" t="s">
        <v>3750</v>
      </c>
      <c r="T619" s="301" t="s">
        <v>3750</v>
      </c>
      <c r="U619" s="301" t="s">
        <v>3750</v>
      </c>
      <c r="V619" s="301" t="s">
        <v>3750</v>
      </c>
      <c r="W619" s="298" t="s">
        <v>331</v>
      </c>
      <c r="X619" s="298" t="s">
        <v>306</v>
      </c>
    </row>
    <row r="620">
      <c r="A620" s="295" t="s">
        <v>3751</v>
      </c>
      <c r="B620" s="298">
        <v>5.0</v>
      </c>
      <c r="C620" s="298" t="s">
        <v>288</v>
      </c>
      <c r="D620" s="298" t="s">
        <v>462</v>
      </c>
      <c r="E620" s="298" t="s">
        <v>311</v>
      </c>
      <c r="F620" s="298" t="str">
        <f>'Character Sheet'!$C$9</f>
        <v/>
      </c>
      <c r="G620" s="298" t="s">
        <v>294</v>
      </c>
      <c r="H620" s="298" t="s">
        <v>352</v>
      </c>
      <c r="I620" s="298" t="s">
        <v>1000</v>
      </c>
      <c r="J620" s="298" t="s">
        <v>315</v>
      </c>
      <c r="K620" s="298" t="s">
        <v>632</v>
      </c>
      <c r="L620" s="298" t="s">
        <v>493</v>
      </c>
      <c r="M620" s="301" t="s">
        <v>315</v>
      </c>
      <c r="N620" s="301" t="s">
        <v>315</v>
      </c>
      <c r="O620" s="301" t="s">
        <v>315</v>
      </c>
      <c r="P620" s="301" t="s">
        <v>315</v>
      </c>
      <c r="Q620" s="301" t="s">
        <v>3752</v>
      </c>
      <c r="R620" s="301" t="s">
        <v>3752</v>
      </c>
      <c r="S620" s="301" t="s">
        <v>3752</v>
      </c>
      <c r="T620" s="301" t="s">
        <v>3752</v>
      </c>
      <c r="U620" s="301" t="s">
        <v>3752</v>
      </c>
      <c r="V620" s="301" t="s">
        <v>3752</v>
      </c>
      <c r="W620" s="298" t="s">
        <v>460</v>
      </c>
      <c r="X620" s="298" t="s">
        <v>569</v>
      </c>
    </row>
    <row r="621">
      <c r="A621" s="295" t="s">
        <v>3753</v>
      </c>
      <c r="B621" s="298">
        <v>5.0</v>
      </c>
      <c r="C621" s="298" t="s">
        <v>522</v>
      </c>
      <c r="D621" s="298" t="s">
        <v>334</v>
      </c>
      <c r="E621" s="298" t="s">
        <v>290</v>
      </c>
      <c r="F621" s="298" t="str">
        <f>'Character Sheet'!$C$9</f>
        <v/>
      </c>
      <c r="G621" s="298" t="s">
        <v>294</v>
      </c>
      <c r="H621" s="298" t="s">
        <v>360</v>
      </c>
      <c r="I621" s="298" t="s">
        <v>2038</v>
      </c>
      <c r="J621" s="298" t="s">
        <v>192</v>
      </c>
      <c r="K621" s="298" t="s">
        <v>2509</v>
      </c>
      <c r="L621" s="298" t="s">
        <v>493</v>
      </c>
      <c r="M621" s="301" t="s">
        <v>315</v>
      </c>
      <c r="N621" s="301" t="s">
        <v>315</v>
      </c>
      <c r="O621" s="301" t="s">
        <v>315</v>
      </c>
      <c r="P621" s="301" t="s">
        <v>315</v>
      </c>
      <c r="Q621" s="301" t="s">
        <v>3754</v>
      </c>
      <c r="R621" s="301" t="s">
        <v>3755</v>
      </c>
      <c r="S621" s="301" t="s">
        <v>3756</v>
      </c>
      <c r="T621" s="301" t="s">
        <v>3757</v>
      </c>
      <c r="U621" s="301" t="s">
        <v>3758</v>
      </c>
      <c r="V621" s="301" t="s">
        <v>3759</v>
      </c>
      <c r="W621" s="298" t="s">
        <v>483</v>
      </c>
      <c r="X621" s="298" t="s">
        <v>3760</v>
      </c>
    </row>
    <row r="622">
      <c r="A622" s="295" t="s">
        <v>3761</v>
      </c>
      <c r="B622" s="298">
        <v>5.0</v>
      </c>
      <c r="C622" s="298" t="s">
        <v>288</v>
      </c>
      <c r="D622" s="298" t="s">
        <v>289</v>
      </c>
      <c r="E622" s="298" t="s">
        <v>290</v>
      </c>
      <c r="F622" s="298" t="str">
        <f>'Character Sheet'!$C$9</f>
        <v/>
      </c>
      <c r="G622" s="298" t="s">
        <v>294</v>
      </c>
      <c r="H622" s="298" t="s">
        <v>324</v>
      </c>
      <c r="I622" s="298" t="s">
        <v>861</v>
      </c>
      <c r="J622" s="298" t="s">
        <v>180</v>
      </c>
      <c r="K622" s="298" t="s">
        <v>298</v>
      </c>
      <c r="L622" s="298" t="s">
        <v>493</v>
      </c>
      <c r="M622" s="301" t="s">
        <v>315</v>
      </c>
      <c r="N622" s="301" t="s">
        <v>315</v>
      </c>
      <c r="O622" s="301" t="s">
        <v>315</v>
      </c>
      <c r="P622" s="301" t="s">
        <v>315</v>
      </c>
      <c r="Q622" s="301" t="s">
        <v>3762</v>
      </c>
      <c r="R622" s="301" t="s">
        <v>3762</v>
      </c>
      <c r="S622" s="301" t="s">
        <v>3763</v>
      </c>
      <c r="T622" s="301" t="s">
        <v>3763</v>
      </c>
      <c r="U622" s="301" t="s">
        <v>3764</v>
      </c>
      <c r="V622" s="301" t="s">
        <v>3764</v>
      </c>
      <c r="W622" s="298" t="s">
        <v>429</v>
      </c>
      <c r="X622" s="298" t="s">
        <v>318</v>
      </c>
    </row>
    <row r="623">
      <c r="A623" s="295" t="s">
        <v>3765</v>
      </c>
      <c r="B623" s="298">
        <v>5.0</v>
      </c>
      <c r="C623" s="298" t="s">
        <v>522</v>
      </c>
      <c r="D623" s="298" t="s">
        <v>151</v>
      </c>
      <c r="E623" s="298" t="s">
        <v>290</v>
      </c>
      <c r="F623" s="298" t="s">
        <v>625</v>
      </c>
      <c r="G623" s="298" t="s">
        <v>674</v>
      </c>
      <c r="H623" s="298" t="s">
        <v>295</v>
      </c>
      <c r="I623" s="298" t="s">
        <v>315</v>
      </c>
      <c r="J623" s="298" t="s">
        <v>315</v>
      </c>
      <c r="K623" s="298" t="s">
        <v>675</v>
      </c>
      <c r="L623" s="298" t="s">
        <v>493</v>
      </c>
      <c r="M623" s="301" t="s">
        <v>315</v>
      </c>
      <c r="N623" s="301" t="s">
        <v>315</v>
      </c>
      <c r="O623" s="301" t="s">
        <v>315</v>
      </c>
      <c r="P623" s="301" t="s">
        <v>315</v>
      </c>
      <c r="Q623" s="301" t="s">
        <v>3766</v>
      </c>
      <c r="R623" s="301" t="s">
        <v>3766</v>
      </c>
      <c r="S623" s="301" t="s">
        <v>3767</v>
      </c>
      <c r="T623" s="301" t="s">
        <v>3768</v>
      </c>
      <c r="U623" s="301" t="s">
        <v>3769</v>
      </c>
      <c r="V623" s="301" t="s">
        <v>3770</v>
      </c>
      <c r="W623" s="298" t="s">
        <v>460</v>
      </c>
      <c r="X623" s="298" t="s">
        <v>3771</v>
      </c>
    </row>
    <row r="624">
      <c r="A624" s="295" t="s">
        <v>3772</v>
      </c>
      <c r="B624" s="298">
        <v>5.0</v>
      </c>
      <c r="C624" s="298" t="s">
        <v>288</v>
      </c>
      <c r="D624" s="298" t="s">
        <v>462</v>
      </c>
      <c r="E624" s="298" t="s">
        <v>290</v>
      </c>
      <c r="F624" s="298" t="s">
        <v>625</v>
      </c>
      <c r="G624" s="298" t="s">
        <v>674</v>
      </c>
      <c r="H624" s="298" t="s">
        <v>324</v>
      </c>
      <c r="I624" s="298" t="s">
        <v>324</v>
      </c>
      <c r="J624" s="298" t="s">
        <v>315</v>
      </c>
      <c r="K624" s="298" t="s">
        <v>325</v>
      </c>
      <c r="L624" s="298" t="s">
        <v>493</v>
      </c>
      <c r="M624" s="301" t="s">
        <v>315</v>
      </c>
      <c r="N624" s="301" t="s">
        <v>315</v>
      </c>
      <c r="O624" s="301" t="s">
        <v>315</v>
      </c>
      <c r="P624" s="301" t="s">
        <v>315</v>
      </c>
      <c r="Q624" s="301" t="s">
        <v>3773</v>
      </c>
      <c r="R624" s="301" t="s">
        <v>3773</v>
      </c>
      <c r="S624" s="301" t="s">
        <v>3774</v>
      </c>
      <c r="T624" s="301" t="s">
        <v>3774</v>
      </c>
      <c r="U624" s="301" t="s">
        <v>3775</v>
      </c>
      <c r="V624" s="301" t="s">
        <v>3775</v>
      </c>
      <c r="W624" s="298" t="s">
        <v>331</v>
      </c>
      <c r="X624" s="298" t="s">
        <v>318</v>
      </c>
    </row>
    <row r="625">
      <c r="A625" s="295" t="s">
        <v>3776</v>
      </c>
      <c r="B625" s="298">
        <v>5.0</v>
      </c>
      <c r="C625" s="298" t="s">
        <v>288</v>
      </c>
      <c r="D625" s="298" t="s">
        <v>334</v>
      </c>
      <c r="E625" s="298" t="s">
        <v>290</v>
      </c>
      <c r="F625" s="298" t="str">
        <f>'Character Sheet'!$N$9</f>
        <v/>
      </c>
      <c r="G625" s="298" t="s">
        <v>674</v>
      </c>
      <c r="H625" s="298" t="s">
        <v>295</v>
      </c>
      <c r="I625" s="298" t="s">
        <v>2038</v>
      </c>
      <c r="J625" s="298" t="s">
        <v>336</v>
      </c>
      <c r="K625" s="298" t="s">
        <v>298</v>
      </c>
      <c r="L625" s="298" t="s">
        <v>493</v>
      </c>
      <c r="M625" s="301" t="s">
        <v>315</v>
      </c>
      <c r="N625" s="301" t="s">
        <v>315</v>
      </c>
      <c r="O625" s="301" t="s">
        <v>315</v>
      </c>
      <c r="P625" s="301" t="s">
        <v>315</v>
      </c>
      <c r="Q625" s="301" t="s">
        <v>3777</v>
      </c>
      <c r="R625" s="301" t="s">
        <v>3778</v>
      </c>
      <c r="S625" s="301" t="s">
        <v>3779</v>
      </c>
      <c r="T625" s="301" t="s">
        <v>3780</v>
      </c>
      <c r="U625" s="301" t="s">
        <v>3781</v>
      </c>
      <c r="V625" s="301" t="s">
        <v>3782</v>
      </c>
      <c r="W625" s="298" t="s">
        <v>429</v>
      </c>
      <c r="X625" s="298" t="s">
        <v>318</v>
      </c>
    </row>
    <row r="626">
      <c r="A626" s="295" t="s">
        <v>3783</v>
      </c>
      <c r="B626" s="298">
        <v>5.0</v>
      </c>
      <c r="C626" s="298" t="s">
        <v>522</v>
      </c>
      <c r="D626" s="298" t="s">
        <v>421</v>
      </c>
      <c r="E626" s="298" t="s">
        <v>311</v>
      </c>
      <c r="F626" s="298" t="s">
        <v>625</v>
      </c>
      <c r="G626" s="298" t="s">
        <v>674</v>
      </c>
      <c r="H626" s="298" t="s">
        <v>324</v>
      </c>
      <c r="I626" s="298" t="s">
        <v>2254</v>
      </c>
      <c r="J626" s="298" t="s">
        <v>315</v>
      </c>
      <c r="K626" s="298" t="s">
        <v>545</v>
      </c>
      <c r="L626" s="298" t="s">
        <v>493</v>
      </c>
      <c r="M626" s="301" t="s">
        <v>315</v>
      </c>
      <c r="N626" s="301" t="s">
        <v>315</v>
      </c>
      <c r="O626" s="301" t="s">
        <v>315</v>
      </c>
      <c r="P626" s="301" t="s">
        <v>315</v>
      </c>
      <c r="Q626" s="301" t="s">
        <v>3784</v>
      </c>
      <c r="R626" s="301" t="s">
        <v>3784</v>
      </c>
      <c r="S626" s="301" t="s">
        <v>3784</v>
      </c>
      <c r="T626" s="301" t="s">
        <v>3784</v>
      </c>
      <c r="U626" s="301" t="s">
        <v>3784</v>
      </c>
      <c r="V626" s="301" t="s">
        <v>3784</v>
      </c>
      <c r="W626" s="298" t="s">
        <v>317</v>
      </c>
      <c r="X626" s="298" t="s">
        <v>2632</v>
      </c>
    </row>
    <row r="627">
      <c r="A627" s="295" t="s">
        <v>3785</v>
      </c>
      <c r="B627" s="298">
        <v>5.0</v>
      </c>
      <c r="C627" s="298" t="s">
        <v>522</v>
      </c>
      <c r="D627" s="298" t="s">
        <v>289</v>
      </c>
      <c r="E627" s="298" t="s">
        <v>290</v>
      </c>
      <c r="F627" s="298" t="str">
        <f>'Character Sheet'!$C$9</f>
        <v/>
      </c>
      <c r="G627" s="298" t="s">
        <v>294</v>
      </c>
      <c r="H627" s="298" t="s">
        <v>352</v>
      </c>
      <c r="I627" s="298" t="s">
        <v>3633</v>
      </c>
      <c r="J627" s="298" t="s">
        <v>407</v>
      </c>
      <c r="K627" s="298" t="s">
        <v>298</v>
      </c>
      <c r="L627" s="298" t="s">
        <v>493</v>
      </c>
      <c r="M627" s="301" t="s">
        <v>315</v>
      </c>
      <c r="N627" s="301" t="s">
        <v>315</v>
      </c>
      <c r="O627" s="301" t="s">
        <v>315</v>
      </c>
      <c r="P627" s="301" t="s">
        <v>315</v>
      </c>
      <c r="Q627" s="301" t="s">
        <v>3786</v>
      </c>
      <c r="R627" s="301" t="s">
        <v>3786</v>
      </c>
      <c r="S627" s="301" t="s">
        <v>3786</v>
      </c>
      <c r="T627" s="301" t="s">
        <v>3787</v>
      </c>
      <c r="U627" s="301" t="s">
        <v>3787</v>
      </c>
      <c r="V627" s="301" t="s">
        <v>3787</v>
      </c>
      <c r="W627" s="298" t="s">
        <v>331</v>
      </c>
      <c r="X627" s="298" t="s">
        <v>1082</v>
      </c>
    </row>
    <row r="628">
      <c r="A628" s="295" t="s">
        <v>3788</v>
      </c>
      <c r="B628" s="298">
        <v>5.0</v>
      </c>
      <c r="C628" s="298" t="s">
        <v>288</v>
      </c>
      <c r="D628" s="298" t="s">
        <v>151</v>
      </c>
      <c r="E628" s="298" t="s">
        <v>311</v>
      </c>
      <c r="F628" s="298" t="s">
        <v>625</v>
      </c>
      <c r="G628" s="298" t="s">
        <v>674</v>
      </c>
      <c r="H628" s="298" t="s">
        <v>335</v>
      </c>
      <c r="I628" s="298" t="s">
        <v>1967</v>
      </c>
      <c r="J628" s="298" t="s">
        <v>315</v>
      </c>
      <c r="K628" s="298" t="s">
        <v>1972</v>
      </c>
      <c r="L628" s="298" t="s">
        <v>493</v>
      </c>
      <c r="M628" s="301" t="s">
        <v>315</v>
      </c>
      <c r="N628" s="301" t="s">
        <v>315</v>
      </c>
      <c r="O628" s="301" t="s">
        <v>315</v>
      </c>
      <c r="P628" s="301" t="s">
        <v>315</v>
      </c>
      <c r="Q628" s="301" t="s">
        <v>3789</v>
      </c>
      <c r="R628" s="301" t="s">
        <v>3789</v>
      </c>
      <c r="S628" s="301" t="s">
        <v>3789</v>
      </c>
      <c r="T628" s="301" t="s">
        <v>3789</v>
      </c>
      <c r="U628" s="301" t="s">
        <v>3789</v>
      </c>
      <c r="V628" s="301" t="s">
        <v>3789</v>
      </c>
      <c r="W628" s="298" t="s">
        <v>460</v>
      </c>
      <c r="X628" s="298" t="s">
        <v>678</v>
      </c>
    </row>
    <row r="629">
      <c r="A629" s="295" t="s">
        <v>3790</v>
      </c>
      <c r="B629" s="298">
        <v>5.0</v>
      </c>
      <c r="C629" s="298" t="s">
        <v>288</v>
      </c>
      <c r="D629" s="298" t="s">
        <v>310</v>
      </c>
      <c r="E629" s="298" t="s">
        <v>311</v>
      </c>
      <c r="F629" s="298" t="str">
        <f>'Character Sheet'!$E$9</f>
        <v/>
      </c>
      <c r="G629" s="298" t="s">
        <v>674</v>
      </c>
      <c r="H629" s="298" t="s">
        <v>2115</v>
      </c>
      <c r="I629" s="298" t="s">
        <v>296</v>
      </c>
      <c r="J629" s="298" t="s">
        <v>315</v>
      </c>
      <c r="K629" s="298" t="s">
        <v>298</v>
      </c>
      <c r="L629" s="298" t="s">
        <v>493</v>
      </c>
      <c r="M629" s="301" t="s">
        <v>315</v>
      </c>
      <c r="N629" s="301" t="s">
        <v>315</v>
      </c>
      <c r="O629" s="301" t="s">
        <v>315</v>
      </c>
      <c r="P629" s="301" t="s">
        <v>315</v>
      </c>
      <c r="Q629" s="301" t="s">
        <v>3791</v>
      </c>
      <c r="R629" s="301" t="s">
        <v>3791</v>
      </c>
      <c r="S629" s="301" t="s">
        <v>3791</v>
      </c>
      <c r="T629" s="301" t="s">
        <v>3791</v>
      </c>
      <c r="U629" s="301" t="s">
        <v>3791</v>
      </c>
      <c r="V629" s="301" t="s">
        <v>3791</v>
      </c>
      <c r="W629" s="298" t="s">
        <v>331</v>
      </c>
      <c r="X629" s="298" t="s">
        <v>306</v>
      </c>
    </row>
    <row r="630">
      <c r="A630" s="295" t="s">
        <v>3792</v>
      </c>
      <c r="B630" s="298">
        <v>5.0</v>
      </c>
      <c r="C630" s="298" t="s">
        <v>288</v>
      </c>
      <c r="D630" s="298" t="s">
        <v>289</v>
      </c>
      <c r="E630" s="298" t="s">
        <v>290</v>
      </c>
      <c r="F630" s="298" t="str">
        <f>'Character Sheet'!$C$9</f>
        <v/>
      </c>
      <c r="G630" s="298" t="s">
        <v>294</v>
      </c>
      <c r="H630" s="298" t="s">
        <v>1174</v>
      </c>
      <c r="I630" s="298" t="s">
        <v>1174</v>
      </c>
      <c r="J630" s="298" t="s">
        <v>315</v>
      </c>
      <c r="K630" s="298" t="s">
        <v>298</v>
      </c>
      <c r="L630" s="298" t="s">
        <v>493</v>
      </c>
      <c r="M630" s="301" t="s">
        <v>315</v>
      </c>
      <c r="N630" s="301" t="s">
        <v>315</v>
      </c>
      <c r="O630" s="301" t="s">
        <v>315</v>
      </c>
      <c r="P630" s="301" t="s">
        <v>315</v>
      </c>
      <c r="Q630" s="301" t="s">
        <v>3793</v>
      </c>
      <c r="R630" s="301" t="s">
        <v>3794</v>
      </c>
      <c r="S630" s="301" t="s">
        <v>3795</v>
      </c>
      <c r="T630" s="301" t="s">
        <v>3796</v>
      </c>
      <c r="U630" s="301" t="s">
        <v>3797</v>
      </c>
      <c r="V630" s="301" t="s">
        <v>3798</v>
      </c>
      <c r="W630" s="298" t="s">
        <v>429</v>
      </c>
      <c r="X630" s="298" t="s">
        <v>306</v>
      </c>
    </row>
    <row r="631">
      <c r="A631" s="295" t="s">
        <v>3799</v>
      </c>
      <c r="B631" s="298">
        <v>5.0</v>
      </c>
      <c r="C631" s="298" t="s">
        <v>288</v>
      </c>
      <c r="D631" s="298" t="s">
        <v>321</v>
      </c>
      <c r="E631" s="298" t="s">
        <v>311</v>
      </c>
      <c r="F631" s="298" t="str">
        <f>'Character Sheet'!$K$9</f>
        <v/>
      </c>
      <c r="G631" s="298" t="s">
        <v>477</v>
      </c>
      <c r="H631" s="298" t="s">
        <v>360</v>
      </c>
      <c r="I631" s="298" t="s">
        <v>315</v>
      </c>
      <c r="J631" s="298" t="s">
        <v>1953</v>
      </c>
      <c r="K631" s="298" t="s">
        <v>298</v>
      </c>
      <c r="L631" s="298" t="s">
        <v>493</v>
      </c>
      <c r="M631" s="301" t="s">
        <v>315</v>
      </c>
      <c r="N631" s="301" t="s">
        <v>315</v>
      </c>
      <c r="O631" s="301" t="s">
        <v>315</v>
      </c>
      <c r="P631" s="301" t="s">
        <v>315</v>
      </c>
      <c r="Q631" s="301" t="s">
        <v>3800</v>
      </c>
      <c r="R631" s="301" t="s">
        <v>3800</v>
      </c>
      <c r="S631" s="301" t="s">
        <v>3800</v>
      </c>
      <c r="T631" s="301" t="s">
        <v>3800</v>
      </c>
      <c r="U631" s="301" t="s">
        <v>3800</v>
      </c>
      <c r="V631" s="301" t="s">
        <v>3800</v>
      </c>
      <c r="W631" s="298" t="s">
        <v>460</v>
      </c>
      <c r="X631" s="298" t="s">
        <v>306</v>
      </c>
    </row>
    <row r="632">
      <c r="A632" s="295" t="s">
        <v>3801</v>
      </c>
      <c r="B632" s="298">
        <v>5.0</v>
      </c>
      <c r="C632" s="298" t="s">
        <v>522</v>
      </c>
      <c r="D632" s="298" t="s">
        <v>151</v>
      </c>
      <c r="E632" s="298" t="s">
        <v>311</v>
      </c>
      <c r="F632" s="298" t="s">
        <v>625</v>
      </c>
      <c r="G632" s="298" t="s">
        <v>674</v>
      </c>
      <c r="H632" s="298" t="s">
        <v>335</v>
      </c>
      <c r="I632" s="298" t="s">
        <v>3802</v>
      </c>
      <c r="J632" s="298" t="s">
        <v>315</v>
      </c>
      <c r="K632" s="298" t="s">
        <v>1001</v>
      </c>
      <c r="L632" s="298" t="s">
        <v>493</v>
      </c>
      <c r="M632" s="301" t="s">
        <v>315</v>
      </c>
      <c r="N632" s="301" t="s">
        <v>315</v>
      </c>
      <c r="O632" s="301" t="s">
        <v>315</v>
      </c>
      <c r="P632" s="301" t="s">
        <v>315</v>
      </c>
      <c r="Q632" s="301" t="s">
        <v>3803</v>
      </c>
      <c r="R632" s="301" t="s">
        <v>3803</v>
      </c>
      <c r="S632" s="301" t="s">
        <v>3803</v>
      </c>
      <c r="T632" s="301" t="s">
        <v>3803</v>
      </c>
      <c r="U632" s="301" t="s">
        <v>3803</v>
      </c>
      <c r="V632" s="301" t="s">
        <v>3803</v>
      </c>
      <c r="W632" s="298" t="s">
        <v>460</v>
      </c>
      <c r="X632" s="298" t="s">
        <v>306</v>
      </c>
    </row>
    <row r="633">
      <c r="A633" s="295" t="s">
        <v>3804</v>
      </c>
      <c r="B633" s="298">
        <v>5.0</v>
      </c>
      <c r="C633" s="298" t="s">
        <v>522</v>
      </c>
      <c r="D633" s="298" t="s">
        <v>334</v>
      </c>
      <c r="E633" s="298" t="s">
        <v>290</v>
      </c>
      <c r="F633" s="298" t="str">
        <f>'Character Sheet'!$C$9</f>
        <v/>
      </c>
      <c r="G633" s="298" t="s">
        <v>294</v>
      </c>
      <c r="H633" s="298" t="s">
        <v>295</v>
      </c>
      <c r="I633" s="298" t="s">
        <v>952</v>
      </c>
      <c r="J633" s="298" t="s">
        <v>315</v>
      </c>
      <c r="K633" s="298" t="s">
        <v>325</v>
      </c>
      <c r="L633" s="298" t="s">
        <v>493</v>
      </c>
      <c r="M633" s="301" t="s">
        <v>315</v>
      </c>
      <c r="N633" s="301" t="s">
        <v>315</v>
      </c>
      <c r="O633" s="301" t="s">
        <v>315</v>
      </c>
      <c r="P633" s="301" t="s">
        <v>315</v>
      </c>
      <c r="Q633" s="301" t="s">
        <v>3805</v>
      </c>
      <c r="R633" s="301" t="s">
        <v>3805</v>
      </c>
      <c r="S633" s="301" t="s">
        <v>3806</v>
      </c>
      <c r="T633" s="301" t="s">
        <v>3806</v>
      </c>
      <c r="U633" s="301" t="s">
        <v>3807</v>
      </c>
      <c r="V633" s="301" t="s">
        <v>3807</v>
      </c>
      <c r="W633" s="298" t="s">
        <v>483</v>
      </c>
      <c r="X633" s="298" t="s">
        <v>3296</v>
      </c>
    </row>
    <row r="634">
      <c r="A634" s="295" t="s">
        <v>3808</v>
      </c>
      <c r="B634" s="298">
        <v>5.0</v>
      </c>
      <c r="C634" s="298" t="s">
        <v>288</v>
      </c>
      <c r="D634" s="298" t="s">
        <v>421</v>
      </c>
      <c r="E634" s="298" t="s">
        <v>290</v>
      </c>
      <c r="F634" s="298" t="str">
        <f>'Character Sheet'!$C$9</f>
        <v/>
      </c>
      <c r="G634" s="298" t="s">
        <v>294</v>
      </c>
      <c r="H634" s="298" t="s">
        <v>352</v>
      </c>
      <c r="I634" s="298" t="s">
        <v>315</v>
      </c>
      <c r="J634" s="298" t="s">
        <v>315</v>
      </c>
      <c r="K634" s="298" t="s">
        <v>424</v>
      </c>
      <c r="L634" s="298" t="s">
        <v>493</v>
      </c>
      <c r="M634" s="301" t="s">
        <v>315</v>
      </c>
      <c r="N634" s="301" t="s">
        <v>315</v>
      </c>
      <c r="O634" s="301" t="s">
        <v>315</v>
      </c>
      <c r="P634" s="301" t="s">
        <v>315</v>
      </c>
      <c r="Q634" s="301" t="s">
        <v>3809</v>
      </c>
      <c r="R634" s="301" t="s">
        <v>3809</v>
      </c>
      <c r="S634" s="301" t="s">
        <v>3810</v>
      </c>
      <c r="T634" s="301" t="s">
        <v>3810</v>
      </c>
      <c r="U634" s="301" t="s">
        <v>3811</v>
      </c>
      <c r="V634" s="301" t="s">
        <v>3811</v>
      </c>
      <c r="W634" s="298" t="s">
        <v>404</v>
      </c>
      <c r="X634" s="298" t="s">
        <v>306</v>
      </c>
    </row>
    <row r="635">
      <c r="A635" s="295" t="s">
        <v>3812</v>
      </c>
      <c r="B635" s="298">
        <v>5.0</v>
      </c>
      <c r="C635" s="298" t="s">
        <v>288</v>
      </c>
      <c r="D635" s="298" t="s">
        <v>462</v>
      </c>
      <c r="E635" s="298" t="s">
        <v>311</v>
      </c>
      <c r="F635" s="298" t="str">
        <f>'Character Sheet'!$C$9</f>
        <v/>
      </c>
      <c r="G635" s="298" t="s">
        <v>294</v>
      </c>
      <c r="H635" s="298" t="s">
        <v>352</v>
      </c>
      <c r="I635" s="298" t="s">
        <v>1000</v>
      </c>
      <c r="J635" s="298" t="s">
        <v>192</v>
      </c>
      <c r="K635" s="298" t="s">
        <v>632</v>
      </c>
      <c r="L635" s="298" t="s">
        <v>493</v>
      </c>
      <c r="M635" s="301" t="s">
        <v>315</v>
      </c>
      <c r="N635" s="301" t="s">
        <v>315</v>
      </c>
      <c r="O635" s="301" t="s">
        <v>315</v>
      </c>
      <c r="P635" s="301" t="s">
        <v>315</v>
      </c>
      <c r="Q635" s="301" t="s">
        <v>3813</v>
      </c>
      <c r="R635" s="301" t="s">
        <v>3813</v>
      </c>
      <c r="S635" s="301" t="s">
        <v>3813</v>
      </c>
      <c r="T635" s="301" t="s">
        <v>3813</v>
      </c>
      <c r="U635" s="301" t="s">
        <v>3813</v>
      </c>
      <c r="V635" s="301" t="s">
        <v>3813</v>
      </c>
      <c r="W635" s="298" t="s">
        <v>460</v>
      </c>
      <c r="X635" s="298" t="s">
        <v>569</v>
      </c>
    </row>
    <row r="636">
      <c r="A636" s="295" t="s">
        <v>3814</v>
      </c>
      <c r="B636" s="298">
        <v>5.0</v>
      </c>
      <c r="C636" s="298" t="s">
        <v>522</v>
      </c>
      <c r="D636" s="298" t="s">
        <v>289</v>
      </c>
      <c r="E636" s="298" t="s">
        <v>290</v>
      </c>
      <c r="F636" s="298" t="str">
        <f>'Character Sheet'!$C$9</f>
        <v/>
      </c>
      <c r="G636" s="298" t="s">
        <v>294</v>
      </c>
      <c r="H636" s="298" t="s">
        <v>360</v>
      </c>
      <c r="I636" s="298" t="s">
        <v>1379</v>
      </c>
      <c r="J636" s="298" t="s">
        <v>180</v>
      </c>
      <c r="K636" s="298" t="s">
        <v>298</v>
      </c>
      <c r="L636" s="298" t="s">
        <v>493</v>
      </c>
      <c r="M636" s="301" t="s">
        <v>315</v>
      </c>
      <c r="N636" s="301" t="s">
        <v>315</v>
      </c>
      <c r="O636" s="301" t="s">
        <v>315</v>
      </c>
      <c r="P636" s="301" t="s">
        <v>315</v>
      </c>
      <c r="Q636" s="301" t="s">
        <v>3815</v>
      </c>
      <c r="R636" s="301" t="s">
        <v>3815</v>
      </c>
      <c r="S636" s="301" t="s">
        <v>3816</v>
      </c>
      <c r="T636" s="301" t="s">
        <v>3816</v>
      </c>
      <c r="U636" s="301" t="s">
        <v>3817</v>
      </c>
      <c r="V636" s="301" t="s">
        <v>3817</v>
      </c>
      <c r="W636" s="298" t="s">
        <v>499</v>
      </c>
      <c r="X636" s="298" t="s">
        <v>1714</v>
      </c>
    </row>
    <row r="637">
      <c r="A637" s="295" t="s">
        <v>3818</v>
      </c>
      <c r="B637" s="298">
        <v>5.0</v>
      </c>
      <c r="C637" s="298" t="s">
        <v>288</v>
      </c>
      <c r="D637" s="298" t="s">
        <v>321</v>
      </c>
      <c r="E637" s="298" t="s">
        <v>311</v>
      </c>
      <c r="F637" s="298" t="str">
        <f>'Character Sheet'!$E$9</f>
        <v/>
      </c>
      <c r="G637" s="298" t="s">
        <v>674</v>
      </c>
      <c r="H637" s="298" t="s">
        <v>360</v>
      </c>
      <c r="I637" s="298" t="s">
        <v>3819</v>
      </c>
      <c r="J637" s="298" t="s">
        <v>192</v>
      </c>
      <c r="K637" s="298" t="s">
        <v>632</v>
      </c>
      <c r="L637" s="298" t="s">
        <v>493</v>
      </c>
      <c r="M637" s="301" t="s">
        <v>315</v>
      </c>
      <c r="N637" s="301" t="s">
        <v>315</v>
      </c>
      <c r="O637" s="301" t="s">
        <v>315</v>
      </c>
      <c r="P637" s="301" t="s">
        <v>315</v>
      </c>
      <c r="Q637" s="301" t="s">
        <v>3820</v>
      </c>
      <c r="R637" s="301" t="s">
        <v>3820</v>
      </c>
      <c r="S637" s="301" t="s">
        <v>3820</v>
      </c>
      <c r="T637" s="301" t="s">
        <v>3820</v>
      </c>
      <c r="U637" s="301" t="s">
        <v>3820</v>
      </c>
      <c r="V637" s="301" t="s">
        <v>3820</v>
      </c>
      <c r="W637" s="298" t="s">
        <v>536</v>
      </c>
      <c r="X637" s="298" t="s">
        <v>678</v>
      </c>
    </row>
    <row r="638">
      <c r="A638" s="295" t="s">
        <v>3821</v>
      </c>
      <c r="B638" s="298">
        <v>5.0</v>
      </c>
      <c r="C638" s="298" t="s">
        <v>288</v>
      </c>
      <c r="D638" s="298" t="s">
        <v>359</v>
      </c>
      <c r="E638" s="298" t="s">
        <v>290</v>
      </c>
      <c r="F638" s="298" t="str">
        <f>'Character Sheet'!$C$9</f>
        <v/>
      </c>
      <c r="G638" s="298" t="s">
        <v>294</v>
      </c>
      <c r="H638" s="298" t="s">
        <v>295</v>
      </c>
      <c r="I638" s="298" t="s">
        <v>296</v>
      </c>
      <c r="J638" s="298" t="s">
        <v>192</v>
      </c>
      <c r="K638" s="298" t="s">
        <v>1174</v>
      </c>
      <c r="L638" s="298" t="s">
        <v>493</v>
      </c>
      <c r="M638" s="301" t="s">
        <v>315</v>
      </c>
      <c r="N638" s="301" t="s">
        <v>315</v>
      </c>
      <c r="O638" s="301" t="s">
        <v>315</v>
      </c>
      <c r="P638" s="301" t="s">
        <v>315</v>
      </c>
      <c r="Q638" s="301" t="s">
        <v>3822</v>
      </c>
      <c r="R638" s="301" t="s">
        <v>3822</v>
      </c>
      <c r="S638" s="301" t="s">
        <v>3822</v>
      </c>
      <c r="T638" s="301" t="s">
        <v>3822</v>
      </c>
      <c r="U638" s="301" t="s">
        <v>3823</v>
      </c>
      <c r="V638" s="301" t="s">
        <v>3823</v>
      </c>
      <c r="W638" s="298" t="s">
        <v>460</v>
      </c>
      <c r="X638" s="298" t="s">
        <v>306</v>
      </c>
    </row>
    <row r="639">
      <c r="A639" s="295" t="s">
        <v>3824</v>
      </c>
      <c r="B639" s="298">
        <v>5.0</v>
      </c>
      <c r="C639" s="298" t="s">
        <v>288</v>
      </c>
      <c r="D639" s="298" t="s">
        <v>151</v>
      </c>
      <c r="E639" s="298" t="s">
        <v>290</v>
      </c>
      <c r="F639" s="298" t="str">
        <f>'Character Sheet'!$E$9</f>
        <v/>
      </c>
      <c r="G639" s="298" t="s">
        <v>674</v>
      </c>
      <c r="H639" s="298" t="s">
        <v>295</v>
      </c>
      <c r="I639" s="298" t="s">
        <v>315</v>
      </c>
      <c r="J639" s="298" t="s">
        <v>315</v>
      </c>
      <c r="K639" s="298" t="s">
        <v>424</v>
      </c>
      <c r="L639" s="298" t="s">
        <v>493</v>
      </c>
      <c r="M639" s="301" t="s">
        <v>315</v>
      </c>
      <c r="N639" s="301" t="s">
        <v>315</v>
      </c>
      <c r="O639" s="301" t="s">
        <v>315</v>
      </c>
      <c r="P639" s="301" t="s">
        <v>315</v>
      </c>
      <c r="Q639" s="301" t="s">
        <v>3825</v>
      </c>
      <c r="R639" s="301" t="s">
        <v>3826</v>
      </c>
      <c r="S639" s="301" t="s">
        <v>3827</v>
      </c>
      <c r="T639" s="301" t="s">
        <v>3828</v>
      </c>
      <c r="U639" s="301" t="s">
        <v>3829</v>
      </c>
      <c r="V639" s="301" t="s">
        <v>3830</v>
      </c>
      <c r="W639" s="298" t="s">
        <v>404</v>
      </c>
      <c r="X639" s="298" t="s">
        <v>318</v>
      </c>
    </row>
    <row r="640">
      <c r="A640" s="295" t="s">
        <v>3831</v>
      </c>
      <c r="B640" s="298">
        <v>5.0</v>
      </c>
      <c r="C640" s="298" t="s">
        <v>288</v>
      </c>
      <c r="D640" s="298" t="s">
        <v>151</v>
      </c>
      <c r="E640" s="298" t="s">
        <v>290</v>
      </c>
      <c r="F640" s="298" t="str">
        <f>'Character Sheet'!$E$9</f>
        <v/>
      </c>
      <c r="G640" s="298" t="s">
        <v>674</v>
      </c>
      <c r="H640" s="298" t="s">
        <v>295</v>
      </c>
      <c r="I640" s="298" t="s">
        <v>315</v>
      </c>
      <c r="J640" s="298" t="s">
        <v>315</v>
      </c>
      <c r="K640" s="298" t="s">
        <v>424</v>
      </c>
      <c r="L640" s="298" t="s">
        <v>493</v>
      </c>
      <c r="M640" s="301" t="s">
        <v>315</v>
      </c>
      <c r="N640" s="301" t="s">
        <v>315</v>
      </c>
      <c r="O640" s="301" t="s">
        <v>315</v>
      </c>
      <c r="P640" s="301" t="s">
        <v>315</v>
      </c>
      <c r="Q640" s="301" t="s">
        <v>3832</v>
      </c>
      <c r="R640" s="301" t="s">
        <v>3833</v>
      </c>
      <c r="S640" s="301" t="s">
        <v>3834</v>
      </c>
      <c r="T640" s="301" t="s">
        <v>3835</v>
      </c>
      <c r="U640" s="301" t="s">
        <v>3836</v>
      </c>
      <c r="V640" s="301" t="s">
        <v>3837</v>
      </c>
      <c r="W640" s="298" t="s">
        <v>404</v>
      </c>
      <c r="X640" s="298" t="s">
        <v>318</v>
      </c>
    </row>
    <row r="641">
      <c r="A641" s="295" t="s">
        <v>3838</v>
      </c>
      <c r="B641" s="298">
        <v>5.0</v>
      </c>
      <c r="C641" s="298" t="s">
        <v>288</v>
      </c>
      <c r="D641" s="298" t="s">
        <v>151</v>
      </c>
      <c r="E641" s="298" t="s">
        <v>290</v>
      </c>
      <c r="F641" s="298" t="str">
        <f>'Character Sheet'!$E$9</f>
        <v/>
      </c>
      <c r="G641" s="298" t="s">
        <v>674</v>
      </c>
      <c r="H641" s="298" t="s">
        <v>295</v>
      </c>
      <c r="I641" s="298" t="s">
        <v>315</v>
      </c>
      <c r="J641" s="298" t="s">
        <v>315</v>
      </c>
      <c r="K641" s="298" t="s">
        <v>424</v>
      </c>
      <c r="L641" s="298" t="s">
        <v>493</v>
      </c>
      <c r="M641" s="301" t="s">
        <v>315</v>
      </c>
      <c r="N641" s="301" t="s">
        <v>315</v>
      </c>
      <c r="O641" s="301" t="s">
        <v>315</v>
      </c>
      <c r="P641" s="301" t="s">
        <v>315</v>
      </c>
      <c r="Q641" s="301" t="s">
        <v>3839</v>
      </c>
      <c r="R641" s="301" t="s">
        <v>3840</v>
      </c>
      <c r="S641" s="301" t="s">
        <v>3841</v>
      </c>
      <c r="T641" s="301" t="s">
        <v>3842</v>
      </c>
      <c r="U641" s="301" t="s">
        <v>3843</v>
      </c>
      <c r="V641" s="301" t="s">
        <v>3844</v>
      </c>
      <c r="W641" s="298" t="s">
        <v>404</v>
      </c>
      <c r="X641" s="298" t="s">
        <v>306</v>
      </c>
    </row>
    <row r="642">
      <c r="A642" s="295" t="s">
        <v>3845</v>
      </c>
      <c r="B642" s="298">
        <v>5.0</v>
      </c>
      <c r="C642" s="298" t="s">
        <v>288</v>
      </c>
      <c r="D642" s="298" t="s">
        <v>151</v>
      </c>
      <c r="E642" s="298" t="s">
        <v>290</v>
      </c>
      <c r="F642" s="298" t="str">
        <f>'Character Sheet'!$E$9</f>
        <v/>
      </c>
      <c r="G642" s="298" t="s">
        <v>674</v>
      </c>
      <c r="H642" s="298" t="s">
        <v>295</v>
      </c>
      <c r="I642" s="298" t="s">
        <v>315</v>
      </c>
      <c r="J642" s="298" t="s">
        <v>315</v>
      </c>
      <c r="K642" s="298" t="s">
        <v>424</v>
      </c>
      <c r="L642" s="298" t="s">
        <v>493</v>
      </c>
      <c r="M642" s="301" t="s">
        <v>315</v>
      </c>
      <c r="N642" s="301" t="s">
        <v>315</v>
      </c>
      <c r="O642" s="301" t="s">
        <v>315</v>
      </c>
      <c r="P642" s="301" t="s">
        <v>315</v>
      </c>
      <c r="Q642" s="301" t="s">
        <v>3846</v>
      </c>
      <c r="R642" s="301" t="s">
        <v>3847</v>
      </c>
      <c r="S642" s="301" t="s">
        <v>3848</v>
      </c>
      <c r="T642" s="301" t="s">
        <v>3849</v>
      </c>
      <c r="U642" s="301" t="s">
        <v>3850</v>
      </c>
      <c r="V642" s="301" t="s">
        <v>3851</v>
      </c>
      <c r="W642" s="298" t="s">
        <v>442</v>
      </c>
      <c r="X642" s="298" t="s">
        <v>306</v>
      </c>
    </row>
    <row r="643">
      <c r="A643" s="295" t="s">
        <v>3852</v>
      </c>
      <c r="B643" s="298">
        <v>5.0</v>
      </c>
      <c r="C643" s="298" t="s">
        <v>288</v>
      </c>
      <c r="D643" s="298" t="s">
        <v>151</v>
      </c>
      <c r="E643" s="298" t="s">
        <v>290</v>
      </c>
      <c r="F643" s="298" t="str">
        <f>'Character Sheet'!$E$9</f>
        <v/>
      </c>
      <c r="G643" s="298" t="s">
        <v>674</v>
      </c>
      <c r="H643" s="298" t="s">
        <v>295</v>
      </c>
      <c r="I643" s="298" t="s">
        <v>315</v>
      </c>
      <c r="J643" s="298" t="s">
        <v>315</v>
      </c>
      <c r="K643" s="298" t="s">
        <v>424</v>
      </c>
      <c r="L643" s="298" t="s">
        <v>493</v>
      </c>
      <c r="M643" s="301" t="s">
        <v>315</v>
      </c>
      <c r="N643" s="301" t="s">
        <v>315</v>
      </c>
      <c r="O643" s="301" t="s">
        <v>315</v>
      </c>
      <c r="P643" s="301" t="s">
        <v>315</v>
      </c>
      <c r="Q643" s="301" t="s">
        <v>3853</v>
      </c>
      <c r="R643" s="301" t="s">
        <v>3854</v>
      </c>
      <c r="S643" s="301" t="s">
        <v>3855</v>
      </c>
      <c r="T643" s="301" t="s">
        <v>3856</v>
      </c>
      <c r="U643" s="301" t="s">
        <v>3857</v>
      </c>
      <c r="V643" s="301" t="s">
        <v>3858</v>
      </c>
      <c r="W643" s="298" t="s">
        <v>536</v>
      </c>
      <c r="X643" s="298" t="s">
        <v>306</v>
      </c>
    </row>
    <row r="644">
      <c r="A644" s="295" t="s">
        <v>3859</v>
      </c>
      <c r="B644" s="298">
        <v>5.0</v>
      </c>
      <c r="C644" s="298" t="s">
        <v>288</v>
      </c>
      <c r="D644" s="298" t="s">
        <v>151</v>
      </c>
      <c r="E644" s="298" t="s">
        <v>290</v>
      </c>
      <c r="F644" s="298" t="str">
        <f>'Character Sheet'!$E$9</f>
        <v/>
      </c>
      <c r="G644" s="298" t="s">
        <v>674</v>
      </c>
      <c r="H644" s="298" t="s">
        <v>295</v>
      </c>
      <c r="I644" s="298" t="s">
        <v>315</v>
      </c>
      <c r="J644" s="298" t="s">
        <v>315</v>
      </c>
      <c r="K644" s="298" t="s">
        <v>424</v>
      </c>
      <c r="L644" s="298" t="s">
        <v>493</v>
      </c>
      <c r="M644" s="301" t="s">
        <v>315</v>
      </c>
      <c r="N644" s="301" t="s">
        <v>315</v>
      </c>
      <c r="O644" s="301" t="s">
        <v>315</v>
      </c>
      <c r="P644" s="301" t="s">
        <v>315</v>
      </c>
      <c r="Q644" s="301" t="s">
        <v>3860</v>
      </c>
      <c r="R644" s="301" t="s">
        <v>3861</v>
      </c>
      <c r="S644" s="301" t="s">
        <v>3862</v>
      </c>
      <c r="T644" s="301" t="s">
        <v>3863</v>
      </c>
      <c r="U644" s="301" t="s">
        <v>3864</v>
      </c>
      <c r="V644" s="301" t="s">
        <v>3865</v>
      </c>
      <c r="W644" s="298" t="s">
        <v>404</v>
      </c>
      <c r="X644" s="298" t="s">
        <v>306</v>
      </c>
    </row>
    <row r="645">
      <c r="A645" s="295" t="s">
        <v>3866</v>
      </c>
      <c r="B645" s="298">
        <v>5.0</v>
      </c>
      <c r="C645" s="298" t="s">
        <v>288</v>
      </c>
      <c r="D645" s="298" t="s">
        <v>151</v>
      </c>
      <c r="E645" s="298" t="s">
        <v>290</v>
      </c>
      <c r="F645" s="298" t="str">
        <f>'Character Sheet'!$E$9</f>
        <v/>
      </c>
      <c r="G645" s="298" t="s">
        <v>674</v>
      </c>
      <c r="H645" s="298" t="s">
        <v>295</v>
      </c>
      <c r="I645" s="298" t="s">
        <v>315</v>
      </c>
      <c r="J645" s="298" t="s">
        <v>315</v>
      </c>
      <c r="K645" s="298" t="s">
        <v>424</v>
      </c>
      <c r="L645" s="298" t="s">
        <v>493</v>
      </c>
      <c r="M645" s="301" t="s">
        <v>315</v>
      </c>
      <c r="N645" s="301" t="s">
        <v>315</v>
      </c>
      <c r="O645" s="301" t="s">
        <v>315</v>
      </c>
      <c r="P645" s="301" t="s">
        <v>315</v>
      </c>
      <c r="Q645" s="301" t="s">
        <v>3867</v>
      </c>
      <c r="R645" s="301" t="s">
        <v>3868</v>
      </c>
      <c r="S645" s="301" t="s">
        <v>3869</v>
      </c>
      <c r="T645" s="301" t="s">
        <v>3870</v>
      </c>
      <c r="U645" s="301" t="s">
        <v>3871</v>
      </c>
      <c r="V645" s="301" t="s">
        <v>3872</v>
      </c>
      <c r="W645" s="298" t="s">
        <v>499</v>
      </c>
      <c r="X645" s="298" t="s">
        <v>306</v>
      </c>
    </row>
    <row r="646">
      <c r="A646" s="295" t="s">
        <v>3873</v>
      </c>
      <c r="B646" s="298">
        <v>5.0</v>
      </c>
      <c r="C646" s="298" t="s">
        <v>522</v>
      </c>
      <c r="D646" s="298" t="s">
        <v>334</v>
      </c>
      <c r="E646" s="298" t="s">
        <v>290</v>
      </c>
      <c r="F646" s="298" t="str">
        <f>'Character Sheet'!$E$9</f>
        <v/>
      </c>
      <c r="G646" s="298" t="s">
        <v>674</v>
      </c>
      <c r="H646" s="298" t="s">
        <v>708</v>
      </c>
      <c r="I646" s="298" t="s">
        <v>315</v>
      </c>
      <c r="J646" s="298" t="s">
        <v>315</v>
      </c>
      <c r="K646" s="298" t="s">
        <v>478</v>
      </c>
      <c r="L646" s="298" t="s">
        <v>493</v>
      </c>
      <c r="M646" s="301" t="s">
        <v>315</v>
      </c>
      <c r="N646" s="301" t="s">
        <v>315</v>
      </c>
      <c r="O646" s="301" t="s">
        <v>315</v>
      </c>
      <c r="P646" s="301" t="s">
        <v>315</v>
      </c>
      <c r="Q646" s="301" t="s">
        <v>3874</v>
      </c>
      <c r="R646" s="301" t="s">
        <v>3874</v>
      </c>
      <c r="S646" s="301" t="s">
        <v>3875</v>
      </c>
      <c r="T646" s="301" t="s">
        <v>3875</v>
      </c>
      <c r="U646" s="301" t="s">
        <v>3876</v>
      </c>
      <c r="V646" s="301" t="s">
        <v>3876</v>
      </c>
      <c r="W646" s="298" t="s">
        <v>389</v>
      </c>
      <c r="X646" s="298" t="s">
        <v>3877</v>
      </c>
    </row>
    <row r="647">
      <c r="A647" s="295" t="s">
        <v>3878</v>
      </c>
      <c r="B647" s="298">
        <v>5.0</v>
      </c>
      <c r="C647" s="298" t="s">
        <v>288</v>
      </c>
      <c r="D647" s="298" t="s">
        <v>359</v>
      </c>
      <c r="E647" s="298" t="s">
        <v>311</v>
      </c>
      <c r="F647" s="298" t="str">
        <f>'Character Sheet'!$C$9</f>
        <v/>
      </c>
      <c r="G647" s="298" t="s">
        <v>294</v>
      </c>
      <c r="H647" s="298" t="s">
        <v>324</v>
      </c>
      <c r="I647" s="298" t="s">
        <v>861</v>
      </c>
      <c r="J647" s="298" t="s">
        <v>192</v>
      </c>
      <c r="K647" s="298" t="s">
        <v>478</v>
      </c>
      <c r="L647" s="298" t="s">
        <v>493</v>
      </c>
      <c r="M647" s="301" t="s">
        <v>315</v>
      </c>
      <c r="N647" s="301" t="s">
        <v>315</v>
      </c>
      <c r="O647" s="301" t="s">
        <v>315</v>
      </c>
      <c r="P647" s="301" t="s">
        <v>315</v>
      </c>
      <c r="Q647" s="301" t="s">
        <v>3879</v>
      </c>
      <c r="R647" s="301" t="s">
        <v>3879</v>
      </c>
      <c r="S647" s="301" t="s">
        <v>3879</v>
      </c>
      <c r="T647" s="301" t="s">
        <v>3879</v>
      </c>
      <c r="U647" s="301" t="s">
        <v>3879</v>
      </c>
      <c r="V647" s="301" t="s">
        <v>3879</v>
      </c>
      <c r="W647" s="298" t="s">
        <v>536</v>
      </c>
      <c r="X647" s="298" t="s">
        <v>306</v>
      </c>
    </row>
    <row r="648">
      <c r="A648" s="295" t="s">
        <v>3880</v>
      </c>
      <c r="B648" s="298">
        <v>5.0</v>
      </c>
      <c r="C648" s="298" t="s">
        <v>288</v>
      </c>
      <c r="D648" s="298" t="s">
        <v>310</v>
      </c>
      <c r="E648" s="298" t="s">
        <v>290</v>
      </c>
      <c r="F648" s="298" t="str">
        <f>'Character Sheet'!$C$9</f>
        <v/>
      </c>
      <c r="G648" s="298" t="s">
        <v>294</v>
      </c>
      <c r="H648" s="298" t="s">
        <v>295</v>
      </c>
      <c r="I648" s="298" t="s">
        <v>296</v>
      </c>
      <c r="J648" s="298" t="s">
        <v>192</v>
      </c>
      <c r="K648" s="298" t="s">
        <v>632</v>
      </c>
      <c r="L648" s="298" t="s">
        <v>493</v>
      </c>
      <c r="M648" s="301" t="s">
        <v>315</v>
      </c>
      <c r="N648" s="301" t="s">
        <v>315</v>
      </c>
      <c r="O648" s="301" t="s">
        <v>315</v>
      </c>
      <c r="P648" s="301" t="s">
        <v>315</v>
      </c>
      <c r="Q648" s="301" t="s">
        <v>3881</v>
      </c>
      <c r="R648" s="301" t="s">
        <v>3881</v>
      </c>
      <c r="S648" s="301" t="s">
        <v>3881</v>
      </c>
      <c r="T648" s="301" t="s">
        <v>3881</v>
      </c>
      <c r="U648" s="301" t="s">
        <v>3882</v>
      </c>
      <c r="V648" s="301" t="s">
        <v>3882</v>
      </c>
      <c r="W648" s="298" t="s">
        <v>536</v>
      </c>
      <c r="X648" s="298" t="s">
        <v>306</v>
      </c>
    </row>
    <row r="649">
      <c r="A649" s="295" t="s">
        <v>3883</v>
      </c>
      <c r="B649" s="298">
        <v>5.0</v>
      </c>
      <c r="C649" s="298" t="s">
        <v>288</v>
      </c>
      <c r="D649" s="298" t="s">
        <v>289</v>
      </c>
      <c r="E649" s="298" t="s">
        <v>311</v>
      </c>
      <c r="F649" s="298" t="str">
        <f>'Character Sheet'!$C$9</f>
        <v/>
      </c>
      <c r="G649" s="298" t="s">
        <v>294</v>
      </c>
      <c r="H649" s="298" t="s">
        <v>352</v>
      </c>
      <c r="I649" s="298" t="s">
        <v>435</v>
      </c>
      <c r="J649" s="298" t="s">
        <v>315</v>
      </c>
      <c r="K649" s="298" t="s">
        <v>424</v>
      </c>
      <c r="L649" s="298" t="s">
        <v>493</v>
      </c>
      <c r="M649" s="301" t="s">
        <v>315</v>
      </c>
      <c r="N649" s="301" t="s">
        <v>315</v>
      </c>
      <c r="O649" s="301" t="s">
        <v>315</v>
      </c>
      <c r="P649" s="301" t="s">
        <v>315</v>
      </c>
      <c r="Q649" s="301" t="s">
        <v>3884</v>
      </c>
      <c r="R649" s="301" t="s">
        <v>3884</v>
      </c>
      <c r="S649" s="301" t="s">
        <v>3884</v>
      </c>
      <c r="T649" s="301" t="s">
        <v>3884</v>
      </c>
      <c r="U649" s="301" t="s">
        <v>3884</v>
      </c>
      <c r="V649" s="301" t="s">
        <v>3884</v>
      </c>
      <c r="W649" s="298" t="s">
        <v>460</v>
      </c>
      <c r="X649" s="298" t="s">
        <v>306</v>
      </c>
    </row>
    <row r="650">
      <c r="A650" s="295" t="s">
        <v>3885</v>
      </c>
      <c r="B650" s="298">
        <v>5.0</v>
      </c>
      <c r="C650" s="298" t="s">
        <v>522</v>
      </c>
      <c r="D650" s="298" t="s">
        <v>310</v>
      </c>
      <c r="E650" s="298" t="s">
        <v>311</v>
      </c>
      <c r="F650" s="298" t="s">
        <v>625</v>
      </c>
      <c r="G650" s="298" t="s">
        <v>674</v>
      </c>
      <c r="H650" s="298" t="s">
        <v>335</v>
      </c>
      <c r="I650" s="298" t="s">
        <v>3886</v>
      </c>
      <c r="J650" s="298" t="s">
        <v>315</v>
      </c>
      <c r="K650" s="298" t="s">
        <v>1001</v>
      </c>
      <c r="L650" s="298" t="s">
        <v>493</v>
      </c>
      <c r="M650" s="301" t="s">
        <v>315</v>
      </c>
      <c r="N650" s="301" t="s">
        <v>315</v>
      </c>
      <c r="O650" s="301" t="s">
        <v>315</v>
      </c>
      <c r="P650" s="301" t="s">
        <v>315</v>
      </c>
      <c r="Q650" s="301" t="s">
        <v>3887</v>
      </c>
      <c r="R650" s="301" t="s">
        <v>3887</v>
      </c>
      <c r="S650" s="301" t="s">
        <v>3887</v>
      </c>
      <c r="T650" s="301" t="s">
        <v>3887</v>
      </c>
      <c r="U650" s="301" t="s">
        <v>3887</v>
      </c>
      <c r="V650" s="301" t="s">
        <v>3887</v>
      </c>
      <c r="W650" s="298" t="s">
        <v>460</v>
      </c>
      <c r="X650" s="298" t="s">
        <v>306</v>
      </c>
    </row>
    <row r="651">
      <c r="A651" s="295" t="s">
        <v>3888</v>
      </c>
      <c r="B651" s="298">
        <v>5.0</v>
      </c>
      <c r="C651" s="298" t="s">
        <v>288</v>
      </c>
      <c r="D651" s="298" t="s">
        <v>421</v>
      </c>
      <c r="E651" s="298" t="s">
        <v>311</v>
      </c>
      <c r="F651" s="298" t="str">
        <f>'Character Sheet'!$E$9</f>
        <v/>
      </c>
      <c r="G651" s="298" t="s">
        <v>674</v>
      </c>
      <c r="H651" s="298" t="s">
        <v>295</v>
      </c>
      <c r="I651" s="298" t="s">
        <v>900</v>
      </c>
      <c r="J651" s="298" t="s">
        <v>315</v>
      </c>
      <c r="K651" s="298" t="s">
        <v>632</v>
      </c>
      <c r="L651" s="298" t="s">
        <v>493</v>
      </c>
      <c r="M651" s="301" t="s">
        <v>315</v>
      </c>
      <c r="N651" s="301" t="s">
        <v>315</v>
      </c>
      <c r="O651" s="301" t="s">
        <v>315</v>
      </c>
      <c r="P651" s="301" t="s">
        <v>315</v>
      </c>
      <c r="Q651" s="301" t="s">
        <v>3889</v>
      </c>
      <c r="R651" s="301" t="s">
        <v>3889</v>
      </c>
      <c r="S651" s="301" t="s">
        <v>3889</v>
      </c>
      <c r="T651" s="301" t="s">
        <v>3889</v>
      </c>
      <c r="U651" s="301" t="s">
        <v>3889</v>
      </c>
      <c r="V651" s="301" t="s">
        <v>3889</v>
      </c>
      <c r="W651" s="298" t="s">
        <v>317</v>
      </c>
      <c r="X651" s="298" t="s">
        <v>318</v>
      </c>
    </row>
    <row r="652">
      <c r="A652" s="295" t="s">
        <v>3890</v>
      </c>
      <c r="B652" s="298">
        <v>5.0</v>
      </c>
      <c r="C652" s="298" t="s">
        <v>522</v>
      </c>
      <c r="D652" s="298" t="s">
        <v>310</v>
      </c>
      <c r="E652" s="298" t="s">
        <v>290</v>
      </c>
      <c r="F652" s="298" t="str">
        <f>'Character Sheet'!$C$9</f>
        <v/>
      </c>
      <c r="G652" s="298" t="s">
        <v>294</v>
      </c>
      <c r="H652" s="298" t="s">
        <v>335</v>
      </c>
      <c r="I652" s="298" t="s">
        <v>296</v>
      </c>
      <c r="J652" s="298" t="s">
        <v>315</v>
      </c>
      <c r="K652" s="298" t="s">
        <v>675</v>
      </c>
      <c r="L652" s="298" t="s">
        <v>493</v>
      </c>
      <c r="M652" s="301" t="s">
        <v>315</v>
      </c>
      <c r="N652" s="301" t="s">
        <v>315</v>
      </c>
      <c r="O652" s="301" t="s">
        <v>315</v>
      </c>
      <c r="P652" s="301" t="s">
        <v>315</v>
      </c>
      <c r="Q652" s="301" t="s">
        <v>3891</v>
      </c>
      <c r="R652" s="301" t="s">
        <v>3891</v>
      </c>
      <c r="S652" s="301" t="s">
        <v>3892</v>
      </c>
      <c r="T652" s="301" t="s">
        <v>3892</v>
      </c>
      <c r="U652" s="301" t="s">
        <v>3892</v>
      </c>
      <c r="V652" s="301" t="s">
        <v>3892</v>
      </c>
      <c r="W652" s="298" t="s">
        <v>331</v>
      </c>
      <c r="X652" s="298" t="s">
        <v>306</v>
      </c>
    </row>
    <row r="653">
      <c r="A653" s="295" t="s">
        <v>3893</v>
      </c>
      <c r="B653" s="298">
        <v>5.0</v>
      </c>
      <c r="C653" s="298" t="s">
        <v>288</v>
      </c>
      <c r="D653" s="298" t="s">
        <v>462</v>
      </c>
      <c r="E653" s="298" t="s">
        <v>290</v>
      </c>
      <c r="F653" s="298" t="str">
        <f>'Character Sheet'!$E$9</f>
        <v/>
      </c>
      <c r="G653" s="298" t="s">
        <v>674</v>
      </c>
      <c r="H653" s="298" t="s">
        <v>360</v>
      </c>
      <c r="I653" s="298" t="s">
        <v>3894</v>
      </c>
      <c r="J653" s="298" t="s">
        <v>180</v>
      </c>
      <c r="K653" s="298" t="s">
        <v>298</v>
      </c>
      <c r="L653" s="298" t="s">
        <v>493</v>
      </c>
      <c r="M653" s="301" t="s">
        <v>315</v>
      </c>
      <c r="N653" s="301" t="s">
        <v>315</v>
      </c>
      <c r="O653" s="301" t="s">
        <v>315</v>
      </c>
      <c r="P653" s="301" t="s">
        <v>315</v>
      </c>
      <c r="Q653" s="301" t="s">
        <v>3895</v>
      </c>
      <c r="R653" s="301" t="s">
        <v>3895</v>
      </c>
      <c r="S653" s="301" t="s">
        <v>3896</v>
      </c>
      <c r="T653" s="301" t="s">
        <v>3896</v>
      </c>
      <c r="U653" s="301" t="s">
        <v>3897</v>
      </c>
      <c r="V653" s="301" t="s">
        <v>3897</v>
      </c>
      <c r="W653" s="298" t="s">
        <v>305</v>
      </c>
      <c r="X653" s="298" t="s">
        <v>678</v>
      </c>
    </row>
    <row r="654">
      <c r="A654" s="295" t="s">
        <v>3898</v>
      </c>
      <c r="B654" s="298">
        <v>5.0</v>
      </c>
      <c r="C654" s="298" t="s">
        <v>522</v>
      </c>
      <c r="D654" s="298" t="s">
        <v>151</v>
      </c>
      <c r="E654" s="298" t="s">
        <v>290</v>
      </c>
      <c r="F654" s="298" t="s">
        <v>625</v>
      </c>
      <c r="G654" s="298" t="s">
        <v>674</v>
      </c>
      <c r="H654" s="298" t="s">
        <v>324</v>
      </c>
      <c r="I654" s="298" t="s">
        <v>324</v>
      </c>
      <c r="J654" s="298" t="s">
        <v>315</v>
      </c>
      <c r="K654" s="298" t="s">
        <v>298</v>
      </c>
      <c r="L654" s="298" t="s">
        <v>493</v>
      </c>
      <c r="M654" s="301" t="s">
        <v>315</v>
      </c>
      <c r="N654" s="301" t="s">
        <v>315</v>
      </c>
      <c r="O654" s="301" t="s">
        <v>315</v>
      </c>
      <c r="P654" s="301" t="s">
        <v>315</v>
      </c>
      <c r="Q654" s="301" t="s">
        <v>3899</v>
      </c>
      <c r="R654" s="301" t="s">
        <v>3900</v>
      </c>
      <c r="S654" s="301" t="s">
        <v>3900</v>
      </c>
      <c r="T654" s="301" t="s">
        <v>3901</v>
      </c>
      <c r="U654" s="301" t="s">
        <v>3902</v>
      </c>
      <c r="V654" s="301" t="s">
        <v>3902</v>
      </c>
      <c r="W654" s="298" t="s">
        <v>499</v>
      </c>
      <c r="X654" s="298" t="s">
        <v>306</v>
      </c>
    </row>
    <row r="655">
      <c r="A655" s="295" t="s">
        <v>3903</v>
      </c>
      <c r="B655" s="298">
        <v>5.0</v>
      </c>
      <c r="C655" s="298" t="s">
        <v>288</v>
      </c>
      <c r="D655" s="298" t="s">
        <v>334</v>
      </c>
      <c r="E655" s="298" t="s">
        <v>311</v>
      </c>
      <c r="F655" s="298" t="str">
        <f>'Character Sheet'!$C$9</f>
        <v/>
      </c>
      <c r="G655" s="298" t="s">
        <v>2188</v>
      </c>
      <c r="H655" s="298" t="s">
        <v>2993</v>
      </c>
      <c r="I655" s="298" t="s">
        <v>1200</v>
      </c>
      <c r="J655" s="298" t="s">
        <v>315</v>
      </c>
      <c r="K655" s="298" t="s">
        <v>325</v>
      </c>
      <c r="L655" s="298" t="s">
        <v>493</v>
      </c>
      <c r="M655" s="301" t="s">
        <v>315</v>
      </c>
      <c r="N655" s="301" t="s">
        <v>315</v>
      </c>
      <c r="O655" s="301" t="s">
        <v>315</v>
      </c>
      <c r="P655" s="301" t="s">
        <v>315</v>
      </c>
      <c r="Q655" s="301" t="s">
        <v>3904</v>
      </c>
      <c r="R655" s="301" t="s">
        <v>3904</v>
      </c>
      <c r="S655" s="301" t="s">
        <v>3904</v>
      </c>
      <c r="T655" s="301" t="s">
        <v>3904</v>
      </c>
      <c r="U655" s="301" t="s">
        <v>3904</v>
      </c>
      <c r="V655" s="301" t="s">
        <v>3904</v>
      </c>
      <c r="W655" s="298" t="s">
        <v>483</v>
      </c>
      <c r="X655" s="298" t="s">
        <v>678</v>
      </c>
    </row>
    <row r="656">
      <c r="A656" s="295" t="s">
        <v>3905</v>
      </c>
      <c r="B656" s="298">
        <v>5.0</v>
      </c>
      <c r="C656" s="298" t="s">
        <v>288</v>
      </c>
      <c r="D656" s="298" t="s">
        <v>289</v>
      </c>
      <c r="E656" s="298" t="s">
        <v>290</v>
      </c>
      <c r="F656" s="298" t="str">
        <f>'Character Sheet'!$E$9</f>
        <v/>
      </c>
      <c r="G656" s="298" t="s">
        <v>674</v>
      </c>
      <c r="H656" s="298" t="s">
        <v>352</v>
      </c>
      <c r="I656" s="298" t="s">
        <v>1225</v>
      </c>
      <c r="J656" s="298" t="s">
        <v>315</v>
      </c>
      <c r="K656" s="298" t="s">
        <v>632</v>
      </c>
      <c r="L656" s="298" t="s">
        <v>493</v>
      </c>
      <c r="M656" s="301" t="s">
        <v>315</v>
      </c>
      <c r="N656" s="301" t="s">
        <v>315</v>
      </c>
      <c r="O656" s="301" t="s">
        <v>315</v>
      </c>
      <c r="P656" s="301" t="s">
        <v>315</v>
      </c>
      <c r="Q656" s="301" t="s">
        <v>3906</v>
      </c>
      <c r="R656" s="301" t="s">
        <v>3906</v>
      </c>
      <c r="S656" s="301" t="s">
        <v>3907</v>
      </c>
      <c r="T656" s="301" t="s">
        <v>3907</v>
      </c>
      <c r="U656" s="301" t="s">
        <v>3908</v>
      </c>
      <c r="V656" s="301" t="s">
        <v>3908</v>
      </c>
      <c r="W656" s="298" t="s">
        <v>305</v>
      </c>
      <c r="X656" s="298" t="s">
        <v>306</v>
      </c>
    </row>
    <row r="657">
      <c r="A657" s="295" t="s">
        <v>3909</v>
      </c>
      <c r="B657" s="298">
        <v>5.0</v>
      </c>
      <c r="C657" s="298" t="s">
        <v>288</v>
      </c>
      <c r="D657" s="298" t="s">
        <v>151</v>
      </c>
      <c r="E657" s="298" t="s">
        <v>290</v>
      </c>
      <c r="F657" s="298" t="str">
        <f>'Character Sheet'!$E$9</f>
        <v/>
      </c>
      <c r="G657" s="298" t="s">
        <v>674</v>
      </c>
      <c r="H657" s="298" t="s">
        <v>352</v>
      </c>
      <c r="I657" s="298" t="s">
        <v>2831</v>
      </c>
      <c r="J657" s="298" t="s">
        <v>315</v>
      </c>
      <c r="K657" s="298" t="s">
        <v>298</v>
      </c>
      <c r="L657" s="298" t="s">
        <v>493</v>
      </c>
      <c r="M657" s="301" t="s">
        <v>315</v>
      </c>
      <c r="N657" s="301" t="s">
        <v>315</v>
      </c>
      <c r="O657" s="301" t="s">
        <v>315</v>
      </c>
      <c r="P657" s="301" t="s">
        <v>315</v>
      </c>
      <c r="Q657" s="301" t="s">
        <v>3910</v>
      </c>
      <c r="R657" s="301" t="s">
        <v>3910</v>
      </c>
      <c r="S657" s="301" t="s">
        <v>3911</v>
      </c>
      <c r="T657" s="301" t="s">
        <v>3911</v>
      </c>
      <c r="U657" s="301" t="s">
        <v>3912</v>
      </c>
      <c r="V657" s="301" t="s">
        <v>3912</v>
      </c>
      <c r="W657" s="298" t="s">
        <v>305</v>
      </c>
      <c r="X657" s="298" t="s">
        <v>306</v>
      </c>
    </row>
    <row r="658">
      <c r="A658" s="480" t="s">
        <v>3913</v>
      </c>
      <c r="B658" s="429">
        <v>5.0</v>
      </c>
      <c r="C658" s="429" t="s">
        <v>522</v>
      </c>
      <c r="D658" s="429" t="s">
        <v>334</v>
      </c>
      <c r="E658" s="429" t="s">
        <v>311</v>
      </c>
      <c r="F658" s="343" t="str">
        <f>'Character Sheet'!$C$9</f>
        <v/>
      </c>
      <c r="G658" s="429" t="s">
        <v>294</v>
      </c>
      <c r="H658" s="429" t="s">
        <v>335</v>
      </c>
      <c r="I658" s="429" t="s">
        <v>296</v>
      </c>
      <c r="J658" s="429" t="s">
        <v>173</v>
      </c>
      <c r="K658" s="429" t="s">
        <v>298</v>
      </c>
      <c r="L658" s="429" t="s">
        <v>493</v>
      </c>
      <c r="M658" s="430" t="s">
        <v>315</v>
      </c>
      <c r="N658" s="430" t="s">
        <v>315</v>
      </c>
      <c r="O658" s="430" t="s">
        <v>315</v>
      </c>
      <c r="P658" s="430" t="s">
        <v>315</v>
      </c>
      <c r="Q658" s="430" t="s">
        <v>3914</v>
      </c>
      <c r="R658" s="430" t="s">
        <v>3914</v>
      </c>
      <c r="S658" s="430" t="s">
        <v>3914</v>
      </c>
      <c r="T658" s="430" t="s">
        <v>3914</v>
      </c>
      <c r="U658" s="430" t="s">
        <v>3914</v>
      </c>
      <c r="V658" s="430" t="s">
        <v>3914</v>
      </c>
      <c r="W658" s="429" t="s">
        <v>305</v>
      </c>
      <c r="X658" s="481" t="s">
        <v>2163</v>
      </c>
    </row>
    <row r="659">
      <c r="A659" s="295" t="s">
        <v>3915</v>
      </c>
      <c r="B659" s="298">
        <v>6.0</v>
      </c>
      <c r="C659" s="298" t="s">
        <v>522</v>
      </c>
      <c r="D659" s="298" t="s">
        <v>321</v>
      </c>
      <c r="E659" s="298" t="s">
        <v>311</v>
      </c>
      <c r="F659" s="298" t="str">
        <f>'Character Sheet'!$C$9</f>
        <v/>
      </c>
      <c r="G659" s="298" t="s">
        <v>294</v>
      </c>
      <c r="H659" s="298" t="s">
        <v>324</v>
      </c>
      <c r="I659" s="298" t="s">
        <v>861</v>
      </c>
      <c r="J659" s="298" t="s">
        <v>192</v>
      </c>
      <c r="K659" s="298" t="s">
        <v>424</v>
      </c>
      <c r="L659" s="298" t="s">
        <v>493</v>
      </c>
      <c r="M659" s="301" t="s">
        <v>315</v>
      </c>
      <c r="N659" s="301" t="s">
        <v>315</v>
      </c>
      <c r="O659" s="301" t="s">
        <v>315</v>
      </c>
      <c r="P659" s="301" t="s">
        <v>315</v>
      </c>
      <c r="Q659" s="301" t="s">
        <v>315</v>
      </c>
      <c r="R659" s="301" t="s">
        <v>3916</v>
      </c>
      <c r="S659" s="301" t="s">
        <v>3916</v>
      </c>
      <c r="T659" s="301" t="s">
        <v>3916</v>
      </c>
      <c r="U659" s="301" t="s">
        <v>3916</v>
      </c>
      <c r="V659" s="301" t="s">
        <v>3916</v>
      </c>
      <c r="W659" s="298" t="s">
        <v>460</v>
      </c>
      <c r="X659" s="298" t="s">
        <v>3771</v>
      </c>
    </row>
    <row r="660">
      <c r="A660" s="295" t="s">
        <v>3917</v>
      </c>
      <c r="B660" s="298">
        <v>6.0</v>
      </c>
      <c r="C660" s="298" t="s">
        <v>288</v>
      </c>
      <c r="D660" s="298" t="s">
        <v>334</v>
      </c>
      <c r="E660" s="298" t="s">
        <v>290</v>
      </c>
      <c r="F660" s="298" t="str">
        <f>'Character Sheet'!$E$9</f>
        <v/>
      </c>
      <c r="G660" s="298" t="s">
        <v>674</v>
      </c>
      <c r="H660" s="298" t="s">
        <v>352</v>
      </c>
      <c r="I660" s="298" t="s">
        <v>1413</v>
      </c>
      <c r="J660" s="298" t="s">
        <v>336</v>
      </c>
      <c r="K660" s="298" t="s">
        <v>424</v>
      </c>
      <c r="L660" s="298" t="s">
        <v>493</v>
      </c>
      <c r="M660" s="301" t="s">
        <v>315</v>
      </c>
      <c r="N660" s="301" t="s">
        <v>315</v>
      </c>
      <c r="O660" s="301" t="s">
        <v>315</v>
      </c>
      <c r="P660" s="301" t="s">
        <v>315</v>
      </c>
      <c r="Q660" s="301" t="s">
        <v>315</v>
      </c>
      <c r="R660" s="301" t="s">
        <v>3918</v>
      </c>
      <c r="S660" s="301" t="s">
        <v>3919</v>
      </c>
      <c r="T660" s="301" t="s">
        <v>3920</v>
      </c>
      <c r="U660" s="301" t="s">
        <v>3921</v>
      </c>
      <c r="V660" s="301" t="s">
        <v>3922</v>
      </c>
      <c r="W660" s="298" t="s">
        <v>331</v>
      </c>
      <c r="X660" s="298" t="s">
        <v>569</v>
      </c>
    </row>
    <row r="661">
      <c r="A661" s="295" t="s">
        <v>3923</v>
      </c>
      <c r="B661" s="298">
        <v>6.0</v>
      </c>
      <c r="C661" s="298" t="s">
        <v>288</v>
      </c>
      <c r="D661" s="298" t="s">
        <v>462</v>
      </c>
      <c r="E661" s="298" t="s">
        <v>311</v>
      </c>
      <c r="F661" s="298" t="str">
        <f>'Character Sheet'!$C$9</f>
        <v/>
      </c>
      <c r="G661" s="298" t="s">
        <v>294</v>
      </c>
      <c r="H661" s="298" t="s">
        <v>295</v>
      </c>
      <c r="I661" s="298" t="s">
        <v>296</v>
      </c>
      <c r="J661" s="298" t="s">
        <v>173</v>
      </c>
      <c r="K661" s="298" t="s">
        <v>1174</v>
      </c>
      <c r="L661" s="298" t="s">
        <v>493</v>
      </c>
      <c r="M661" s="301" t="s">
        <v>315</v>
      </c>
      <c r="N661" s="301" t="s">
        <v>315</v>
      </c>
      <c r="O661" s="301" t="s">
        <v>315</v>
      </c>
      <c r="P661" s="301" t="s">
        <v>315</v>
      </c>
      <c r="Q661" s="301" t="s">
        <v>315</v>
      </c>
      <c r="R661" s="301" t="s">
        <v>3924</v>
      </c>
      <c r="S661" s="301" t="s">
        <v>3924</v>
      </c>
      <c r="T661" s="301" t="s">
        <v>3924</v>
      </c>
      <c r="U661" s="301" t="s">
        <v>3924</v>
      </c>
      <c r="V661" s="301" t="s">
        <v>3924</v>
      </c>
      <c r="W661" s="298" t="s">
        <v>305</v>
      </c>
      <c r="X661" s="298" t="s">
        <v>306</v>
      </c>
    </row>
    <row r="662">
      <c r="A662" s="295" t="s">
        <v>3925</v>
      </c>
      <c r="B662" s="298">
        <v>6.0</v>
      </c>
      <c r="C662" s="298" t="s">
        <v>288</v>
      </c>
      <c r="D662" s="298" t="s">
        <v>289</v>
      </c>
      <c r="E662" s="298" t="s">
        <v>290</v>
      </c>
      <c r="F662" s="298" t="str">
        <f>'Character Sheet'!$E$9</f>
        <v/>
      </c>
      <c r="G662" s="298" t="s">
        <v>674</v>
      </c>
      <c r="H662" s="298" t="s">
        <v>352</v>
      </c>
      <c r="I662" s="298" t="s">
        <v>2831</v>
      </c>
      <c r="J662" s="298" t="s">
        <v>407</v>
      </c>
      <c r="K662" s="298" t="s">
        <v>632</v>
      </c>
      <c r="L662" s="298" t="s">
        <v>493</v>
      </c>
      <c r="M662" s="301" t="s">
        <v>315</v>
      </c>
      <c r="N662" s="301" t="s">
        <v>315</v>
      </c>
      <c r="O662" s="301" t="s">
        <v>315</v>
      </c>
      <c r="P662" s="301" t="s">
        <v>315</v>
      </c>
      <c r="Q662" s="301" t="s">
        <v>315</v>
      </c>
      <c r="R662" s="301" t="s">
        <v>3926</v>
      </c>
      <c r="S662" s="301" t="s">
        <v>3927</v>
      </c>
      <c r="T662" s="301" t="s">
        <v>3928</v>
      </c>
      <c r="U662" s="301" t="s">
        <v>3929</v>
      </c>
      <c r="V662" s="301" t="s">
        <v>3930</v>
      </c>
      <c r="W662" s="298" t="s">
        <v>404</v>
      </c>
      <c r="X662" s="298" t="s">
        <v>306</v>
      </c>
    </row>
    <row r="663">
      <c r="A663" s="295" t="s">
        <v>3931</v>
      </c>
      <c r="B663" s="298">
        <v>6.0</v>
      </c>
      <c r="C663" s="298" t="s">
        <v>288</v>
      </c>
      <c r="D663" s="298" t="s">
        <v>321</v>
      </c>
      <c r="E663" s="298" t="s">
        <v>311</v>
      </c>
      <c r="F663" s="298" t="str">
        <f>'Character Sheet'!$C$9</f>
        <v/>
      </c>
      <c r="G663" s="298" t="s">
        <v>294</v>
      </c>
      <c r="H663" s="298" t="s">
        <v>324</v>
      </c>
      <c r="I663" s="298" t="s">
        <v>324</v>
      </c>
      <c r="J663" s="298" t="s">
        <v>315</v>
      </c>
      <c r="K663" s="298" t="s">
        <v>325</v>
      </c>
      <c r="L663" s="298" t="s">
        <v>493</v>
      </c>
      <c r="M663" s="301" t="s">
        <v>315</v>
      </c>
      <c r="N663" s="301" t="s">
        <v>315</v>
      </c>
      <c r="O663" s="301" t="s">
        <v>315</v>
      </c>
      <c r="P663" s="301" t="s">
        <v>315</v>
      </c>
      <c r="Q663" s="301" t="s">
        <v>315</v>
      </c>
      <c r="R663" s="301" t="s">
        <v>3932</v>
      </c>
      <c r="S663" s="301" t="s">
        <v>3932</v>
      </c>
      <c r="T663" s="301" t="s">
        <v>3932</v>
      </c>
      <c r="U663" s="301" t="s">
        <v>3932</v>
      </c>
      <c r="V663" s="301" t="s">
        <v>3932</v>
      </c>
      <c r="W663" s="298" t="s">
        <v>684</v>
      </c>
      <c r="X663" s="298" t="s">
        <v>678</v>
      </c>
    </row>
    <row r="664">
      <c r="A664" s="295" t="s">
        <v>3933</v>
      </c>
      <c r="B664" s="298">
        <v>6.0</v>
      </c>
      <c r="C664" s="298" t="s">
        <v>288</v>
      </c>
      <c r="D664" s="298" t="s">
        <v>359</v>
      </c>
      <c r="E664" s="298" t="s">
        <v>311</v>
      </c>
      <c r="F664" s="298" t="str">
        <f>'Character Sheet'!$K$9</f>
        <v/>
      </c>
      <c r="G664" s="298" t="s">
        <v>477</v>
      </c>
      <c r="H664" s="298" t="s">
        <v>360</v>
      </c>
      <c r="I664" s="298" t="s">
        <v>296</v>
      </c>
      <c r="J664" s="298" t="s">
        <v>192</v>
      </c>
      <c r="K664" s="298" t="s">
        <v>1174</v>
      </c>
      <c r="L664" s="298" t="s">
        <v>493</v>
      </c>
      <c r="M664" s="301" t="s">
        <v>315</v>
      </c>
      <c r="N664" s="301" t="s">
        <v>315</v>
      </c>
      <c r="O664" s="301" t="s">
        <v>315</v>
      </c>
      <c r="P664" s="301" t="s">
        <v>315</v>
      </c>
      <c r="Q664" s="301" t="s">
        <v>315</v>
      </c>
      <c r="R664" s="301" t="s">
        <v>3934</v>
      </c>
      <c r="S664" s="301" t="s">
        <v>3934</v>
      </c>
      <c r="T664" s="301" t="s">
        <v>3934</v>
      </c>
      <c r="U664" s="301" t="s">
        <v>3934</v>
      </c>
      <c r="V664" s="301" t="s">
        <v>3934</v>
      </c>
      <c r="W664" s="298" t="s">
        <v>483</v>
      </c>
      <c r="X664" s="298" t="s">
        <v>678</v>
      </c>
    </row>
    <row r="665">
      <c r="A665" s="295" t="s">
        <v>3935</v>
      </c>
      <c r="B665" s="298">
        <v>6.0</v>
      </c>
      <c r="C665" s="298" t="s">
        <v>288</v>
      </c>
      <c r="D665" s="298" t="s">
        <v>310</v>
      </c>
      <c r="E665" s="298" t="s">
        <v>290</v>
      </c>
      <c r="F665" s="298" t="str">
        <f>'Character Sheet'!$C$9</f>
        <v/>
      </c>
      <c r="G665" s="298" t="s">
        <v>294</v>
      </c>
      <c r="H665" s="298" t="s">
        <v>324</v>
      </c>
      <c r="I665" s="298" t="s">
        <v>884</v>
      </c>
      <c r="J665" s="298" t="s">
        <v>173</v>
      </c>
      <c r="K665" s="298" t="s">
        <v>298</v>
      </c>
      <c r="L665" s="298" t="s">
        <v>493</v>
      </c>
      <c r="M665" s="301" t="s">
        <v>315</v>
      </c>
      <c r="N665" s="301" t="s">
        <v>315</v>
      </c>
      <c r="O665" s="301" t="s">
        <v>315</v>
      </c>
      <c r="P665" s="301" t="s">
        <v>315</v>
      </c>
      <c r="Q665" s="301" t="s">
        <v>315</v>
      </c>
      <c r="R665" s="301" t="s">
        <v>3936</v>
      </c>
      <c r="S665" s="301" t="s">
        <v>3937</v>
      </c>
      <c r="T665" s="301" t="s">
        <v>3938</v>
      </c>
      <c r="U665" s="301" t="s">
        <v>3939</v>
      </c>
      <c r="V665" s="301" t="s">
        <v>3940</v>
      </c>
      <c r="W665" s="298" t="s">
        <v>460</v>
      </c>
      <c r="X665" s="298" t="s">
        <v>318</v>
      </c>
    </row>
    <row r="666">
      <c r="A666" s="295" t="s">
        <v>3941</v>
      </c>
      <c r="B666" s="298">
        <v>6.0</v>
      </c>
      <c r="C666" s="298" t="s">
        <v>432</v>
      </c>
      <c r="D666" s="298" t="s">
        <v>310</v>
      </c>
      <c r="E666" s="298" t="s">
        <v>311</v>
      </c>
      <c r="F666" s="298" t="str">
        <f>'Character Sheet'!$K$9</f>
        <v/>
      </c>
      <c r="G666" s="298" t="s">
        <v>493</v>
      </c>
      <c r="H666" s="298" t="s">
        <v>3942</v>
      </c>
      <c r="I666" s="298" t="s">
        <v>296</v>
      </c>
      <c r="J666" s="298" t="s">
        <v>192</v>
      </c>
      <c r="K666" s="298" t="s">
        <v>298</v>
      </c>
      <c r="L666" s="298" t="s">
        <v>493</v>
      </c>
      <c r="M666" s="301" t="s">
        <v>315</v>
      </c>
      <c r="N666" s="301" t="s">
        <v>315</v>
      </c>
      <c r="O666" s="301" t="s">
        <v>315</v>
      </c>
      <c r="P666" s="301" t="s">
        <v>315</v>
      </c>
      <c r="Q666" s="301" t="s">
        <v>315</v>
      </c>
      <c r="R666" s="301" t="s">
        <v>3943</v>
      </c>
      <c r="S666" s="301" t="s">
        <v>3943</v>
      </c>
      <c r="T666" s="301" t="s">
        <v>3943</v>
      </c>
      <c r="U666" s="301" t="s">
        <v>3943</v>
      </c>
      <c r="V666" s="301" t="s">
        <v>3943</v>
      </c>
      <c r="W666" s="298" t="s">
        <v>317</v>
      </c>
      <c r="X666" s="298" t="s">
        <v>318</v>
      </c>
    </row>
    <row r="667">
      <c r="A667" s="295" t="s">
        <v>3944</v>
      </c>
      <c r="B667" s="298">
        <v>6.0</v>
      </c>
      <c r="C667" s="298" t="s">
        <v>288</v>
      </c>
      <c r="D667" s="298" t="s">
        <v>289</v>
      </c>
      <c r="E667" s="298" t="s">
        <v>290</v>
      </c>
      <c r="F667" s="298" t="str">
        <f>'Character Sheet'!$C$9</f>
        <v/>
      </c>
      <c r="G667" s="298" t="s">
        <v>294</v>
      </c>
      <c r="H667" s="298" t="s">
        <v>1278</v>
      </c>
      <c r="I667" s="298" t="s">
        <v>3945</v>
      </c>
      <c r="J667" s="298" t="s">
        <v>407</v>
      </c>
      <c r="K667" s="298" t="s">
        <v>298</v>
      </c>
      <c r="L667" s="298" t="s">
        <v>493</v>
      </c>
      <c r="M667" s="301" t="s">
        <v>315</v>
      </c>
      <c r="N667" s="301" t="s">
        <v>315</v>
      </c>
      <c r="O667" s="301" t="s">
        <v>315</v>
      </c>
      <c r="P667" s="301" t="s">
        <v>315</v>
      </c>
      <c r="Q667" s="301" t="s">
        <v>315</v>
      </c>
      <c r="R667" s="301" t="s">
        <v>3946</v>
      </c>
      <c r="S667" s="301" t="s">
        <v>3947</v>
      </c>
      <c r="T667" s="301" t="s">
        <v>3948</v>
      </c>
      <c r="U667" s="301" t="s">
        <v>3949</v>
      </c>
      <c r="V667" s="301" t="s">
        <v>3950</v>
      </c>
      <c r="W667" s="298" t="s">
        <v>305</v>
      </c>
      <c r="X667" s="298" t="s">
        <v>306</v>
      </c>
    </row>
    <row r="668">
      <c r="A668" s="295" t="s">
        <v>3951</v>
      </c>
      <c r="B668" s="298">
        <v>6.0</v>
      </c>
      <c r="C668" s="298" t="s">
        <v>288</v>
      </c>
      <c r="D668" s="298" t="s">
        <v>321</v>
      </c>
      <c r="E668" s="298" t="s">
        <v>311</v>
      </c>
      <c r="F668" s="298" t="str">
        <f>'Character Sheet'!$C$9</f>
        <v/>
      </c>
      <c r="G668" s="298" t="s">
        <v>294</v>
      </c>
      <c r="H668" s="298" t="s">
        <v>324</v>
      </c>
      <c r="I668" s="298" t="s">
        <v>324</v>
      </c>
      <c r="J668" s="298" t="s">
        <v>315</v>
      </c>
      <c r="K668" s="298" t="s">
        <v>632</v>
      </c>
      <c r="L668" s="298" t="s">
        <v>493</v>
      </c>
      <c r="M668" s="301" t="s">
        <v>315</v>
      </c>
      <c r="N668" s="301" t="s">
        <v>315</v>
      </c>
      <c r="O668" s="301" t="s">
        <v>315</v>
      </c>
      <c r="P668" s="301" t="s">
        <v>315</v>
      </c>
      <c r="Q668" s="301" t="s">
        <v>315</v>
      </c>
      <c r="R668" s="301" t="s">
        <v>3952</v>
      </c>
      <c r="S668" s="301" t="s">
        <v>3952</v>
      </c>
      <c r="T668" s="301" t="s">
        <v>3952</v>
      </c>
      <c r="U668" s="301" t="s">
        <v>3952</v>
      </c>
      <c r="V668" s="301" t="s">
        <v>3952</v>
      </c>
      <c r="W668" s="298" t="s">
        <v>460</v>
      </c>
      <c r="X668" s="298" t="s">
        <v>318</v>
      </c>
    </row>
    <row r="669">
      <c r="A669" s="295" t="s">
        <v>3953</v>
      </c>
      <c r="B669" s="298">
        <v>6.0</v>
      </c>
      <c r="C669" s="298" t="s">
        <v>288</v>
      </c>
      <c r="D669" s="298" t="s">
        <v>151</v>
      </c>
      <c r="E669" s="298" t="s">
        <v>290</v>
      </c>
      <c r="F669" s="298" t="str">
        <f>'Character Sheet'!$C$9</f>
        <v/>
      </c>
      <c r="G669" s="298" t="s">
        <v>294</v>
      </c>
      <c r="H669" s="298" t="s">
        <v>324</v>
      </c>
      <c r="I669" s="298" t="s">
        <v>861</v>
      </c>
      <c r="J669" s="298" t="s">
        <v>192</v>
      </c>
      <c r="K669" s="298" t="s">
        <v>298</v>
      </c>
      <c r="L669" s="298" t="s">
        <v>493</v>
      </c>
      <c r="M669" s="301" t="s">
        <v>315</v>
      </c>
      <c r="N669" s="301" t="s">
        <v>315</v>
      </c>
      <c r="O669" s="301" t="s">
        <v>315</v>
      </c>
      <c r="P669" s="301" t="s">
        <v>315</v>
      </c>
      <c r="Q669" s="301" t="s">
        <v>315</v>
      </c>
      <c r="R669" s="301" t="s">
        <v>3954</v>
      </c>
      <c r="S669" s="301" t="s">
        <v>3955</v>
      </c>
      <c r="T669" s="301" t="s">
        <v>3956</v>
      </c>
      <c r="U669" s="301" t="s">
        <v>3957</v>
      </c>
      <c r="V669" s="301" t="s">
        <v>3958</v>
      </c>
      <c r="W669" s="298" t="s">
        <v>460</v>
      </c>
      <c r="X669" s="298" t="s">
        <v>306</v>
      </c>
    </row>
    <row r="670">
      <c r="A670" s="295" t="s">
        <v>3959</v>
      </c>
      <c r="B670" s="298">
        <v>6.0</v>
      </c>
      <c r="C670" s="298" t="s">
        <v>288</v>
      </c>
      <c r="D670" s="298" t="s">
        <v>462</v>
      </c>
      <c r="E670" s="298" t="s">
        <v>311</v>
      </c>
      <c r="F670" s="298" t="str">
        <f>'Character Sheet'!$C$9</f>
        <v/>
      </c>
      <c r="G670" s="298" t="s">
        <v>294</v>
      </c>
      <c r="H670" s="298" t="s">
        <v>324</v>
      </c>
      <c r="I670" s="298" t="s">
        <v>324</v>
      </c>
      <c r="J670" s="298" t="s">
        <v>315</v>
      </c>
      <c r="K670" s="298" t="s">
        <v>632</v>
      </c>
      <c r="L670" s="298" t="s">
        <v>493</v>
      </c>
      <c r="M670" s="301" t="s">
        <v>315</v>
      </c>
      <c r="N670" s="301" t="s">
        <v>315</v>
      </c>
      <c r="O670" s="301" t="s">
        <v>315</v>
      </c>
      <c r="P670" s="301" t="s">
        <v>315</v>
      </c>
      <c r="Q670" s="301" t="s">
        <v>315</v>
      </c>
      <c r="R670" s="301" t="s">
        <v>3960</v>
      </c>
      <c r="S670" s="301" t="s">
        <v>3960</v>
      </c>
      <c r="T670" s="301" t="s">
        <v>3960</v>
      </c>
      <c r="U670" s="301" t="s">
        <v>3960</v>
      </c>
      <c r="V670" s="301" t="s">
        <v>3960</v>
      </c>
      <c r="W670" s="298" t="s">
        <v>978</v>
      </c>
      <c r="X670" s="298" t="s">
        <v>318</v>
      </c>
    </row>
    <row r="671">
      <c r="A671" s="295" t="s">
        <v>3961</v>
      </c>
      <c r="B671" s="298">
        <v>6.0</v>
      </c>
      <c r="C671" s="298" t="s">
        <v>288</v>
      </c>
      <c r="D671" s="298" t="s">
        <v>462</v>
      </c>
      <c r="E671" s="298" t="s">
        <v>311</v>
      </c>
      <c r="F671" s="298" t="str">
        <f>'Character Sheet'!$C$9</f>
        <v/>
      </c>
      <c r="G671" s="298" t="s">
        <v>294</v>
      </c>
      <c r="H671" s="298" t="s">
        <v>324</v>
      </c>
      <c r="I671" s="298" t="s">
        <v>324</v>
      </c>
      <c r="J671" s="298" t="s">
        <v>315</v>
      </c>
      <c r="K671" s="298" t="s">
        <v>632</v>
      </c>
      <c r="L671" s="298" t="s">
        <v>493</v>
      </c>
      <c r="M671" s="301" t="s">
        <v>315</v>
      </c>
      <c r="N671" s="301" t="s">
        <v>315</v>
      </c>
      <c r="O671" s="301" t="s">
        <v>315</v>
      </c>
      <c r="P671" s="301" t="s">
        <v>315</v>
      </c>
      <c r="Q671" s="301" t="s">
        <v>315</v>
      </c>
      <c r="R671" s="301" t="s">
        <v>3962</v>
      </c>
      <c r="S671" s="301" t="s">
        <v>3962</v>
      </c>
      <c r="T671" s="301" t="s">
        <v>3962</v>
      </c>
      <c r="U671" s="301" t="s">
        <v>3962</v>
      </c>
      <c r="V671" s="301" t="s">
        <v>3962</v>
      </c>
      <c r="W671" s="298" t="s">
        <v>978</v>
      </c>
      <c r="X671" s="298" t="s">
        <v>318</v>
      </c>
    </row>
    <row r="672">
      <c r="A672" s="295" t="s">
        <v>3963</v>
      </c>
      <c r="B672" s="298">
        <v>6.0</v>
      </c>
      <c r="C672" s="298" t="s">
        <v>288</v>
      </c>
      <c r="D672" s="298" t="s">
        <v>462</v>
      </c>
      <c r="E672" s="298" t="s">
        <v>311</v>
      </c>
      <c r="F672" s="298" t="str">
        <f>'Character Sheet'!$C$9</f>
        <v/>
      </c>
      <c r="G672" s="298" t="s">
        <v>294</v>
      </c>
      <c r="H672" s="298" t="s">
        <v>324</v>
      </c>
      <c r="I672" s="298" t="s">
        <v>324</v>
      </c>
      <c r="J672" s="298" t="s">
        <v>315</v>
      </c>
      <c r="K672" s="298" t="s">
        <v>632</v>
      </c>
      <c r="L672" s="298" t="s">
        <v>493</v>
      </c>
      <c r="M672" s="301" t="s">
        <v>315</v>
      </c>
      <c r="N672" s="301" t="s">
        <v>315</v>
      </c>
      <c r="O672" s="301" t="s">
        <v>315</v>
      </c>
      <c r="P672" s="301" t="s">
        <v>315</v>
      </c>
      <c r="Q672" s="301" t="s">
        <v>315</v>
      </c>
      <c r="R672" s="301" t="s">
        <v>3964</v>
      </c>
      <c r="S672" s="301" t="s">
        <v>3964</v>
      </c>
      <c r="T672" s="301" t="s">
        <v>3964</v>
      </c>
      <c r="U672" s="301" t="s">
        <v>3964</v>
      </c>
      <c r="V672" s="301" t="s">
        <v>3964</v>
      </c>
      <c r="W672" s="298" t="s">
        <v>978</v>
      </c>
      <c r="X672" s="298" t="s">
        <v>318</v>
      </c>
    </row>
    <row r="673">
      <c r="A673" s="295" t="s">
        <v>3965</v>
      </c>
      <c r="B673" s="298">
        <v>6.0</v>
      </c>
      <c r="C673" s="298" t="s">
        <v>288</v>
      </c>
      <c r="D673" s="298" t="s">
        <v>289</v>
      </c>
      <c r="E673" s="298" t="s">
        <v>290</v>
      </c>
      <c r="F673" s="298" t="str">
        <f>'Character Sheet'!$C$9</f>
        <v/>
      </c>
      <c r="G673" s="298" t="s">
        <v>294</v>
      </c>
      <c r="H673" s="298" t="s">
        <v>352</v>
      </c>
      <c r="I673" s="298" t="s">
        <v>1136</v>
      </c>
      <c r="J673" s="298" t="s">
        <v>203</v>
      </c>
      <c r="K673" s="298" t="s">
        <v>298</v>
      </c>
      <c r="L673" s="298" t="s">
        <v>493</v>
      </c>
      <c r="M673" s="301" t="s">
        <v>315</v>
      </c>
      <c r="N673" s="301" t="s">
        <v>315</v>
      </c>
      <c r="O673" s="301" t="s">
        <v>315</v>
      </c>
      <c r="P673" s="301" t="s">
        <v>315</v>
      </c>
      <c r="Q673" s="301" t="s">
        <v>315</v>
      </c>
      <c r="R673" s="301" t="s">
        <v>3966</v>
      </c>
      <c r="S673" s="301" t="s">
        <v>3967</v>
      </c>
      <c r="T673" s="301" t="s">
        <v>3968</v>
      </c>
      <c r="U673" s="301" t="s">
        <v>3969</v>
      </c>
      <c r="V673" s="301" t="s">
        <v>3970</v>
      </c>
      <c r="W673" s="298" t="s">
        <v>442</v>
      </c>
      <c r="X673" s="298" t="s">
        <v>306</v>
      </c>
    </row>
    <row r="674">
      <c r="A674" s="295" t="s">
        <v>3971</v>
      </c>
      <c r="B674" s="298">
        <v>6.0</v>
      </c>
      <c r="C674" s="298" t="s">
        <v>522</v>
      </c>
      <c r="D674" s="298" t="s">
        <v>359</v>
      </c>
      <c r="E674" s="298" t="s">
        <v>290</v>
      </c>
      <c r="F674" s="298" t="str">
        <f>'Character Sheet'!$C$9</f>
        <v/>
      </c>
      <c r="G674" s="298" t="s">
        <v>294</v>
      </c>
      <c r="H674" s="298" t="s">
        <v>295</v>
      </c>
      <c r="I674" s="298" t="s">
        <v>296</v>
      </c>
      <c r="J674" s="298" t="s">
        <v>192</v>
      </c>
      <c r="K674" s="298" t="s">
        <v>1972</v>
      </c>
      <c r="L674" s="298" t="s">
        <v>493</v>
      </c>
      <c r="M674" s="301" t="s">
        <v>315</v>
      </c>
      <c r="N674" s="301" t="s">
        <v>315</v>
      </c>
      <c r="O674" s="301" t="s">
        <v>315</v>
      </c>
      <c r="P674" s="301" t="s">
        <v>315</v>
      </c>
      <c r="Q674" s="301" t="s">
        <v>315</v>
      </c>
      <c r="R674" s="301" t="s">
        <v>3972</v>
      </c>
      <c r="S674" s="301" t="s">
        <v>3972</v>
      </c>
      <c r="T674" s="301" t="s">
        <v>3972</v>
      </c>
      <c r="U674" s="301" t="s">
        <v>3972</v>
      </c>
      <c r="V674" s="301" t="s">
        <v>3973</v>
      </c>
      <c r="W674" s="298" t="s">
        <v>460</v>
      </c>
      <c r="X674" s="298" t="s">
        <v>306</v>
      </c>
    </row>
    <row r="675">
      <c r="A675" s="295" t="s">
        <v>3974</v>
      </c>
      <c r="B675" s="298">
        <v>6.0</v>
      </c>
      <c r="C675" s="298" t="s">
        <v>288</v>
      </c>
      <c r="D675" s="298" t="s">
        <v>462</v>
      </c>
      <c r="E675" s="298" t="s">
        <v>290</v>
      </c>
      <c r="F675" s="298" t="str">
        <f>'Character Sheet'!$C$9</f>
        <v/>
      </c>
      <c r="G675" s="298" t="s">
        <v>294</v>
      </c>
      <c r="H675" s="298" t="s">
        <v>324</v>
      </c>
      <c r="I675" s="298" t="s">
        <v>324</v>
      </c>
      <c r="J675" s="298" t="s">
        <v>315</v>
      </c>
      <c r="K675" s="298" t="s">
        <v>632</v>
      </c>
      <c r="L675" s="298" t="s">
        <v>493</v>
      </c>
      <c r="M675" s="301" t="s">
        <v>315</v>
      </c>
      <c r="N675" s="301" t="s">
        <v>315</v>
      </c>
      <c r="O675" s="301" t="s">
        <v>315</v>
      </c>
      <c r="P675" s="301" t="s">
        <v>315</v>
      </c>
      <c r="Q675" s="301" t="s">
        <v>315</v>
      </c>
      <c r="R675" s="301" t="s">
        <v>3975</v>
      </c>
      <c r="S675" s="301" t="s">
        <v>3975</v>
      </c>
      <c r="T675" s="301" t="s">
        <v>3976</v>
      </c>
      <c r="U675" s="301" t="s">
        <v>3976</v>
      </c>
      <c r="V675" s="301" t="s">
        <v>3976</v>
      </c>
      <c r="W675" s="298" t="s">
        <v>305</v>
      </c>
      <c r="X675" s="298" t="s">
        <v>306</v>
      </c>
    </row>
    <row r="676">
      <c r="A676" s="295" t="s">
        <v>3977</v>
      </c>
      <c r="B676" s="298">
        <v>6.0</v>
      </c>
      <c r="C676" s="298" t="s">
        <v>288</v>
      </c>
      <c r="D676" s="298" t="s">
        <v>151</v>
      </c>
      <c r="E676" s="298" t="s">
        <v>311</v>
      </c>
      <c r="F676" s="298" t="str">
        <f>'Character Sheet'!$E$9</f>
        <v/>
      </c>
      <c r="G676" s="298" t="s">
        <v>674</v>
      </c>
      <c r="H676" s="298" t="s">
        <v>360</v>
      </c>
      <c r="I676" s="298" t="s">
        <v>1413</v>
      </c>
      <c r="J676" s="298" t="s">
        <v>315</v>
      </c>
      <c r="K676" s="298" t="s">
        <v>424</v>
      </c>
      <c r="L676" s="298" t="s">
        <v>493</v>
      </c>
      <c r="M676" s="301" t="s">
        <v>315</v>
      </c>
      <c r="N676" s="301" t="s">
        <v>315</v>
      </c>
      <c r="O676" s="301" t="s">
        <v>315</v>
      </c>
      <c r="P676" s="301" t="s">
        <v>315</v>
      </c>
      <c r="Q676" s="301" t="s">
        <v>315</v>
      </c>
      <c r="R676" s="301" t="s">
        <v>3978</v>
      </c>
      <c r="S676" s="301" t="s">
        <v>3978</v>
      </c>
      <c r="T676" s="301" t="s">
        <v>3978</v>
      </c>
      <c r="U676" s="301" t="s">
        <v>3978</v>
      </c>
      <c r="V676" s="301" t="s">
        <v>3978</v>
      </c>
      <c r="W676" s="298" t="s">
        <v>305</v>
      </c>
      <c r="X676" s="298" t="s">
        <v>318</v>
      </c>
    </row>
    <row r="677">
      <c r="A677" s="295" t="s">
        <v>3979</v>
      </c>
      <c r="B677" s="298">
        <v>6.0</v>
      </c>
      <c r="C677" s="298" t="s">
        <v>288</v>
      </c>
      <c r="D677" s="298" t="s">
        <v>359</v>
      </c>
      <c r="E677" s="298" t="s">
        <v>311</v>
      </c>
      <c r="F677" s="298" t="str">
        <f>'Character Sheet'!$C$9</f>
        <v/>
      </c>
      <c r="G677" s="298" t="s">
        <v>294</v>
      </c>
      <c r="H677" s="298" t="s">
        <v>295</v>
      </c>
      <c r="I677" s="298" t="s">
        <v>296</v>
      </c>
      <c r="J677" s="298" t="s">
        <v>192</v>
      </c>
      <c r="K677" s="298" t="s">
        <v>1174</v>
      </c>
      <c r="L677" s="298" t="s">
        <v>493</v>
      </c>
      <c r="M677" s="301" t="s">
        <v>315</v>
      </c>
      <c r="N677" s="301" t="s">
        <v>315</v>
      </c>
      <c r="O677" s="301" t="s">
        <v>315</v>
      </c>
      <c r="P677" s="301" t="s">
        <v>315</v>
      </c>
      <c r="Q677" s="301" t="s">
        <v>315</v>
      </c>
      <c r="R677" s="301" t="s">
        <v>3980</v>
      </c>
      <c r="S677" s="301" t="s">
        <v>3980</v>
      </c>
      <c r="T677" s="301" t="s">
        <v>3980</v>
      </c>
      <c r="U677" s="301" t="s">
        <v>3980</v>
      </c>
      <c r="V677" s="301" t="s">
        <v>3980</v>
      </c>
      <c r="W677" s="298" t="s">
        <v>460</v>
      </c>
      <c r="X677" s="298" t="s">
        <v>306</v>
      </c>
    </row>
    <row r="678">
      <c r="A678" s="295" t="s">
        <v>3981</v>
      </c>
      <c r="B678" s="298">
        <v>6.0</v>
      </c>
      <c r="C678" s="298" t="s">
        <v>288</v>
      </c>
      <c r="D678" s="298" t="s">
        <v>334</v>
      </c>
      <c r="E678" s="298" t="s">
        <v>290</v>
      </c>
      <c r="F678" s="298" t="str">
        <f>'Character Sheet'!$C$9</f>
        <v/>
      </c>
      <c r="G678" s="298" t="s">
        <v>294</v>
      </c>
      <c r="H678" s="298" t="s">
        <v>295</v>
      </c>
      <c r="I678" s="298" t="s">
        <v>1000</v>
      </c>
      <c r="J678" s="298" t="s">
        <v>315</v>
      </c>
      <c r="K678" s="298" t="s">
        <v>424</v>
      </c>
      <c r="L678" s="298" t="s">
        <v>493</v>
      </c>
      <c r="M678" s="301" t="s">
        <v>315</v>
      </c>
      <c r="N678" s="301" t="s">
        <v>315</v>
      </c>
      <c r="O678" s="301" t="s">
        <v>315</v>
      </c>
      <c r="P678" s="301" t="s">
        <v>315</v>
      </c>
      <c r="Q678" s="301" t="s">
        <v>315</v>
      </c>
      <c r="R678" s="301" t="s">
        <v>3982</v>
      </c>
      <c r="S678" s="301" t="s">
        <v>3982</v>
      </c>
      <c r="T678" s="301" t="s">
        <v>3983</v>
      </c>
      <c r="U678" s="301" t="s">
        <v>3984</v>
      </c>
      <c r="V678" s="301" t="s">
        <v>3984</v>
      </c>
      <c r="W678" s="298" t="s">
        <v>389</v>
      </c>
      <c r="X678" s="298" t="s">
        <v>306</v>
      </c>
    </row>
    <row r="679">
      <c r="A679" s="295" t="s">
        <v>3985</v>
      </c>
      <c r="B679" s="298">
        <v>6.0</v>
      </c>
      <c r="C679" s="298" t="s">
        <v>288</v>
      </c>
      <c r="D679" s="298" t="s">
        <v>289</v>
      </c>
      <c r="E679" s="298" t="s">
        <v>290</v>
      </c>
      <c r="F679" s="298" t="str">
        <f>'Character Sheet'!$C$9</f>
        <v/>
      </c>
      <c r="G679" s="298" t="s">
        <v>294</v>
      </c>
      <c r="H679" s="298" t="s">
        <v>324</v>
      </c>
      <c r="I679" s="298" t="s">
        <v>315</v>
      </c>
      <c r="J679" s="298" t="s">
        <v>407</v>
      </c>
      <c r="K679" s="298" t="s">
        <v>632</v>
      </c>
      <c r="L679" s="298" t="s">
        <v>493</v>
      </c>
      <c r="M679" s="301" t="s">
        <v>315</v>
      </c>
      <c r="N679" s="301" t="s">
        <v>315</v>
      </c>
      <c r="O679" s="301" t="s">
        <v>315</v>
      </c>
      <c r="P679" s="301" t="s">
        <v>315</v>
      </c>
      <c r="Q679" s="301" t="s">
        <v>315</v>
      </c>
      <c r="R679" s="301" t="s">
        <v>3986</v>
      </c>
      <c r="S679" s="301" t="s">
        <v>3986</v>
      </c>
      <c r="T679" s="301" t="s">
        <v>3987</v>
      </c>
      <c r="U679" s="301" t="s">
        <v>3988</v>
      </c>
      <c r="V679" s="301" t="s">
        <v>3988</v>
      </c>
      <c r="W679" s="298" t="s">
        <v>499</v>
      </c>
      <c r="X679" s="298" t="s">
        <v>306</v>
      </c>
    </row>
    <row r="680">
      <c r="A680" s="295" t="s">
        <v>3989</v>
      </c>
      <c r="B680" s="298">
        <v>6.0</v>
      </c>
      <c r="C680" s="298" t="s">
        <v>288</v>
      </c>
      <c r="D680" s="298" t="s">
        <v>289</v>
      </c>
      <c r="E680" s="298" t="s">
        <v>290</v>
      </c>
      <c r="F680" s="298" t="str">
        <f>'Character Sheet'!$E$9</f>
        <v/>
      </c>
      <c r="G680" s="298" t="s">
        <v>674</v>
      </c>
      <c r="H680" s="298" t="s">
        <v>352</v>
      </c>
      <c r="I680" s="298" t="s">
        <v>447</v>
      </c>
      <c r="J680" s="298" t="s">
        <v>407</v>
      </c>
      <c r="K680" s="298" t="s">
        <v>424</v>
      </c>
      <c r="L680" s="298" t="s">
        <v>493</v>
      </c>
      <c r="M680" s="301" t="s">
        <v>315</v>
      </c>
      <c r="N680" s="301" t="s">
        <v>315</v>
      </c>
      <c r="O680" s="301" t="s">
        <v>315</v>
      </c>
      <c r="P680" s="301" t="s">
        <v>315</v>
      </c>
      <c r="Q680" s="301" t="s">
        <v>315</v>
      </c>
      <c r="R680" s="301" t="s">
        <v>3990</v>
      </c>
      <c r="S680" s="301" t="s">
        <v>3990</v>
      </c>
      <c r="T680" s="301" t="s">
        <v>3991</v>
      </c>
      <c r="U680" s="301" t="s">
        <v>3991</v>
      </c>
      <c r="V680" s="301" t="s">
        <v>3992</v>
      </c>
      <c r="W680" s="298" t="s">
        <v>305</v>
      </c>
      <c r="X680" s="298" t="s">
        <v>318</v>
      </c>
    </row>
    <row r="681">
      <c r="A681" s="295" t="s">
        <v>3993</v>
      </c>
      <c r="B681" s="298">
        <v>6.0</v>
      </c>
      <c r="C681" s="298" t="s">
        <v>288</v>
      </c>
      <c r="D681" s="298" t="s">
        <v>462</v>
      </c>
      <c r="E681" s="298" t="s">
        <v>311</v>
      </c>
      <c r="F681" s="298" t="str">
        <f>'Character Sheet'!$C$9</f>
        <v/>
      </c>
      <c r="G681" s="298" t="s">
        <v>294</v>
      </c>
      <c r="H681" s="298" t="s">
        <v>352</v>
      </c>
      <c r="I681" s="298" t="s">
        <v>296</v>
      </c>
      <c r="J681" s="298" t="s">
        <v>173</v>
      </c>
      <c r="K681" s="298" t="s">
        <v>1174</v>
      </c>
      <c r="L681" s="298" t="s">
        <v>493</v>
      </c>
      <c r="M681" s="301" t="s">
        <v>315</v>
      </c>
      <c r="N681" s="301" t="s">
        <v>315</v>
      </c>
      <c r="O681" s="301" t="s">
        <v>315</v>
      </c>
      <c r="P681" s="301" t="s">
        <v>315</v>
      </c>
      <c r="Q681" s="301" t="s">
        <v>315</v>
      </c>
      <c r="R681" s="301" t="s">
        <v>3994</v>
      </c>
      <c r="S681" s="301" t="s">
        <v>3994</v>
      </c>
      <c r="T681" s="301" t="s">
        <v>3994</v>
      </c>
      <c r="U681" s="301" t="s">
        <v>3994</v>
      </c>
      <c r="V681" s="301" t="s">
        <v>3994</v>
      </c>
      <c r="W681" s="298" t="s">
        <v>305</v>
      </c>
      <c r="X681" s="298" t="s">
        <v>306</v>
      </c>
    </row>
    <row r="682">
      <c r="A682" s="295" t="s">
        <v>3995</v>
      </c>
      <c r="B682" s="298">
        <v>6.0</v>
      </c>
      <c r="C682" s="298" t="s">
        <v>522</v>
      </c>
      <c r="D682" s="298" t="s">
        <v>334</v>
      </c>
      <c r="E682" s="298" t="s">
        <v>311</v>
      </c>
      <c r="F682" s="298" t="str">
        <f>'Character Sheet'!$E$9</f>
        <v/>
      </c>
      <c r="G682" s="298" t="s">
        <v>674</v>
      </c>
      <c r="H682" s="298" t="s">
        <v>295</v>
      </c>
      <c r="I682" s="298" t="s">
        <v>671</v>
      </c>
      <c r="J682" s="298" t="s">
        <v>315</v>
      </c>
      <c r="K682" s="298" t="s">
        <v>424</v>
      </c>
      <c r="L682" s="298" t="s">
        <v>493</v>
      </c>
      <c r="M682" s="301" t="s">
        <v>315</v>
      </c>
      <c r="N682" s="301" t="s">
        <v>315</v>
      </c>
      <c r="O682" s="301" t="s">
        <v>315</v>
      </c>
      <c r="P682" s="301" t="s">
        <v>315</v>
      </c>
      <c r="Q682" s="301" t="s">
        <v>315</v>
      </c>
      <c r="R682" s="301" t="s">
        <v>3996</v>
      </c>
      <c r="S682" s="301" t="s">
        <v>3997</v>
      </c>
      <c r="T682" s="301" t="s">
        <v>3997</v>
      </c>
      <c r="U682" s="301" t="s">
        <v>3997</v>
      </c>
      <c r="V682" s="301" t="s">
        <v>3997</v>
      </c>
      <c r="W682" s="298" t="s">
        <v>404</v>
      </c>
      <c r="X682" s="298" t="s">
        <v>1714</v>
      </c>
    </row>
    <row r="683">
      <c r="A683" s="295" t="s">
        <v>3998</v>
      </c>
      <c r="B683" s="298">
        <v>6.0</v>
      </c>
      <c r="C683" s="298" t="s">
        <v>522</v>
      </c>
      <c r="D683" s="298" t="s">
        <v>462</v>
      </c>
      <c r="E683" s="298" t="s">
        <v>311</v>
      </c>
      <c r="F683" s="298" t="s">
        <v>625</v>
      </c>
      <c r="G683" s="298" t="s">
        <v>674</v>
      </c>
      <c r="H683" s="298" t="s">
        <v>335</v>
      </c>
      <c r="I683" s="298" t="s">
        <v>3999</v>
      </c>
      <c r="J683" s="298" t="s">
        <v>173</v>
      </c>
      <c r="K683" s="298" t="s">
        <v>545</v>
      </c>
      <c r="L683" s="298" t="s">
        <v>493</v>
      </c>
      <c r="M683" s="301" t="s">
        <v>315</v>
      </c>
      <c r="N683" s="301" t="s">
        <v>315</v>
      </c>
      <c r="O683" s="301" t="s">
        <v>315</v>
      </c>
      <c r="P683" s="301" t="s">
        <v>315</v>
      </c>
      <c r="Q683" s="301" t="s">
        <v>315</v>
      </c>
      <c r="R683" s="301" t="s">
        <v>4000</v>
      </c>
      <c r="S683" s="301" t="s">
        <v>4000</v>
      </c>
      <c r="T683" s="301" t="s">
        <v>4000</v>
      </c>
      <c r="U683" s="301" t="s">
        <v>4000</v>
      </c>
      <c r="V683" s="301" t="s">
        <v>4000</v>
      </c>
      <c r="W683" s="298" t="s">
        <v>684</v>
      </c>
      <c r="X683" s="298" t="s">
        <v>2632</v>
      </c>
    </row>
    <row r="684">
      <c r="A684" s="295" t="s">
        <v>4001</v>
      </c>
      <c r="B684" s="298">
        <v>6.0</v>
      </c>
      <c r="C684" s="298" t="s">
        <v>432</v>
      </c>
      <c r="D684" s="298" t="s">
        <v>310</v>
      </c>
      <c r="E684" s="298" t="s">
        <v>290</v>
      </c>
      <c r="F684" s="298" t="s">
        <v>999</v>
      </c>
      <c r="G684" s="298" t="s">
        <v>674</v>
      </c>
      <c r="H684" s="298" t="s">
        <v>335</v>
      </c>
      <c r="I684" s="298" t="s">
        <v>952</v>
      </c>
      <c r="J684" s="298" t="s">
        <v>315</v>
      </c>
      <c r="K684" s="298" t="s">
        <v>1972</v>
      </c>
      <c r="L684" s="298" t="s">
        <v>493</v>
      </c>
      <c r="M684" s="301" t="s">
        <v>315</v>
      </c>
      <c r="N684" s="301" t="s">
        <v>315</v>
      </c>
      <c r="O684" s="301" t="s">
        <v>315</v>
      </c>
      <c r="P684" s="301" t="s">
        <v>315</v>
      </c>
      <c r="Q684" s="301" t="s">
        <v>315</v>
      </c>
      <c r="R684" s="301" t="s">
        <v>4002</v>
      </c>
      <c r="S684" s="301" t="s">
        <v>4002</v>
      </c>
      <c r="T684" s="301" t="s">
        <v>4003</v>
      </c>
      <c r="U684" s="301" t="s">
        <v>4003</v>
      </c>
      <c r="V684" s="301" t="s">
        <v>4004</v>
      </c>
      <c r="W684" s="298" t="s">
        <v>305</v>
      </c>
      <c r="X684" s="298" t="s">
        <v>815</v>
      </c>
    </row>
    <row r="685">
      <c r="A685" s="295" t="s">
        <v>4005</v>
      </c>
      <c r="B685" s="298">
        <v>6.0</v>
      </c>
      <c r="C685" s="298" t="s">
        <v>432</v>
      </c>
      <c r="D685" s="298" t="s">
        <v>151</v>
      </c>
      <c r="E685" s="298" t="s">
        <v>311</v>
      </c>
      <c r="F685" s="298" t="str">
        <f>'Character Sheet'!$E$9</f>
        <v/>
      </c>
      <c r="G685" s="298" t="s">
        <v>674</v>
      </c>
      <c r="H685" s="298" t="s">
        <v>295</v>
      </c>
      <c r="I685" s="298" t="s">
        <v>315</v>
      </c>
      <c r="J685" s="298" t="s">
        <v>315</v>
      </c>
      <c r="K685" s="298" t="s">
        <v>424</v>
      </c>
      <c r="L685" s="298" t="s">
        <v>493</v>
      </c>
      <c r="M685" s="301" t="s">
        <v>315</v>
      </c>
      <c r="N685" s="301" t="s">
        <v>315</v>
      </c>
      <c r="O685" s="301" t="s">
        <v>315</v>
      </c>
      <c r="P685" s="301" t="s">
        <v>315</v>
      </c>
      <c r="Q685" s="301" t="s">
        <v>315</v>
      </c>
      <c r="R685" s="301" t="s">
        <v>4006</v>
      </c>
      <c r="S685" s="301" t="s">
        <v>4006</v>
      </c>
      <c r="T685" s="301" t="s">
        <v>4006</v>
      </c>
      <c r="U685" s="301" t="s">
        <v>4006</v>
      </c>
      <c r="V685" s="301" t="s">
        <v>4006</v>
      </c>
      <c r="W685" s="298" t="s">
        <v>536</v>
      </c>
      <c r="X685" s="298" t="s">
        <v>722</v>
      </c>
    </row>
    <row r="686">
      <c r="A686" s="295" t="s">
        <v>4007</v>
      </c>
      <c r="B686" s="298">
        <v>6.0</v>
      </c>
      <c r="C686" s="298" t="s">
        <v>522</v>
      </c>
      <c r="D686" s="298" t="s">
        <v>462</v>
      </c>
      <c r="E686" s="298" t="s">
        <v>311</v>
      </c>
      <c r="F686" s="298" t="str">
        <f>'Character Sheet'!$C$9</f>
        <v/>
      </c>
      <c r="G686" s="298" t="s">
        <v>294</v>
      </c>
      <c r="H686" s="298" t="s">
        <v>324</v>
      </c>
      <c r="I686" s="298" t="s">
        <v>324</v>
      </c>
      <c r="J686" s="298" t="s">
        <v>315</v>
      </c>
      <c r="K686" s="298" t="s">
        <v>632</v>
      </c>
      <c r="L686" s="298" t="s">
        <v>493</v>
      </c>
      <c r="M686" s="301" t="s">
        <v>315</v>
      </c>
      <c r="N686" s="301" t="s">
        <v>315</v>
      </c>
      <c r="O686" s="301" t="s">
        <v>315</v>
      </c>
      <c r="P686" s="301" t="s">
        <v>315</v>
      </c>
      <c r="Q686" s="301" t="s">
        <v>315</v>
      </c>
      <c r="R686" s="301" t="s">
        <v>4008</v>
      </c>
      <c r="S686" s="301" t="s">
        <v>4008</v>
      </c>
      <c r="T686" s="301" t="s">
        <v>4008</v>
      </c>
      <c r="U686" s="301" t="s">
        <v>4008</v>
      </c>
      <c r="V686" s="301" t="s">
        <v>4008</v>
      </c>
      <c r="W686" s="298" t="s">
        <v>404</v>
      </c>
      <c r="X686" s="298" t="s">
        <v>3296</v>
      </c>
    </row>
    <row r="687">
      <c r="A687" s="295" t="s">
        <v>4009</v>
      </c>
      <c r="B687" s="298">
        <v>6.0</v>
      </c>
      <c r="C687" s="298" t="s">
        <v>288</v>
      </c>
      <c r="D687" s="298" t="s">
        <v>321</v>
      </c>
      <c r="E687" s="298" t="s">
        <v>311</v>
      </c>
      <c r="F687" s="298" t="str">
        <f>'Character Sheet'!$C$9</f>
        <v/>
      </c>
      <c r="G687" s="298" t="s">
        <v>294</v>
      </c>
      <c r="H687" s="298" t="s">
        <v>324</v>
      </c>
      <c r="I687" s="298" t="s">
        <v>324</v>
      </c>
      <c r="J687" s="298" t="s">
        <v>315</v>
      </c>
      <c r="K687" s="298" t="s">
        <v>424</v>
      </c>
      <c r="L687" s="298" t="s">
        <v>493</v>
      </c>
      <c r="M687" s="301" t="s">
        <v>315</v>
      </c>
      <c r="N687" s="301" t="s">
        <v>315</v>
      </c>
      <c r="O687" s="301" t="s">
        <v>315</v>
      </c>
      <c r="P687" s="301" t="s">
        <v>315</v>
      </c>
      <c r="Q687" s="301" t="s">
        <v>315</v>
      </c>
      <c r="R687" s="301" t="s">
        <v>4010</v>
      </c>
      <c r="S687" s="301" t="s">
        <v>4010</v>
      </c>
      <c r="T687" s="301" t="s">
        <v>4010</v>
      </c>
      <c r="U687" s="301" t="s">
        <v>4010</v>
      </c>
      <c r="V687" s="301" t="s">
        <v>4010</v>
      </c>
      <c r="W687" s="298" t="s">
        <v>460</v>
      </c>
      <c r="X687" s="298" t="s">
        <v>306</v>
      </c>
    </row>
    <row r="688">
      <c r="A688" s="295" t="s">
        <v>4011</v>
      </c>
      <c r="B688" s="298">
        <v>6.0</v>
      </c>
      <c r="C688" s="298" t="s">
        <v>288</v>
      </c>
      <c r="D688" s="298" t="s">
        <v>462</v>
      </c>
      <c r="E688" s="298" t="s">
        <v>290</v>
      </c>
      <c r="F688" s="298" t="str">
        <f>'Character Sheet'!$E$9</f>
        <v/>
      </c>
      <c r="G688" s="298" t="s">
        <v>674</v>
      </c>
      <c r="H688" s="298" t="s">
        <v>352</v>
      </c>
      <c r="I688" s="298" t="s">
        <v>4012</v>
      </c>
      <c r="J688" s="298" t="s">
        <v>315</v>
      </c>
      <c r="K688" s="298" t="s">
        <v>632</v>
      </c>
      <c r="L688" s="298" t="s">
        <v>493</v>
      </c>
      <c r="M688" s="301" t="s">
        <v>315</v>
      </c>
      <c r="N688" s="301" t="s">
        <v>315</v>
      </c>
      <c r="O688" s="301" t="s">
        <v>315</v>
      </c>
      <c r="P688" s="301" t="s">
        <v>315</v>
      </c>
      <c r="Q688" s="301" t="s">
        <v>315</v>
      </c>
      <c r="R688" s="301" t="s">
        <v>4013</v>
      </c>
      <c r="S688" s="301" t="s">
        <v>4014</v>
      </c>
      <c r="T688" s="301" t="s">
        <v>4015</v>
      </c>
      <c r="U688" s="301" t="s">
        <v>4016</v>
      </c>
      <c r="V688" s="301" t="s">
        <v>4017</v>
      </c>
      <c r="W688" s="298" t="s">
        <v>499</v>
      </c>
      <c r="X688" s="298" t="s">
        <v>318</v>
      </c>
    </row>
    <row r="689">
      <c r="A689" s="295" t="s">
        <v>4018</v>
      </c>
      <c r="B689" s="298">
        <v>6.0</v>
      </c>
      <c r="C689" s="298" t="s">
        <v>288</v>
      </c>
      <c r="D689" s="298" t="s">
        <v>334</v>
      </c>
      <c r="E689" s="298" t="s">
        <v>290</v>
      </c>
      <c r="F689" s="298" t="str">
        <f>'Character Sheet'!$C$9</f>
        <v/>
      </c>
      <c r="G689" s="298" t="s">
        <v>294</v>
      </c>
      <c r="H689" s="298" t="s">
        <v>360</v>
      </c>
      <c r="I689" s="298" t="s">
        <v>2038</v>
      </c>
      <c r="J689" s="298" t="s">
        <v>173</v>
      </c>
      <c r="K689" s="298" t="s">
        <v>1174</v>
      </c>
      <c r="L689" s="298" t="s">
        <v>493</v>
      </c>
      <c r="M689" s="301" t="s">
        <v>315</v>
      </c>
      <c r="N689" s="301" t="s">
        <v>315</v>
      </c>
      <c r="O689" s="301" t="s">
        <v>315</v>
      </c>
      <c r="P689" s="301" t="s">
        <v>315</v>
      </c>
      <c r="Q689" s="301" t="s">
        <v>315</v>
      </c>
      <c r="R689" s="301" t="s">
        <v>4019</v>
      </c>
      <c r="S689" s="301" t="s">
        <v>4020</v>
      </c>
      <c r="T689" s="301" t="s">
        <v>4021</v>
      </c>
      <c r="U689" s="301" t="s">
        <v>4022</v>
      </c>
      <c r="V689" s="301" t="s">
        <v>4023</v>
      </c>
      <c r="W689" s="298" t="s">
        <v>993</v>
      </c>
      <c r="X689" s="298" t="s">
        <v>318</v>
      </c>
    </row>
    <row r="690">
      <c r="A690" s="295" t="s">
        <v>4024</v>
      </c>
      <c r="B690" s="298">
        <v>6.0</v>
      </c>
      <c r="C690" s="298" t="s">
        <v>288</v>
      </c>
      <c r="D690" s="298" t="s">
        <v>321</v>
      </c>
      <c r="E690" s="298" t="s">
        <v>290</v>
      </c>
      <c r="F690" s="298" t="str">
        <f>'Character Sheet'!$C$9</f>
        <v/>
      </c>
      <c r="G690" s="298" t="s">
        <v>294</v>
      </c>
      <c r="H690" s="298" t="s">
        <v>1278</v>
      </c>
      <c r="I690" s="298" t="s">
        <v>2777</v>
      </c>
      <c r="J690" s="298" t="s">
        <v>746</v>
      </c>
      <c r="K690" s="298" t="s">
        <v>298</v>
      </c>
      <c r="L690" s="298" t="s">
        <v>493</v>
      </c>
      <c r="M690" s="301" t="s">
        <v>315</v>
      </c>
      <c r="N690" s="301" t="s">
        <v>315</v>
      </c>
      <c r="O690" s="301" t="s">
        <v>315</v>
      </c>
      <c r="P690" s="301" t="s">
        <v>315</v>
      </c>
      <c r="Q690" s="301" t="s">
        <v>315</v>
      </c>
      <c r="R690" s="301" t="s">
        <v>4025</v>
      </c>
      <c r="S690" s="301" t="s">
        <v>4026</v>
      </c>
      <c r="T690" s="301" t="s">
        <v>4027</v>
      </c>
      <c r="U690" s="301" t="s">
        <v>4028</v>
      </c>
      <c r="V690" s="301" t="s">
        <v>4029</v>
      </c>
      <c r="W690" s="298" t="s">
        <v>460</v>
      </c>
      <c r="X690" s="298" t="s">
        <v>306</v>
      </c>
    </row>
    <row r="691">
      <c r="A691" s="295" t="s">
        <v>4030</v>
      </c>
      <c r="B691" s="298">
        <v>6.0</v>
      </c>
      <c r="C691" s="298" t="s">
        <v>288</v>
      </c>
      <c r="D691" s="298" t="s">
        <v>289</v>
      </c>
      <c r="E691" s="298" t="s">
        <v>290</v>
      </c>
      <c r="F691" s="298" t="str">
        <f>'Character Sheet'!$E$9</f>
        <v/>
      </c>
      <c r="G691" s="298" t="s">
        <v>674</v>
      </c>
      <c r="H691" s="298" t="s">
        <v>324</v>
      </c>
      <c r="I691" s="298" t="s">
        <v>3354</v>
      </c>
      <c r="J691" s="298" t="s">
        <v>407</v>
      </c>
      <c r="K691" s="298" t="s">
        <v>424</v>
      </c>
      <c r="L691" s="298" t="s">
        <v>493</v>
      </c>
      <c r="M691" s="301" t="s">
        <v>315</v>
      </c>
      <c r="N691" s="301" t="s">
        <v>315</v>
      </c>
      <c r="O691" s="301" t="s">
        <v>315</v>
      </c>
      <c r="P691" s="301" t="s">
        <v>315</v>
      </c>
      <c r="Q691" s="301" t="s">
        <v>315</v>
      </c>
      <c r="R691" s="301" t="s">
        <v>4031</v>
      </c>
      <c r="S691" s="301" t="s">
        <v>4032</v>
      </c>
      <c r="T691" s="301" t="s">
        <v>4033</v>
      </c>
      <c r="U691" s="301" t="s">
        <v>4034</v>
      </c>
      <c r="V691" s="301" t="s">
        <v>4035</v>
      </c>
      <c r="W691" s="298" t="s">
        <v>460</v>
      </c>
      <c r="X691" s="298" t="s">
        <v>569</v>
      </c>
    </row>
    <row r="692">
      <c r="A692" s="295" t="s">
        <v>4036</v>
      </c>
      <c r="B692" s="298">
        <v>6.0</v>
      </c>
      <c r="C692" s="298" t="s">
        <v>288</v>
      </c>
      <c r="D692" s="298" t="s">
        <v>334</v>
      </c>
      <c r="E692" s="298" t="s">
        <v>311</v>
      </c>
      <c r="F692" s="298" t="str">
        <f>'Character Sheet'!$C$9</f>
        <v/>
      </c>
      <c r="G692" s="298" t="s">
        <v>294</v>
      </c>
      <c r="H692" s="298" t="s">
        <v>335</v>
      </c>
      <c r="I692" s="298" t="s">
        <v>296</v>
      </c>
      <c r="J692" s="298" t="s">
        <v>173</v>
      </c>
      <c r="K692" s="298" t="s">
        <v>298</v>
      </c>
      <c r="L692" s="298" t="s">
        <v>493</v>
      </c>
      <c r="M692" s="301" t="s">
        <v>315</v>
      </c>
      <c r="N692" s="301" t="s">
        <v>315</v>
      </c>
      <c r="O692" s="301" t="s">
        <v>315</v>
      </c>
      <c r="P692" s="301" t="s">
        <v>315</v>
      </c>
      <c r="Q692" s="301" t="s">
        <v>315</v>
      </c>
      <c r="R692" s="301" t="s">
        <v>4037</v>
      </c>
      <c r="S692" s="301" t="s">
        <v>4037</v>
      </c>
      <c r="T692" s="301" t="s">
        <v>4037</v>
      </c>
      <c r="U692" s="301" t="s">
        <v>4037</v>
      </c>
      <c r="V692" s="301" t="s">
        <v>4037</v>
      </c>
      <c r="W692" s="298" t="s">
        <v>305</v>
      </c>
      <c r="X692" s="298" t="s">
        <v>306</v>
      </c>
    </row>
    <row r="693">
      <c r="A693" s="295" t="s">
        <v>4038</v>
      </c>
      <c r="B693" s="298">
        <v>6.0</v>
      </c>
      <c r="C693" s="298" t="s">
        <v>522</v>
      </c>
      <c r="D693" s="298" t="s">
        <v>334</v>
      </c>
      <c r="E693" s="298" t="s">
        <v>290</v>
      </c>
      <c r="F693" s="298" t="s">
        <v>999</v>
      </c>
      <c r="G693" s="298" t="s">
        <v>674</v>
      </c>
      <c r="H693" s="298" t="s">
        <v>313</v>
      </c>
      <c r="I693" s="298" t="s">
        <v>4039</v>
      </c>
      <c r="J693" s="298" t="s">
        <v>315</v>
      </c>
      <c r="K693" s="298" t="s">
        <v>298</v>
      </c>
      <c r="L693" s="298" t="s">
        <v>493</v>
      </c>
      <c r="M693" s="301" t="s">
        <v>315</v>
      </c>
      <c r="N693" s="301" t="s">
        <v>315</v>
      </c>
      <c r="O693" s="301" t="s">
        <v>315</v>
      </c>
      <c r="P693" s="301" t="s">
        <v>315</v>
      </c>
      <c r="Q693" s="301" t="s">
        <v>315</v>
      </c>
      <c r="R693" s="301" t="s">
        <v>4040</v>
      </c>
      <c r="S693" s="301" t="s">
        <v>4041</v>
      </c>
      <c r="T693" s="301" t="s">
        <v>4042</v>
      </c>
      <c r="U693" s="301" t="s">
        <v>4043</v>
      </c>
      <c r="V693" s="301" t="s">
        <v>4044</v>
      </c>
      <c r="W693" s="298" t="s">
        <v>404</v>
      </c>
      <c r="X693" s="298" t="s">
        <v>306</v>
      </c>
    </row>
    <row r="694">
      <c r="A694" s="295" t="s">
        <v>4045</v>
      </c>
      <c r="B694" s="298">
        <v>6.0</v>
      </c>
      <c r="C694" s="298" t="s">
        <v>288</v>
      </c>
      <c r="D694" s="298" t="s">
        <v>421</v>
      </c>
      <c r="E694" s="298" t="s">
        <v>311</v>
      </c>
      <c r="F694" s="298" t="str">
        <f>'Character Sheet'!$C$9</f>
        <v/>
      </c>
      <c r="G694" s="298" t="s">
        <v>294</v>
      </c>
      <c r="H694" s="298" t="s">
        <v>324</v>
      </c>
      <c r="I694" s="298" t="s">
        <v>4046</v>
      </c>
      <c r="J694" s="298" t="s">
        <v>192</v>
      </c>
      <c r="K694" s="298" t="s">
        <v>632</v>
      </c>
      <c r="L694" s="298" t="s">
        <v>493</v>
      </c>
      <c r="M694" s="301" t="s">
        <v>315</v>
      </c>
      <c r="N694" s="301" t="s">
        <v>315</v>
      </c>
      <c r="O694" s="301" t="s">
        <v>315</v>
      </c>
      <c r="P694" s="301" t="s">
        <v>315</v>
      </c>
      <c r="Q694" s="301" t="s">
        <v>315</v>
      </c>
      <c r="R694" s="301" t="s">
        <v>4047</v>
      </c>
      <c r="S694" s="301" t="s">
        <v>4047</v>
      </c>
      <c r="T694" s="301" t="s">
        <v>4047</v>
      </c>
      <c r="U694" s="301" t="s">
        <v>4047</v>
      </c>
      <c r="V694" s="301" t="s">
        <v>4047</v>
      </c>
      <c r="W694" s="298" t="s">
        <v>331</v>
      </c>
      <c r="X694" s="298" t="s">
        <v>306</v>
      </c>
    </row>
    <row r="695">
      <c r="A695" s="295" t="s">
        <v>4048</v>
      </c>
      <c r="B695" s="298">
        <v>6.0</v>
      </c>
      <c r="C695" s="298" t="s">
        <v>288</v>
      </c>
      <c r="D695" s="298" t="s">
        <v>462</v>
      </c>
      <c r="E695" s="298" t="s">
        <v>290</v>
      </c>
      <c r="F695" s="298" t="str">
        <f>'Character Sheet'!$C$9</f>
        <v/>
      </c>
      <c r="G695" s="298" t="s">
        <v>294</v>
      </c>
      <c r="H695" s="298" t="s">
        <v>324</v>
      </c>
      <c r="I695" s="298" t="s">
        <v>324</v>
      </c>
      <c r="J695" s="298" t="s">
        <v>315</v>
      </c>
      <c r="K695" s="298" t="s">
        <v>632</v>
      </c>
      <c r="L695" s="298" t="s">
        <v>493</v>
      </c>
      <c r="M695" s="301" t="s">
        <v>315</v>
      </c>
      <c r="N695" s="301" t="s">
        <v>315</v>
      </c>
      <c r="O695" s="301" t="s">
        <v>315</v>
      </c>
      <c r="P695" s="301" t="s">
        <v>315</v>
      </c>
      <c r="Q695" s="301" t="s">
        <v>315</v>
      </c>
      <c r="R695" s="301" t="s">
        <v>4049</v>
      </c>
      <c r="S695" s="301" t="s">
        <v>4049</v>
      </c>
      <c r="T695" s="301" t="s">
        <v>4050</v>
      </c>
      <c r="U695" s="301" t="s">
        <v>4050</v>
      </c>
      <c r="V695" s="301" t="s">
        <v>4050</v>
      </c>
      <c r="W695" s="298" t="s">
        <v>404</v>
      </c>
      <c r="X695" s="298" t="s">
        <v>306</v>
      </c>
    </row>
    <row r="696">
      <c r="A696" s="295" t="s">
        <v>4051</v>
      </c>
      <c r="B696" s="298">
        <v>6.0</v>
      </c>
      <c r="C696" s="298" t="s">
        <v>288</v>
      </c>
      <c r="D696" s="298" t="s">
        <v>421</v>
      </c>
      <c r="E696" s="298" t="s">
        <v>290</v>
      </c>
      <c r="F696" s="298" t="str">
        <f>'Character Sheet'!$K$9</f>
        <v/>
      </c>
      <c r="G696" s="298" t="s">
        <v>493</v>
      </c>
      <c r="H696" s="298" t="s">
        <v>295</v>
      </c>
      <c r="I696" s="298" t="s">
        <v>3076</v>
      </c>
      <c r="J696" s="298" t="s">
        <v>315</v>
      </c>
      <c r="K696" s="298" t="s">
        <v>298</v>
      </c>
      <c r="L696" s="298" t="s">
        <v>493</v>
      </c>
      <c r="M696" s="301" t="s">
        <v>315</v>
      </c>
      <c r="N696" s="301" t="s">
        <v>315</v>
      </c>
      <c r="O696" s="301" t="s">
        <v>315</v>
      </c>
      <c r="P696" s="301" t="s">
        <v>315</v>
      </c>
      <c r="Q696" s="301" t="s">
        <v>315</v>
      </c>
      <c r="R696" s="301" t="s">
        <v>4052</v>
      </c>
      <c r="S696" s="301" t="s">
        <v>4053</v>
      </c>
      <c r="T696" s="301" t="s">
        <v>4054</v>
      </c>
      <c r="U696" s="301" t="s">
        <v>4055</v>
      </c>
      <c r="V696" s="301" t="s">
        <v>4056</v>
      </c>
      <c r="W696" s="298" t="s">
        <v>483</v>
      </c>
      <c r="X696" s="298" t="s">
        <v>678</v>
      </c>
    </row>
    <row r="697">
      <c r="A697" s="295" t="s">
        <v>4057</v>
      </c>
      <c r="B697" s="298">
        <v>6.0</v>
      </c>
      <c r="C697" s="298" t="s">
        <v>522</v>
      </c>
      <c r="D697" s="298" t="s">
        <v>310</v>
      </c>
      <c r="E697" s="298" t="s">
        <v>311</v>
      </c>
      <c r="F697" s="298" t="s">
        <v>999</v>
      </c>
      <c r="G697" s="298" t="s">
        <v>674</v>
      </c>
      <c r="H697" s="298" t="s">
        <v>2115</v>
      </c>
      <c r="I697" s="298" t="s">
        <v>296</v>
      </c>
      <c r="J697" s="298" t="s">
        <v>192</v>
      </c>
      <c r="K697" s="298" t="s">
        <v>2263</v>
      </c>
      <c r="L697" s="298" t="s">
        <v>493</v>
      </c>
      <c r="M697" s="301" t="s">
        <v>315</v>
      </c>
      <c r="N697" s="301" t="s">
        <v>315</v>
      </c>
      <c r="O697" s="301" t="s">
        <v>315</v>
      </c>
      <c r="P697" s="301" t="s">
        <v>315</v>
      </c>
      <c r="Q697" s="301" t="s">
        <v>315</v>
      </c>
      <c r="R697" s="301" t="s">
        <v>4058</v>
      </c>
      <c r="S697" s="301" t="s">
        <v>4058</v>
      </c>
      <c r="T697" s="301" t="s">
        <v>4058</v>
      </c>
      <c r="U697" s="301" t="s">
        <v>4058</v>
      </c>
      <c r="V697" s="301" t="s">
        <v>4058</v>
      </c>
      <c r="W697" s="298" t="s">
        <v>460</v>
      </c>
      <c r="X697" s="298" t="s">
        <v>306</v>
      </c>
    </row>
    <row r="698">
      <c r="A698" s="295" t="s">
        <v>4059</v>
      </c>
      <c r="B698" s="298">
        <v>6.0</v>
      </c>
      <c r="C698" s="298" t="s">
        <v>288</v>
      </c>
      <c r="D698" s="298" t="s">
        <v>421</v>
      </c>
      <c r="E698" s="298" t="s">
        <v>311</v>
      </c>
      <c r="F698" s="298" t="str">
        <f>'Character Sheet'!$C$9</f>
        <v/>
      </c>
      <c r="G698" s="298" t="s">
        <v>294</v>
      </c>
      <c r="H698" s="298" t="s">
        <v>295</v>
      </c>
      <c r="I698" s="298" t="s">
        <v>296</v>
      </c>
      <c r="J698" s="298" t="s">
        <v>192</v>
      </c>
      <c r="K698" s="298" t="s">
        <v>1174</v>
      </c>
      <c r="L698" s="298" t="s">
        <v>493</v>
      </c>
      <c r="M698" s="301" t="s">
        <v>315</v>
      </c>
      <c r="N698" s="301" t="s">
        <v>315</v>
      </c>
      <c r="O698" s="301" t="s">
        <v>315</v>
      </c>
      <c r="P698" s="301" t="s">
        <v>315</v>
      </c>
      <c r="Q698" s="301" t="s">
        <v>315</v>
      </c>
      <c r="R698" s="301" t="s">
        <v>4060</v>
      </c>
      <c r="S698" s="301" t="s">
        <v>4060</v>
      </c>
      <c r="T698" s="301" t="s">
        <v>4060</v>
      </c>
      <c r="U698" s="301" t="s">
        <v>4060</v>
      </c>
      <c r="V698" s="301" t="s">
        <v>4060</v>
      </c>
      <c r="W698" s="298" t="s">
        <v>331</v>
      </c>
      <c r="X698" s="298" t="s">
        <v>306</v>
      </c>
    </row>
    <row r="699">
      <c r="A699" s="295" t="s">
        <v>4061</v>
      </c>
      <c r="B699" s="298">
        <v>6.0</v>
      </c>
      <c r="C699" s="298" t="s">
        <v>288</v>
      </c>
      <c r="D699" s="298" t="s">
        <v>334</v>
      </c>
      <c r="E699" s="298" t="s">
        <v>290</v>
      </c>
      <c r="F699" s="298" t="str">
        <f>'Character Sheet'!$C$9</f>
        <v/>
      </c>
      <c r="G699" s="298" t="s">
        <v>294</v>
      </c>
      <c r="H699" s="298" t="s">
        <v>295</v>
      </c>
      <c r="I699" s="298" t="s">
        <v>296</v>
      </c>
      <c r="J699" s="298" t="s">
        <v>4062</v>
      </c>
      <c r="K699" s="298" t="s">
        <v>298</v>
      </c>
      <c r="L699" s="298" t="s">
        <v>493</v>
      </c>
      <c r="M699" s="301" t="s">
        <v>315</v>
      </c>
      <c r="N699" s="301" t="s">
        <v>315</v>
      </c>
      <c r="O699" s="301" t="s">
        <v>315</v>
      </c>
      <c r="P699" s="301" t="s">
        <v>315</v>
      </c>
      <c r="Q699" s="301" t="s">
        <v>315</v>
      </c>
      <c r="R699" s="301" t="s">
        <v>4063</v>
      </c>
      <c r="S699" s="301" t="s">
        <v>4064</v>
      </c>
      <c r="T699" s="301" t="s">
        <v>4065</v>
      </c>
      <c r="U699" s="301" t="s">
        <v>4066</v>
      </c>
      <c r="V699" s="301" t="s">
        <v>4067</v>
      </c>
      <c r="W699" s="298" t="s">
        <v>429</v>
      </c>
      <c r="X699" s="298" t="s">
        <v>306</v>
      </c>
    </row>
    <row r="700">
      <c r="A700" s="295" t="s">
        <v>4068</v>
      </c>
      <c r="B700" s="298">
        <v>6.0</v>
      </c>
      <c r="C700" s="298" t="s">
        <v>522</v>
      </c>
      <c r="D700" s="298" t="s">
        <v>289</v>
      </c>
      <c r="E700" s="298" t="s">
        <v>311</v>
      </c>
      <c r="F700" s="298" t="str">
        <f>'Character Sheet'!$C$9</f>
        <v/>
      </c>
      <c r="G700" s="298" t="s">
        <v>294</v>
      </c>
      <c r="H700" s="298" t="s">
        <v>324</v>
      </c>
      <c r="I700" s="298" t="s">
        <v>324</v>
      </c>
      <c r="J700" s="298" t="s">
        <v>315</v>
      </c>
      <c r="K700" s="298" t="s">
        <v>325</v>
      </c>
      <c r="L700" s="298" t="s">
        <v>493</v>
      </c>
      <c r="M700" s="301" t="s">
        <v>315</v>
      </c>
      <c r="N700" s="301" t="s">
        <v>315</v>
      </c>
      <c r="O700" s="301" t="s">
        <v>315</v>
      </c>
      <c r="P700" s="301" t="s">
        <v>315</v>
      </c>
      <c r="Q700" s="301" t="s">
        <v>315</v>
      </c>
      <c r="R700" s="301" t="s">
        <v>4069</v>
      </c>
      <c r="S700" s="301" t="s">
        <v>4069</v>
      </c>
      <c r="T700" s="301" t="s">
        <v>4069</v>
      </c>
      <c r="U700" s="301" t="s">
        <v>4069</v>
      </c>
      <c r="V700" s="301" t="s">
        <v>4069</v>
      </c>
      <c r="W700" s="298" t="s">
        <v>389</v>
      </c>
      <c r="X700" s="298" t="s">
        <v>306</v>
      </c>
    </row>
    <row r="701">
      <c r="A701" s="295" t="s">
        <v>4070</v>
      </c>
      <c r="B701" s="298">
        <v>6.0</v>
      </c>
      <c r="C701" s="298" t="s">
        <v>288</v>
      </c>
      <c r="D701" s="298" t="s">
        <v>462</v>
      </c>
      <c r="E701" s="298" t="s">
        <v>311</v>
      </c>
      <c r="F701" s="298" t="str">
        <f>'Character Sheet'!$C$9</f>
        <v/>
      </c>
      <c r="G701" s="298" t="s">
        <v>294</v>
      </c>
      <c r="H701" s="298" t="s">
        <v>335</v>
      </c>
      <c r="I701" s="298" t="s">
        <v>4071</v>
      </c>
      <c r="J701" s="298" t="s">
        <v>315</v>
      </c>
      <c r="K701" s="298" t="s">
        <v>298</v>
      </c>
      <c r="L701" s="298" t="s">
        <v>493</v>
      </c>
      <c r="M701" s="301" t="s">
        <v>315</v>
      </c>
      <c r="N701" s="301" t="s">
        <v>315</v>
      </c>
      <c r="O701" s="301" t="s">
        <v>315</v>
      </c>
      <c r="P701" s="301" t="s">
        <v>315</v>
      </c>
      <c r="Q701" s="301" t="s">
        <v>315</v>
      </c>
      <c r="R701" s="301" t="s">
        <v>4072</v>
      </c>
      <c r="S701" s="301" t="s">
        <v>4072</v>
      </c>
      <c r="T701" s="301" t="s">
        <v>4072</v>
      </c>
      <c r="U701" s="301" t="s">
        <v>4072</v>
      </c>
      <c r="V701" s="301" t="s">
        <v>4072</v>
      </c>
      <c r="W701" s="298" t="s">
        <v>389</v>
      </c>
      <c r="X701" s="298" t="s">
        <v>306</v>
      </c>
    </row>
    <row r="702">
      <c r="A702" s="295" t="s">
        <v>4073</v>
      </c>
      <c r="B702" s="298">
        <v>6.0</v>
      </c>
      <c r="C702" s="298" t="s">
        <v>288</v>
      </c>
      <c r="D702" s="298" t="s">
        <v>310</v>
      </c>
      <c r="E702" s="298" t="s">
        <v>290</v>
      </c>
      <c r="F702" s="298" t="str">
        <f>'Character Sheet'!$C$9</f>
        <v/>
      </c>
      <c r="G702" s="298" t="s">
        <v>294</v>
      </c>
      <c r="H702" s="298" t="s">
        <v>360</v>
      </c>
      <c r="I702" s="298" t="s">
        <v>296</v>
      </c>
      <c r="J702" s="298" t="s">
        <v>4074</v>
      </c>
      <c r="K702" s="298" t="s">
        <v>632</v>
      </c>
      <c r="L702" s="298" t="s">
        <v>493</v>
      </c>
      <c r="M702" s="301" t="s">
        <v>315</v>
      </c>
      <c r="N702" s="301" t="s">
        <v>315</v>
      </c>
      <c r="O702" s="301" t="s">
        <v>315</v>
      </c>
      <c r="P702" s="301" t="s">
        <v>315</v>
      </c>
      <c r="Q702" s="301" t="s">
        <v>315</v>
      </c>
      <c r="R702" s="301" t="s">
        <v>4075</v>
      </c>
      <c r="S702" s="301" t="s">
        <v>4076</v>
      </c>
      <c r="T702" s="301" t="s">
        <v>4077</v>
      </c>
      <c r="U702" s="301" t="s">
        <v>4078</v>
      </c>
      <c r="V702" s="301" t="s">
        <v>4079</v>
      </c>
      <c r="W702" s="298" t="s">
        <v>429</v>
      </c>
      <c r="X702" s="298" t="s">
        <v>569</v>
      </c>
    </row>
    <row r="703">
      <c r="A703" s="295" t="s">
        <v>4080</v>
      </c>
      <c r="B703" s="298">
        <v>6.0</v>
      </c>
      <c r="C703" s="298" t="s">
        <v>288</v>
      </c>
      <c r="D703" s="298" t="s">
        <v>151</v>
      </c>
      <c r="E703" s="298" t="s">
        <v>311</v>
      </c>
      <c r="F703" s="298" t="str">
        <f>'Character Sheet'!$E$9</f>
        <v/>
      </c>
      <c r="G703" s="298" t="s">
        <v>674</v>
      </c>
      <c r="H703" s="298" t="s">
        <v>1278</v>
      </c>
      <c r="I703" s="298" t="s">
        <v>1998</v>
      </c>
      <c r="J703" s="298" t="s">
        <v>203</v>
      </c>
      <c r="K703" s="298" t="s">
        <v>325</v>
      </c>
      <c r="L703" s="298" t="s">
        <v>493</v>
      </c>
      <c r="M703" s="301" t="s">
        <v>315</v>
      </c>
      <c r="N703" s="301" t="s">
        <v>315</v>
      </c>
      <c r="O703" s="301" t="s">
        <v>315</v>
      </c>
      <c r="P703" s="301" t="s">
        <v>315</v>
      </c>
      <c r="Q703" s="301" t="s">
        <v>315</v>
      </c>
      <c r="R703" s="301" t="s">
        <v>4081</v>
      </c>
      <c r="S703" s="301" t="s">
        <v>4081</v>
      </c>
      <c r="T703" s="301" t="s">
        <v>4081</v>
      </c>
      <c r="U703" s="301" t="s">
        <v>4081</v>
      </c>
      <c r="V703" s="301" t="s">
        <v>4081</v>
      </c>
      <c r="W703" s="298" t="s">
        <v>499</v>
      </c>
      <c r="X703" s="298" t="s">
        <v>306</v>
      </c>
    </row>
    <row r="704">
      <c r="A704" s="295" t="s">
        <v>4082</v>
      </c>
      <c r="B704" s="298">
        <v>6.0</v>
      </c>
      <c r="C704" s="298" t="s">
        <v>522</v>
      </c>
      <c r="D704" s="298" t="s">
        <v>151</v>
      </c>
      <c r="E704" s="298" t="s">
        <v>290</v>
      </c>
      <c r="F704" s="298" t="s">
        <v>999</v>
      </c>
      <c r="G704" s="298" t="s">
        <v>674</v>
      </c>
      <c r="H704" s="298" t="s">
        <v>335</v>
      </c>
      <c r="I704" s="298" t="s">
        <v>4083</v>
      </c>
      <c r="J704" s="298" t="s">
        <v>315</v>
      </c>
      <c r="K704" s="298" t="s">
        <v>298</v>
      </c>
      <c r="L704" s="298" t="s">
        <v>493</v>
      </c>
      <c r="M704" s="301" t="s">
        <v>315</v>
      </c>
      <c r="N704" s="301" t="s">
        <v>315</v>
      </c>
      <c r="O704" s="301" t="s">
        <v>315</v>
      </c>
      <c r="P704" s="301" t="s">
        <v>315</v>
      </c>
      <c r="Q704" s="301" t="s">
        <v>315</v>
      </c>
      <c r="R704" s="301" t="s">
        <v>4084</v>
      </c>
      <c r="S704" s="301" t="s">
        <v>4085</v>
      </c>
      <c r="T704" s="301" t="s">
        <v>4086</v>
      </c>
      <c r="U704" s="301" t="s">
        <v>4087</v>
      </c>
      <c r="V704" s="301" t="s">
        <v>4088</v>
      </c>
      <c r="W704" s="298" t="s">
        <v>460</v>
      </c>
      <c r="X704" s="298" t="s">
        <v>306</v>
      </c>
    </row>
    <row r="705">
      <c r="A705" s="295" t="s">
        <v>4089</v>
      </c>
      <c r="B705" s="298">
        <v>6.0</v>
      </c>
      <c r="C705" s="298" t="s">
        <v>432</v>
      </c>
      <c r="D705" s="298" t="s">
        <v>421</v>
      </c>
      <c r="E705" s="298" t="s">
        <v>290</v>
      </c>
      <c r="F705" s="298" t="str">
        <f>'Character Sheet'!$E$9</f>
        <v/>
      </c>
      <c r="G705" s="298" t="s">
        <v>674</v>
      </c>
      <c r="H705" s="298" t="s">
        <v>335</v>
      </c>
      <c r="I705" s="298" t="s">
        <v>4090</v>
      </c>
      <c r="J705" s="298" t="s">
        <v>192</v>
      </c>
      <c r="K705" s="298" t="s">
        <v>325</v>
      </c>
      <c r="L705" s="298" t="s">
        <v>493</v>
      </c>
      <c r="M705" s="301" t="s">
        <v>315</v>
      </c>
      <c r="N705" s="301" t="s">
        <v>315</v>
      </c>
      <c r="O705" s="301" t="s">
        <v>315</v>
      </c>
      <c r="P705" s="301" t="s">
        <v>315</v>
      </c>
      <c r="Q705" s="301" t="s">
        <v>315</v>
      </c>
      <c r="R705" s="301" t="s">
        <v>4091</v>
      </c>
      <c r="S705" s="301" t="s">
        <v>4091</v>
      </c>
      <c r="T705" s="301" t="s">
        <v>4091</v>
      </c>
      <c r="U705" s="301" t="s">
        <v>4091</v>
      </c>
      <c r="V705" s="301" t="s">
        <v>4092</v>
      </c>
      <c r="W705" s="298" t="s">
        <v>331</v>
      </c>
      <c r="X705" s="298" t="s">
        <v>4093</v>
      </c>
    </row>
    <row r="706">
      <c r="A706" s="295" t="s">
        <v>4094</v>
      </c>
      <c r="B706" s="298">
        <v>6.0</v>
      </c>
      <c r="C706" s="298" t="s">
        <v>288</v>
      </c>
      <c r="D706" s="298" t="s">
        <v>310</v>
      </c>
      <c r="E706" s="298" t="s">
        <v>311</v>
      </c>
      <c r="F706" s="298" t="str">
        <f>'Character Sheet'!$C$9</f>
        <v/>
      </c>
      <c r="G706" s="298" t="s">
        <v>294</v>
      </c>
      <c r="H706" s="298" t="s">
        <v>324</v>
      </c>
      <c r="I706" s="298" t="s">
        <v>324</v>
      </c>
      <c r="J706" s="298" t="s">
        <v>315</v>
      </c>
      <c r="K706" s="298" t="s">
        <v>325</v>
      </c>
      <c r="L706" s="298" t="s">
        <v>493</v>
      </c>
      <c r="M706" s="301" t="s">
        <v>315</v>
      </c>
      <c r="N706" s="301" t="s">
        <v>315</v>
      </c>
      <c r="O706" s="301" t="s">
        <v>315</v>
      </c>
      <c r="P706" s="301" t="s">
        <v>315</v>
      </c>
      <c r="Q706" s="301" t="s">
        <v>315</v>
      </c>
      <c r="R706" s="301" t="s">
        <v>4095</v>
      </c>
      <c r="S706" s="301" t="s">
        <v>4095</v>
      </c>
      <c r="T706" s="301" t="s">
        <v>4095</v>
      </c>
      <c r="U706" s="301" t="s">
        <v>4095</v>
      </c>
      <c r="V706" s="301" t="s">
        <v>4095</v>
      </c>
      <c r="W706" s="298" t="s">
        <v>317</v>
      </c>
      <c r="X706" s="298" t="s">
        <v>306</v>
      </c>
    </row>
    <row r="707">
      <c r="A707" s="295" t="s">
        <v>4096</v>
      </c>
      <c r="B707" s="298">
        <v>6.0</v>
      </c>
      <c r="C707" s="298" t="s">
        <v>288</v>
      </c>
      <c r="D707" s="298" t="s">
        <v>151</v>
      </c>
      <c r="E707" s="298" t="s">
        <v>311</v>
      </c>
      <c r="F707" s="298" t="str">
        <f>'Character Sheet'!$K$9</f>
        <v/>
      </c>
      <c r="G707" s="298" t="s">
        <v>477</v>
      </c>
      <c r="H707" s="298" t="s">
        <v>295</v>
      </c>
      <c r="I707" s="298" t="s">
        <v>296</v>
      </c>
      <c r="J707" s="298" t="s">
        <v>192</v>
      </c>
      <c r="K707" s="298" t="s">
        <v>298</v>
      </c>
      <c r="L707" s="298" t="s">
        <v>493</v>
      </c>
      <c r="M707" s="301" t="s">
        <v>315</v>
      </c>
      <c r="N707" s="301" t="s">
        <v>315</v>
      </c>
      <c r="O707" s="301" t="s">
        <v>315</v>
      </c>
      <c r="P707" s="301" t="s">
        <v>315</v>
      </c>
      <c r="Q707" s="301" t="s">
        <v>315</v>
      </c>
      <c r="R707" s="301" t="s">
        <v>4097</v>
      </c>
      <c r="S707" s="301" t="s">
        <v>4097</v>
      </c>
      <c r="T707" s="301" t="s">
        <v>4097</v>
      </c>
      <c r="U707" s="301" t="s">
        <v>4097</v>
      </c>
      <c r="V707" s="301" t="s">
        <v>4097</v>
      </c>
      <c r="W707" s="298" t="s">
        <v>460</v>
      </c>
      <c r="X707" s="298" t="s">
        <v>318</v>
      </c>
    </row>
    <row r="708">
      <c r="A708" s="295" t="s">
        <v>4098</v>
      </c>
      <c r="B708" s="298">
        <v>6.0</v>
      </c>
      <c r="C708" s="298" t="s">
        <v>288</v>
      </c>
      <c r="D708" s="298" t="s">
        <v>334</v>
      </c>
      <c r="E708" s="298" t="s">
        <v>290</v>
      </c>
      <c r="F708" s="298" t="str">
        <f>'Character Sheet'!$C$9</f>
        <v/>
      </c>
      <c r="G708" s="298" t="s">
        <v>294</v>
      </c>
      <c r="H708" s="298" t="s">
        <v>324</v>
      </c>
      <c r="I708" s="298" t="s">
        <v>2051</v>
      </c>
      <c r="J708" s="298" t="s">
        <v>336</v>
      </c>
      <c r="K708" s="298" t="s">
        <v>298</v>
      </c>
      <c r="L708" s="298" t="s">
        <v>493</v>
      </c>
      <c r="M708" s="301" t="s">
        <v>315</v>
      </c>
      <c r="N708" s="301" t="s">
        <v>315</v>
      </c>
      <c r="O708" s="301" t="s">
        <v>315</v>
      </c>
      <c r="P708" s="301" t="s">
        <v>315</v>
      </c>
      <c r="Q708" s="301" t="s">
        <v>315</v>
      </c>
      <c r="R708" s="301" t="s">
        <v>4099</v>
      </c>
      <c r="S708" s="301" t="s">
        <v>4100</v>
      </c>
      <c r="T708" s="301" t="s">
        <v>4101</v>
      </c>
      <c r="U708" s="301" t="s">
        <v>4102</v>
      </c>
      <c r="V708" s="301" t="s">
        <v>4103</v>
      </c>
      <c r="W708" s="298" t="s">
        <v>331</v>
      </c>
      <c r="X708" s="298" t="s">
        <v>306</v>
      </c>
    </row>
    <row r="709">
      <c r="A709" s="295" t="s">
        <v>4104</v>
      </c>
      <c r="B709" s="298">
        <v>6.0</v>
      </c>
      <c r="C709" s="298" t="s">
        <v>288</v>
      </c>
      <c r="D709" s="298" t="s">
        <v>321</v>
      </c>
      <c r="E709" s="298" t="s">
        <v>311</v>
      </c>
      <c r="F709" s="298" t="str">
        <f>'Character Sheet'!$C$9</f>
        <v/>
      </c>
      <c r="G709" s="298" t="s">
        <v>2188</v>
      </c>
      <c r="H709" s="298" t="s">
        <v>352</v>
      </c>
      <c r="I709" s="298" t="s">
        <v>1413</v>
      </c>
      <c r="J709" s="298" t="s">
        <v>192</v>
      </c>
      <c r="K709" s="298" t="s">
        <v>424</v>
      </c>
      <c r="L709" s="298" t="s">
        <v>493</v>
      </c>
      <c r="M709" s="301" t="s">
        <v>315</v>
      </c>
      <c r="N709" s="301" t="s">
        <v>315</v>
      </c>
      <c r="O709" s="301" t="s">
        <v>315</v>
      </c>
      <c r="P709" s="301" t="s">
        <v>315</v>
      </c>
      <c r="Q709" s="301" t="s">
        <v>315</v>
      </c>
      <c r="R709" s="301" t="s">
        <v>4105</v>
      </c>
      <c r="S709" s="301" t="s">
        <v>4105</v>
      </c>
      <c r="T709" s="301" t="s">
        <v>4105</v>
      </c>
      <c r="U709" s="301" t="s">
        <v>4105</v>
      </c>
      <c r="V709" s="301" t="s">
        <v>4105</v>
      </c>
      <c r="W709" s="298" t="s">
        <v>460</v>
      </c>
      <c r="X709" s="298" t="s">
        <v>306</v>
      </c>
    </row>
    <row r="710">
      <c r="A710" s="295" t="s">
        <v>4106</v>
      </c>
      <c r="B710" s="298">
        <v>6.0</v>
      </c>
      <c r="C710" s="298" t="s">
        <v>288</v>
      </c>
      <c r="D710" s="298" t="s">
        <v>289</v>
      </c>
      <c r="E710" s="298" t="s">
        <v>290</v>
      </c>
      <c r="F710" s="298" t="str">
        <f>'Character Sheet'!$E$9</f>
        <v/>
      </c>
      <c r="G710" s="298" t="s">
        <v>674</v>
      </c>
      <c r="H710" s="298" t="s">
        <v>295</v>
      </c>
      <c r="I710" s="298" t="s">
        <v>4107</v>
      </c>
      <c r="J710" s="298" t="s">
        <v>315</v>
      </c>
      <c r="K710" s="298" t="s">
        <v>632</v>
      </c>
      <c r="L710" s="298" t="s">
        <v>493</v>
      </c>
      <c r="M710" s="301" t="s">
        <v>315</v>
      </c>
      <c r="N710" s="301" t="s">
        <v>315</v>
      </c>
      <c r="O710" s="301" t="s">
        <v>315</v>
      </c>
      <c r="P710" s="301" t="s">
        <v>315</v>
      </c>
      <c r="Q710" s="301" t="s">
        <v>315</v>
      </c>
      <c r="R710" s="301" t="s">
        <v>4108</v>
      </c>
      <c r="S710" s="301" t="s">
        <v>4108</v>
      </c>
      <c r="T710" s="301" t="s">
        <v>4109</v>
      </c>
      <c r="U710" s="301" t="s">
        <v>4109</v>
      </c>
      <c r="V710" s="301" t="s">
        <v>4110</v>
      </c>
      <c r="W710" s="298" t="s">
        <v>460</v>
      </c>
      <c r="X710" s="298" t="s">
        <v>306</v>
      </c>
    </row>
    <row r="711">
      <c r="A711" s="295" t="s">
        <v>4111</v>
      </c>
      <c r="B711" s="298">
        <v>6.0</v>
      </c>
      <c r="C711" s="298" t="s">
        <v>432</v>
      </c>
      <c r="D711" s="298" t="s">
        <v>310</v>
      </c>
      <c r="E711" s="298" t="s">
        <v>290</v>
      </c>
      <c r="F711" s="298" t="str">
        <f>'Character Sheet'!$K$9</f>
        <v/>
      </c>
      <c r="G711" s="298" t="s">
        <v>477</v>
      </c>
      <c r="H711" s="298" t="s">
        <v>360</v>
      </c>
      <c r="I711" s="298" t="s">
        <v>296</v>
      </c>
      <c r="J711" s="298" t="s">
        <v>315</v>
      </c>
      <c r="K711" s="298" t="s">
        <v>298</v>
      </c>
      <c r="L711" s="298" t="s">
        <v>493</v>
      </c>
      <c r="M711" s="301" t="s">
        <v>315</v>
      </c>
      <c r="N711" s="301" t="s">
        <v>315</v>
      </c>
      <c r="O711" s="301" t="s">
        <v>315</v>
      </c>
      <c r="P711" s="301" t="s">
        <v>315</v>
      </c>
      <c r="Q711" s="301" t="s">
        <v>315</v>
      </c>
      <c r="R711" s="301" t="s">
        <v>4112</v>
      </c>
      <c r="S711" s="301" t="s">
        <v>4112</v>
      </c>
      <c r="T711" s="301" t="s">
        <v>4112</v>
      </c>
      <c r="U711" s="301" t="s">
        <v>4113</v>
      </c>
      <c r="V711" s="301" t="s">
        <v>4113</v>
      </c>
      <c r="W711" s="298" t="s">
        <v>460</v>
      </c>
      <c r="X711" s="298" t="s">
        <v>4114</v>
      </c>
    </row>
    <row r="712">
      <c r="A712" s="295" t="s">
        <v>4115</v>
      </c>
      <c r="B712" s="298">
        <v>6.0</v>
      </c>
      <c r="C712" s="298" t="s">
        <v>288</v>
      </c>
      <c r="D712" s="298" t="s">
        <v>359</v>
      </c>
      <c r="E712" s="298" t="s">
        <v>290</v>
      </c>
      <c r="F712" s="298" t="str">
        <f>'Character Sheet'!$C$9</f>
        <v/>
      </c>
      <c r="G712" s="298" t="s">
        <v>294</v>
      </c>
      <c r="H712" s="298" t="s">
        <v>295</v>
      </c>
      <c r="I712" s="298" t="s">
        <v>4116</v>
      </c>
      <c r="J712" s="298" t="s">
        <v>192</v>
      </c>
      <c r="K712" s="298" t="s">
        <v>325</v>
      </c>
      <c r="L712" s="298" t="s">
        <v>493</v>
      </c>
      <c r="M712" s="301" t="s">
        <v>315</v>
      </c>
      <c r="N712" s="301" t="s">
        <v>315</v>
      </c>
      <c r="O712" s="301" t="s">
        <v>315</v>
      </c>
      <c r="P712" s="301" t="s">
        <v>315</v>
      </c>
      <c r="Q712" s="301" t="s">
        <v>315</v>
      </c>
      <c r="R712" s="301" t="s">
        <v>4117</v>
      </c>
      <c r="S712" s="301" t="s">
        <v>4117</v>
      </c>
      <c r="T712" s="301" t="s">
        <v>4117</v>
      </c>
      <c r="U712" s="301" t="s">
        <v>4118</v>
      </c>
      <c r="V712" s="301" t="s">
        <v>4118</v>
      </c>
      <c r="W712" s="298" t="s">
        <v>429</v>
      </c>
      <c r="X712" s="298" t="s">
        <v>306</v>
      </c>
    </row>
    <row r="713">
      <c r="A713" s="428" t="s">
        <v>4119</v>
      </c>
      <c r="B713" s="429">
        <v>6.0</v>
      </c>
      <c r="C713" s="429" t="s">
        <v>522</v>
      </c>
      <c r="D713" s="429" t="s">
        <v>289</v>
      </c>
      <c r="E713" s="429" t="s">
        <v>311</v>
      </c>
      <c r="F713" s="343" t="str">
        <f>'Character Sheet'!$E$9</f>
        <v/>
      </c>
      <c r="G713" s="343" t="s">
        <v>674</v>
      </c>
      <c r="H713" s="429" t="s">
        <v>352</v>
      </c>
      <c r="I713" s="429" t="s">
        <v>4120</v>
      </c>
      <c r="J713" s="429" t="s">
        <v>315</v>
      </c>
      <c r="K713" s="429" t="s">
        <v>424</v>
      </c>
      <c r="L713" s="343" t="s">
        <v>493</v>
      </c>
      <c r="M713" s="344" t="s">
        <v>315</v>
      </c>
      <c r="N713" s="344" t="s">
        <v>315</v>
      </c>
      <c r="O713" s="344" t="s">
        <v>315</v>
      </c>
      <c r="P713" s="344" t="s">
        <v>315</v>
      </c>
      <c r="Q713" s="344" t="s">
        <v>315</v>
      </c>
      <c r="R713" s="430" t="s">
        <v>4121</v>
      </c>
      <c r="S713" s="430" t="s">
        <v>4121</v>
      </c>
      <c r="T713" s="430" t="s">
        <v>4121</v>
      </c>
      <c r="U713" s="430" t="s">
        <v>4121</v>
      </c>
      <c r="V713" s="430" t="s">
        <v>4121</v>
      </c>
      <c r="W713" s="429" t="s">
        <v>460</v>
      </c>
      <c r="X713" s="429" t="s">
        <v>318</v>
      </c>
    </row>
    <row r="714">
      <c r="A714" s="295" t="s">
        <v>4122</v>
      </c>
      <c r="B714" s="298">
        <v>7.0</v>
      </c>
      <c r="C714" s="298" t="s">
        <v>288</v>
      </c>
      <c r="D714" s="298" t="s">
        <v>462</v>
      </c>
      <c r="E714" s="298" t="s">
        <v>290</v>
      </c>
      <c r="F714" s="298" t="str">
        <f>'Character Sheet'!$C$9</f>
        <v/>
      </c>
      <c r="G714" s="298" t="s">
        <v>294</v>
      </c>
      <c r="H714" s="298" t="s">
        <v>324</v>
      </c>
      <c r="I714" s="298" t="s">
        <v>324</v>
      </c>
      <c r="J714" s="298" t="s">
        <v>315</v>
      </c>
      <c r="K714" s="298" t="s">
        <v>632</v>
      </c>
      <c r="L714" s="298" t="s">
        <v>493</v>
      </c>
      <c r="M714" s="301" t="s">
        <v>315</v>
      </c>
      <c r="N714" s="301" t="s">
        <v>315</v>
      </c>
      <c r="O714" s="301" t="s">
        <v>315</v>
      </c>
      <c r="P714" s="301" t="s">
        <v>315</v>
      </c>
      <c r="Q714" s="301" t="s">
        <v>315</v>
      </c>
      <c r="R714" s="301" t="s">
        <v>315</v>
      </c>
      <c r="S714" s="301" t="s">
        <v>4123</v>
      </c>
      <c r="T714" s="301" t="s">
        <v>4123</v>
      </c>
      <c r="U714" s="301" t="s">
        <v>4124</v>
      </c>
      <c r="V714" s="301" t="s">
        <v>4124</v>
      </c>
      <c r="W714" s="298" t="s">
        <v>404</v>
      </c>
      <c r="X714" s="298" t="s">
        <v>318</v>
      </c>
    </row>
    <row r="715">
      <c r="A715" s="295" t="s">
        <v>4125</v>
      </c>
      <c r="B715" s="298">
        <v>7.0</v>
      </c>
      <c r="C715" s="298" t="s">
        <v>522</v>
      </c>
      <c r="D715" s="298" t="s">
        <v>289</v>
      </c>
      <c r="E715" s="298" t="s">
        <v>311</v>
      </c>
      <c r="F715" s="298" t="str">
        <f>'Character Sheet'!$C$9</f>
        <v/>
      </c>
      <c r="G715" s="298" t="s">
        <v>294</v>
      </c>
      <c r="H715" s="298" t="s">
        <v>324</v>
      </c>
      <c r="I715" s="298" t="s">
        <v>884</v>
      </c>
      <c r="J715" s="298" t="s">
        <v>336</v>
      </c>
      <c r="K715" s="298" t="s">
        <v>298</v>
      </c>
      <c r="L715" s="298" t="s">
        <v>493</v>
      </c>
      <c r="M715" s="301" t="s">
        <v>315</v>
      </c>
      <c r="N715" s="301" t="s">
        <v>315</v>
      </c>
      <c r="O715" s="301" t="s">
        <v>315</v>
      </c>
      <c r="P715" s="301" t="s">
        <v>315</v>
      </c>
      <c r="Q715" s="301" t="s">
        <v>315</v>
      </c>
      <c r="R715" s="301" t="s">
        <v>315</v>
      </c>
      <c r="S715" s="301" t="s">
        <v>4126</v>
      </c>
      <c r="T715" s="301" t="s">
        <v>4126</v>
      </c>
      <c r="U715" s="301" t="s">
        <v>4126</v>
      </c>
      <c r="V715" s="301" t="s">
        <v>4126</v>
      </c>
      <c r="W715" s="298" t="s">
        <v>357</v>
      </c>
      <c r="X715" s="298" t="s">
        <v>3743</v>
      </c>
    </row>
    <row r="716">
      <c r="A716" s="295" t="s">
        <v>4127</v>
      </c>
      <c r="B716" s="298">
        <v>7.0</v>
      </c>
      <c r="C716" s="298" t="s">
        <v>288</v>
      </c>
      <c r="D716" s="298" t="s">
        <v>421</v>
      </c>
      <c r="E716" s="298" t="s">
        <v>290</v>
      </c>
      <c r="F716" s="298" t="s">
        <v>999</v>
      </c>
      <c r="G716" s="298" t="s">
        <v>674</v>
      </c>
      <c r="H716" s="298" t="s">
        <v>324</v>
      </c>
      <c r="I716" s="298" t="s">
        <v>324</v>
      </c>
      <c r="J716" s="298" t="s">
        <v>315</v>
      </c>
      <c r="K716" s="298" t="s">
        <v>1972</v>
      </c>
      <c r="L716" s="298" t="s">
        <v>493</v>
      </c>
      <c r="M716" s="301" t="s">
        <v>315</v>
      </c>
      <c r="N716" s="301" t="s">
        <v>315</v>
      </c>
      <c r="O716" s="301" t="s">
        <v>315</v>
      </c>
      <c r="P716" s="301" t="s">
        <v>315</v>
      </c>
      <c r="Q716" s="301" t="s">
        <v>315</v>
      </c>
      <c r="R716" s="301" t="s">
        <v>315</v>
      </c>
      <c r="S716" s="301" t="s">
        <v>4128</v>
      </c>
      <c r="T716" s="301" t="s">
        <v>4129</v>
      </c>
      <c r="U716" s="301" t="s">
        <v>4130</v>
      </c>
      <c r="V716" s="301" t="s">
        <v>4131</v>
      </c>
      <c r="W716" s="298" t="s">
        <v>442</v>
      </c>
      <c r="X716" s="298" t="s">
        <v>306</v>
      </c>
    </row>
    <row r="717">
      <c r="A717" s="295" t="s">
        <v>4132</v>
      </c>
      <c r="B717" s="298">
        <v>7.0</v>
      </c>
      <c r="C717" s="298" t="s">
        <v>522</v>
      </c>
      <c r="D717" s="298" t="s">
        <v>289</v>
      </c>
      <c r="E717" s="298" t="s">
        <v>290</v>
      </c>
      <c r="F717" s="298" t="str">
        <f>'Character Sheet'!$C$9</f>
        <v/>
      </c>
      <c r="G717" s="298" t="s">
        <v>294</v>
      </c>
      <c r="H717" s="298" t="s">
        <v>324</v>
      </c>
      <c r="I717" s="298" t="s">
        <v>2304</v>
      </c>
      <c r="J717" s="298" t="s">
        <v>173</v>
      </c>
      <c r="K717" s="298" t="s">
        <v>424</v>
      </c>
      <c r="L717" s="298" t="s">
        <v>493</v>
      </c>
      <c r="M717" s="301" t="s">
        <v>315</v>
      </c>
      <c r="N717" s="301" t="s">
        <v>315</v>
      </c>
      <c r="O717" s="301" t="s">
        <v>315</v>
      </c>
      <c r="P717" s="301" t="s">
        <v>315</v>
      </c>
      <c r="Q717" s="301" t="s">
        <v>315</v>
      </c>
      <c r="R717" s="301" t="s">
        <v>315</v>
      </c>
      <c r="S717" s="301" t="s">
        <v>4133</v>
      </c>
      <c r="T717" s="301" t="s">
        <v>4134</v>
      </c>
      <c r="U717" s="301" t="s">
        <v>4135</v>
      </c>
      <c r="V717" s="301" t="s">
        <v>4136</v>
      </c>
      <c r="W717" s="298" t="s">
        <v>305</v>
      </c>
      <c r="X717" s="298" t="s">
        <v>3743</v>
      </c>
    </row>
    <row r="718">
      <c r="A718" s="295" t="s">
        <v>4137</v>
      </c>
      <c r="B718" s="298">
        <v>7.0</v>
      </c>
      <c r="C718" s="298" t="s">
        <v>288</v>
      </c>
      <c r="D718" s="298" t="s">
        <v>462</v>
      </c>
      <c r="E718" s="298" t="s">
        <v>290</v>
      </c>
      <c r="F718" s="298" t="str">
        <f>'Character Sheet'!$C$9</f>
        <v/>
      </c>
      <c r="G718" s="298" t="s">
        <v>294</v>
      </c>
      <c r="H718" s="298" t="s">
        <v>324</v>
      </c>
      <c r="I718" s="298" t="s">
        <v>324</v>
      </c>
      <c r="J718" s="298" t="s">
        <v>315</v>
      </c>
      <c r="K718" s="298" t="s">
        <v>632</v>
      </c>
      <c r="L718" s="298" t="s">
        <v>493</v>
      </c>
      <c r="M718" s="301" t="s">
        <v>315</v>
      </c>
      <c r="N718" s="301" t="s">
        <v>315</v>
      </c>
      <c r="O718" s="301" t="s">
        <v>315</v>
      </c>
      <c r="P718" s="301" t="s">
        <v>315</v>
      </c>
      <c r="Q718" s="301" t="s">
        <v>315</v>
      </c>
      <c r="R718" s="301" t="s">
        <v>315</v>
      </c>
      <c r="S718" s="301" t="s">
        <v>4138</v>
      </c>
      <c r="T718" s="301" t="s">
        <v>4138</v>
      </c>
      <c r="U718" s="301" t="s">
        <v>4139</v>
      </c>
      <c r="V718" s="301" t="s">
        <v>4139</v>
      </c>
      <c r="W718" s="298" t="s">
        <v>305</v>
      </c>
      <c r="X718" s="298" t="s">
        <v>318</v>
      </c>
    </row>
    <row r="719">
      <c r="A719" s="295" t="s">
        <v>4140</v>
      </c>
      <c r="B719" s="298">
        <v>7.0</v>
      </c>
      <c r="C719" s="298" t="s">
        <v>288</v>
      </c>
      <c r="D719" s="298" t="s">
        <v>462</v>
      </c>
      <c r="E719" s="298" t="s">
        <v>311</v>
      </c>
      <c r="F719" s="298" t="str">
        <f>'Character Sheet'!$C$9</f>
        <v/>
      </c>
      <c r="G719" s="298" t="s">
        <v>294</v>
      </c>
      <c r="H719" s="298" t="s">
        <v>324</v>
      </c>
      <c r="I719" s="298" t="s">
        <v>324</v>
      </c>
      <c r="J719" s="298" t="s">
        <v>315</v>
      </c>
      <c r="K719" s="298" t="s">
        <v>632</v>
      </c>
      <c r="L719" s="298" t="s">
        <v>493</v>
      </c>
      <c r="M719" s="301" t="s">
        <v>315</v>
      </c>
      <c r="N719" s="301" t="s">
        <v>315</v>
      </c>
      <c r="O719" s="301" t="s">
        <v>315</v>
      </c>
      <c r="P719" s="301" t="s">
        <v>315</v>
      </c>
      <c r="Q719" s="301" t="s">
        <v>315</v>
      </c>
      <c r="R719" s="301" t="s">
        <v>315</v>
      </c>
      <c r="S719" s="301" t="s">
        <v>4141</v>
      </c>
      <c r="T719" s="301" t="s">
        <v>4141</v>
      </c>
      <c r="U719" s="301" t="s">
        <v>4141</v>
      </c>
      <c r="V719" s="301" t="s">
        <v>4141</v>
      </c>
      <c r="W719" s="298" t="s">
        <v>389</v>
      </c>
      <c r="X719" s="298" t="s">
        <v>318</v>
      </c>
    </row>
    <row r="720">
      <c r="A720" s="295" t="s">
        <v>4142</v>
      </c>
      <c r="B720" s="298">
        <v>7.0</v>
      </c>
      <c r="C720" s="298" t="s">
        <v>522</v>
      </c>
      <c r="D720" s="298" t="s">
        <v>151</v>
      </c>
      <c r="E720" s="298" t="s">
        <v>311</v>
      </c>
      <c r="F720" s="298" t="str">
        <f>'Character Sheet'!$C$9</f>
        <v/>
      </c>
      <c r="G720" s="298" t="s">
        <v>294</v>
      </c>
      <c r="H720" s="298" t="s">
        <v>295</v>
      </c>
      <c r="I720" s="298" t="s">
        <v>296</v>
      </c>
      <c r="J720" s="298" t="s">
        <v>192</v>
      </c>
      <c r="K720" s="298" t="s">
        <v>1174</v>
      </c>
      <c r="L720" s="298" t="s">
        <v>493</v>
      </c>
      <c r="M720" s="301" t="s">
        <v>315</v>
      </c>
      <c r="N720" s="301" t="s">
        <v>315</v>
      </c>
      <c r="O720" s="301" t="s">
        <v>315</v>
      </c>
      <c r="P720" s="301" t="s">
        <v>315</v>
      </c>
      <c r="Q720" s="301" t="s">
        <v>315</v>
      </c>
      <c r="R720" s="301" t="s">
        <v>315</v>
      </c>
      <c r="S720" s="301" t="s">
        <v>4143</v>
      </c>
      <c r="T720" s="301" t="s">
        <v>4143</v>
      </c>
      <c r="U720" s="301" t="s">
        <v>4143</v>
      </c>
      <c r="V720" s="301" t="s">
        <v>4143</v>
      </c>
      <c r="W720" s="298" t="s">
        <v>536</v>
      </c>
      <c r="X720" s="298" t="s">
        <v>3701</v>
      </c>
    </row>
    <row r="721">
      <c r="A721" s="295" t="s">
        <v>4144</v>
      </c>
      <c r="B721" s="298">
        <v>7.0</v>
      </c>
      <c r="C721" s="298" t="s">
        <v>288</v>
      </c>
      <c r="D721" s="298" t="s">
        <v>289</v>
      </c>
      <c r="E721" s="298" t="s">
        <v>290</v>
      </c>
      <c r="F721" s="298" t="str">
        <f>'Character Sheet'!$C$9</f>
        <v/>
      </c>
      <c r="G721" s="298" t="s">
        <v>294</v>
      </c>
      <c r="H721" s="298" t="s">
        <v>1278</v>
      </c>
      <c r="I721" s="298" t="s">
        <v>296</v>
      </c>
      <c r="J721" s="298" t="s">
        <v>203</v>
      </c>
      <c r="K721" s="298" t="s">
        <v>298</v>
      </c>
      <c r="L721" s="298" t="s">
        <v>493</v>
      </c>
      <c r="M721" s="301" t="s">
        <v>315</v>
      </c>
      <c r="N721" s="301" t="s">
        <v>315</v>
      </c>
      <c r="O721" s="301" t="s">
        <v>315</v>
      </c>
      <c r="P721" s="301" t="s">
        <v>315</v>
      </c>
      <c r="Q721" s="301" t="s">
        <v>315</v>
      </c>
      <c r="R721" s="301" t="s">
        <v>315</v>
      </c>
      <c r="S721" s="301" t="s">
        <v>4146</v>
      </c>
      <c r="T721" s="301" t="s">
        <v>4146</v>
      </c>
      <c r="U721" s="301" t="s">
        <v>4147</v>
      </c>
      <c r="V721" s="301" t="s">
        <v>4147</v>
      </c>
      <c r="W721" s="298" t="s">
        <v>404</v>
      </c>
      <c r="X721" s="298" t="s">
        <v>318</v>
      </c>
    </row>
    <row r="722">
      <c r="A722" s="295" t="s">
        <v>4148</v>
      </c>
      <c r="B722" s="298">
        <v>7.0</v>
      </c>
      <c r="C722" s="298" t="s">
        <v>522</v>
      </c>
      <c r="D722" s="298" t="s">
        <v>421</v>
      </c>
      <c r="E722" s="298" t="s">
        <v>311</v>
      </c>
      <c r="F722" s="298" t="str">
        <f>'Character Sheet'!$C$9</f>
        <v/>
      </c>
      <c r="G722" s="298" t="s">
        <v>294</v>
      </c>
      <c r="H722" s="298" t="s">
        <v>352</v>
      </c>
      <c r="I722" s="298" t="s">
        <v>2254</v>
      </c>
      <c r="J722" s="298" t="s">
        <v>315</v>
      </c>
      <c r="K722" s="298" t="s">
        <v>1972</v>
      </c>
      <c r="L722" s="298" t="s">
        <v>493</v>
      </c>
      <c r="M722" s="301" t="s">
        <v>315</v>
      </c>
      <c r="N722" s="301" t="s">
        <v>315</v>
      </c>
      <c r="O722" s="301" t="s">
        <v>315</v>
      </c>
      <c r="P722" s="301" t="s">
        <v>315</v>
      </c>
      <c r="Q722" s="301" t="s">
        <v>315</v>
      </c>
      <c r="R722" s="301" t="s">
        <v>315</v>
      </c>
      <c r="S722" s="301" t="s">
        <v>4149</v>
      </c>
      <c r="T722" s="301" t="s">
        <v>4149</v>
      </c>
      <c r="U722" s="301" t="s">
        <v>4149</v>
      </c>
      <c r="V722" s="301" t="s">
        <v>4149</v>
      </c>
      <c r="W722" s="298" t="s">
        <v>331</v>
      </c>
      <c r="X722" s="298" t="s">
        <v>306</v>
      </c>
    </row>
    <row r="723">
      <c r="A723" s="295" t="s">
        <v>4150</v>
      </c>
      <c r="B723" s="298">
        <v>7.0</v>
      </c>
      <c r="C723" s="298" t="s">
        <v>288</v>
      </c>
      <c r="D723" s="298" t="s">
        <v>289</v>
      </c>
      <c r="E723" s="298" t="s">
        <v>290</v>
      </c>
      <c r="F723" s="298" t="str">
        <f>'Character Sheet'!$C$9</f>
        <v/>
      </c>
      <c r="G723" s="298" t="s">
        <v>294</v>
      </c>
      <c r="H723" s="298" t="s">
        <v>324</v>
      </c>
      <c r="I723" s="298" t="s">
        <v>4046</v>
      </c>
      <c r="J723" s="298" t="s">
        <v>173</v>
      </c>
      <c r="K723" s="298" t="s">
        <v>298</v>
      </c>
      <c r="L723" s="298" t="s">
        <v>493</v>
      </c>
      <c r="M723" s="301" t="s">
        <v>315</v>
      </c>
      <c r="N723" s="301" t="s">
        <v>315</v>
      </c>
      <c r="O723" s="301" t="s">
        <v>315</v>
      </c>
      <c r="P723" s="301" t="s">
        <v>315</v>
      </c>
      <c r="Q723" s="301" t="s">
        <v>315</v>
      </c>
      <c r="R723" s="301" t="s">
        <v>315</v>
      </c>
      <c r="S723" s="301" t="s">
        <v>4151</v>
      </c>
      <c r="T723" s="301" t="s">
        <v>4152</v>
      </c>
      <c r="U723" s="301" t="s">
        <v>4153</v>
      </c>
      <c r="V723" s="301" t="s">
        <v>4154</v>
      </c>
      <c r="W723" s="298" t="s">
        <v>404</v>
      </c>
      <c r="X723" s="298" t="s">
        <v>306</v>
      </c>
    </row>
    <row r="724">
      <c r="A724" s="295" t="s">
        <v>4155</v>
      </c>
      <c r="B724" s="298">
        <v>7.0</v>
      </c>
      <c r="C724" s="298" t="s">
        <v>288</v>
      </c>
      <c r="D724" s="298" t="s">
        <v>334</v>
      </c>
      <c r="E724" s="298" t="s">
        <v>290</v>
      </c>
      <c r="F724" s="298" t="str">
        <f>'Character Sheet'!$C$9</f>
        <v/>
      </c>
      <c r="G724" s="298" t="s">
        <v>294</v>
      </c>
      <c r="H724" s="298" t="s">
        <v>324</v>
      </c>
      <c r="I724" s="298" t="s">
        <v>324</v>
      </c>
      <c r="J724" s="298" t="s">
        <v>315</v>
      </c>
      <c r="K724" s="298" t="s">
        <v>632</v>
      </c>
      <c r="L724" s="298" t="s">
        <v>493</v>
      </c>
      <c r="M724" s="301" t="s">
        <v>315</v>
      </c>
      <c r="N724" s="301" t="s">
        <v>315</v>
      </c>
      <c r="O724" s="301" t="s">
        <v>315</v>
      </c>
      <c r="P724" s="301" t="s">
        <v>315</v>
      </c>
      <c r="Q724" s="301" t="s">
        <v>315</v>
      </c>
      <c r="R724" s="301" t="s">
        <v>315</v>
      </c>
      <c r="S724" s="301" t="s">
        <v>4156</v>
      </c>
      <c r="T724" s="301" t="s">
        <v>4156</v>
      </c>
      <c r="U724" s="301" t="s">
        <v>4157</v>
      </c>
      <c r="V724" s="301" t="s">
        <v>4157</v>
      </c>
      <c r="W724" s="298" t="s">
        <v>404</v>
      </c>
      <c r="X724" s="298" t="s">
        <v>306</v>
      </c>
    </row>
    <row r="725">
      <c r="A725" s="295" t="s">
        <v>4158</v>
      </c>
      <c r="B725" s="298">
        <v>7.0</v>
      </c>
      <c r="C725" s="298" t="s">
        <v>288</v>
      </c>
      <c r="D725" s="298" t="s">
        <v>151</v>
      </c>
      <c r="E725" s="298" t="s">
        <v>290</v>
      </c>
      <c r="F725" s="298" t="str">
        <f>'Character Sheet'!$E$9</f>
        <v/>
      </c>
      <c r="G725" s="298" t="s">
        <v>674</v>
      </c>
      <c r="H725" s="298" t="s">
        <v>295</v>
      </c>
      <c r="I725" s="298" t="s">
        <v>296</v>
      </c>
      <c r="J725" s="298" t="s">
        <v>173</v>
      </c>
      <c r="K725" s="298" t="s">
        <v>424</v>
      </c>
      <c r="L725" s="298" t="s">
        <v>493</v>
      </c>
      <c r="M725" s="301" t="s">
        <v>315</v>
      </c>
      <c r="N725" s="301" t="s">
        <v>315</v>
      </c>
      <c r="O725" s="301" t="s">
        <v>315</v>
      </c>
      <c r="P725" s="301" t="s">
        <v>315</v>
      </c>
      <c r="Q725" s="301" t="s">
        <v>315</v>
      </c>
      <c r="R725" s="301" t="s">
        <v>315</v>
      </c>
      <c r="S725" s="301" t="s">
        <v>4159</v>
      </c>
      <c r="T725" s="301" t="s">
        <v>4160</v>
      </c>
      <c r="U725" s="301" t="s">
        <v>4161</v>
      </c>
      <c r="V725" s="301" t="s">
        <v>4162</v>
      </c>
      <c r="W725" s="298" t="s">
        <v>460</v>
      </c>
      <c r="X725" s="298" t="s">
        <v>306</v>
      </c>
    </row>
    <row r="726">
      <c r="A726" s="295" t="s">
        <v>4163</v>
      </c>
      <c r="B726" s="298">
        <v>7.0</v>
      </c>
      <c r="C726" s="298" t="s">
        <v>288</v>
      </c>
      <c r="D726" s="298" t="s">
        <v>334</v>
      </c>
      <c r="E726" s="298" t="s">
        <v>290</v>
      </c>
      <c r="F726" s="298" t="str">
        <f>'Character Sheet'!$C$9</f>
        <v/>
      </c>
      <c r="G726" s="298" t="s">
        <v>294</v>
      </c>
      <c r="H726" s="298" t="s">
        <v>1278</v>
      </c>
      <c r="I726" s="298" t="s">
        <v>2254</v>
      </c>
      <c r="J726" s="298" t="s">
        <v>180</v>
      </c>
      <c r="K726" s="298" t="s">
        <v>298</v>
      </c>
      <c r="L726" s="298" t="s">
        <v>493</v>
      </c>
      <c r="M726" s="301" t="s">
        <v>315</v>
      </c>
      <c r="N726" s="301" t="s">
        <v>315</v>
      </c>
      <c r="O726" s="301" t="s">
        <v>315</v>
      </c>
      <c r="P726" s="301" t="s">
        <v>315</v>
      </c>
      <c r="Q726" s="301" t="s">
        <v>315</v>
      </c>
      <c r="R726" s="301" t="s">
        <v>315</v>
      </c>
      <c r="S726" s="301" t="s">
        <v>4164</v>
      </c>
      <c r="T726" s="301" t="s">
        <v>4165</v>
      </c>
      <c r="U726" s="301" t="s">
        <v>4166</v>
      </c>
      <c r="V726" s="301" t="s">
        <v>4167</v>
      </c>
      <c r="W726" s="298" t="s">
        <v>993</v>
      </c>
      <c r="X726" s="298" t="s">
        <v>306</v>
      </c>
    </row>
    <row r="727">
      <c r="A727" s="295" t="s">
        <v>4168</v>
      </c>
      <c r="B727" s="298">
        <v>7.0</v>
      </c>
      <c r="C727" s="298" t="s">
        <v>288</v>
      </c>
      <c r="D727" s="298" t="s">
        <v>421</v>
      </c>
      <c r="E727" s="298" t="s">
        <v>290</v>
      </c>
      <c r="F727" s="298" t="s">
        <v>625</v>
      </c>
      <c r="G727" s="298" t="s">
        <v>674</v>
      </c>
      <c r="H727" s="298" t="s">
        <v>335</v>
      </c>
      <c r="I727" s="298" t="s">
        <v>296</v>
      </c>
      <c r="J727" s="298" t="s">
        <v>315</v>
      </c>
      <c r="K727" s="298" t="s">
        <v>1972</v>
      </c>
      <c r="L727" s="298" t="s">
        <v>493</v>
      </c>
      <c r="M727" s="301" t="s">
        <v>315</v>
      </c>
      <c r="N727" s="301" t="s">
        <v>315</v>
      </c>
      <c r="O727" s="301" t="s">
        <v>315</v>
      </c>
      <c r="P727" s="301" t="s">
        <v>315</v>
      </c>
      <c r="Q727" s="301" t="s">
        <v>315</v>
      </c>
      <c r="R727" s="301" t="s">
        <v>315</v>
      </c>
      <c r="S727" s="301" t="s">
        <v>4169</v>
      </c>
      <c r="T727" s="301" t="s">
        <v>4169</v>
      </c>
      <c r="U727" s="301" t="s">
        <v>4170</v>
      </c>
      <c r="V727" s="301" t="s">
        <v>4170</v>
      </c>
      <c r="W727" s="298" t="s">
        <v>317</v>
      </c>
      <c r="X727" s="298" t="s">
        <v>306</v>
      </c>
    </row>
    <row r="728">
      <c r="A728" s="295" t="s">
        <v>4171</v>
      </c>
      <c r="B728" s="298">
        <v>7.0</v>
      </c>
      <c r="C728" s="298" t="s">
        <v>522</v>
      </c>
      <c r="D728" s="298" t="s">
        <v>359</v>
      </c>
      <c r="E728" s="298" t="s">
        <v>311</v>
      </c>
      <c r="F728" s="298" t="str">
        <f>'Character Sheet'!$C$9</f>
        <v/>
      </c>
      <c r="G728" s="298" t="s">
        <v>294</v>
      </c>
      <c r="H728" s="298" t="s">
        <v>324</v>
      </c>
      <c r="I728" s="298" t="s">
        <v>861</v>
      </c>
      <c r="J728" s="298" t="s">
        <v>192</v>
      </c>
      <c r="K728" s="298" t="s">
        <v>424</v>
      </c>
      <c r="L728" s="298" t="s">
        <v>493</v>
      </c>
      <c r="M728" s="301" t="s">
        <v>315</v>
      </c>
      <c r="N728" s="301" t="s">
        <v>315</v>
      </c>
      <c r="O728" s="301" t="s">
        <v>315</v>
      </c>
      <c r="P728" s="301" t="s">
        <v>315</v>
      </c>
      <c r="Q728" s="301" t="s">
        <v>315</v>
      </c>
      <c r="R728" s="301" t="s">
        <v>315</v>
      </c>
      <c r="S728" s="301" t="s">
        <v>4172</v>
      </c>
      <c r="T728" s="301" t="s">
        <v>4172</v>
      </c>
      <c r="U728" s="301" t="s">
        <v>4172</v>
      </c>
      <c r="V728" s="301" t="s">
        <v>4172</v>
      </c>
      <c r="W728" s="298" t="s">
        <v>442</v>
      </c>
      <c r="X728" s="298" t="s">
        <v>3308</v>
      </c>
    </row>
    <row r="729">
      <c r="A729" s="295" t="s">
        <v>4173</v>
      </c>
      <c r="B729" s="298">
        <v>7.0</v>
      </c>
      <c r="C729" s="298" t="s">
        <v>522</v>
      </c>
      <c r="D729" s="298" t="s">
        <v>151</v>
      </c>
      <c r="E729" s="298" t="s">
        <v>290</v>
      </c>
      <c r="F729" s="298" t="str">
        <f>'Character Sheet'!$C$9</f>
        <v/>
      </c>
      <c r="G729" s="298" t="s">
        <v>294</v>
      </c>
      <c r="H729" s="298" t="s">
        <v>324</v>
      </c>
      <c r="I729" s="298" t="s">
        <v>324</v>
      </c>
      <c r="J729" s="298" t="s">
        <v>315</v>
      </c>
      <c r="K729" s="298" t="s">
        <v>424</v>
      </c>
      <c r="L729" s="298" t="s">
        <v>493</v>
      </c>
      <c r="M729" s="301" t="s">
        <v>315</v>
      </c>
      <c r="N729" s="301" t="s">
        <v>315</v>
      </c>
      <c r="O729" s="301" t="s">
        <v>315</v>
      </c>
      <c r="P729" s="301" t="s">
        <v>315</v>
      </c>
      <c r="Q729" s="301" t="s">
        <v>315</v>
      </c>
      <c r="R729" s="301" t="s">
        <v>315</v>
      </c>
      <c r="S729" s="301" t="s">
        <v>4174</v>
      </c>
      <c r="T729" s="301" t="s">
        <v>4174</v>
      </c>
      <c r="U729" s="301" t="s">
        <v>4175</v>
      </c>
      <c r="V729" s="301" t="s">
        <v>4175</v>
      </c>
      <c r="W729" s="298" t="s">
        <v>429</v>
      </c>
      <c r="X729" s="298" t="s">
        <v>306</v>
      </c>
    </row>
    <row r="730">
      <c r="A730" s="295" t="s">
        <v>4176</v>
      </c>
      <c r="B730" s="298">
        <v>7.0</v>
      </c>
      <c r="C730" s="298" t="s">
        <v>288</v>
      </c>
      <c r="D730" s="298" t="s">
        <v>462</v>
      </c>
      <c r="E730" s="298" t="s">
        <v>290</v>
      </c>
      <c r="F730" s="298" t="str">
        <f>'Character Sheet'!$C$9</f>
        <v/>
      </c>
      <c r="G730" s="298" t="s">
        <v>294</v>
      </c>
      <c r="H730" s="298" t="s">
        <v>324</v>
      </c>
      <c r="I730" s="298" t="s">
        <v>324</v>
      </c>
      <c r="J730" s="298" t="s">
        <v>315</v>
      </c>
      <c r="K730" s="298" t="s">
        <v>632</v>
      </c>
      <c r="L730" s="298" t="s">
        <v>493</v>
      </c>
      <c r="M730" s="301" t="s">
        <v>315</v>
      </c>
      <c r="N730" s="301" t="s">
        <v>315</v>
      </c>
      <c r="O730" s="301" t="s">
        <v>315</v>
      </c>
      <c r="P730" s="301" t="s">
        <v>315</v>
      </c>
      <c r="Q730" s="301" t="s">
        <v>315</v>
      </c>
      <c r="R730" s="301" t="s">
        <v>315</v>
      </c>
      <c r="S730" s="301" t="s">
        <v>4177</v>
      </c>
      <c r="T730" s="301" t="s">
        <v>4177</v>
      </c>
      <c r="U730" s="301" t="s">
        <v>4178</v>
      </c>
      <c r="V730" s="301" t="s">
        <v>4178</v>
      </c>
      <c r="W730" s="298" t="s">
        <v>305</v>
      </c>
      <c r="X730" s="298" t="s">
        <v>306</v>
      </c>
    </row>
    <row r="731">
      <c r="A731" s="295" t="s">
        <v>4179</v>
      </c>
      <c r="B731" s="298">
        <v>7.0</v>
      </c>
      <c r="C731" s="298" t="s">
        <v>288</v>
      </c>
      <c r="D731" s="298" t="s">
        <v>334</v>
      </c>
      <c r="E731" s="298" t="s">
        <v>290</v>
      </c>
      <c r="F731" s="298" t="str">
        <f>'Character Sheet'!$C$9</f>
        <v/>
      </c>
      <c r="G731" s="298" t="s">
        <v>294</v>
      </c>
      <c r="H731" s="298" t="s">
        <v>295</v>
      </c>
      <c r="I731" s="298" t="s">
        <v>2038</v>
      </c>
      <c r="J731" s="298" t="s">
        <v>336</v>
      </c>
      <c r="K731" s="298" t="s">
        <v>298</v>
      </c>
      <c r="L731" s="298" t="s">
        <v>493</v>
      </c>
      <c r="M731" s="301" t="s">
        <v>315</v>
      </c>
      <c r="N731" s="301" t="s">
        <v>315</v>
      </c>
      <c r="O731" s="301" t="s">
        <v>315</v>
      </c>
      <c r="P731" s="301" t="s">
        <v>315</v>
      </c>
      <c r="Q731" s="301" t="s">
        <v>315</v>
      </c>
      <c r="R731" s="301" t="s">
        <v>315</v>
      </c>
      <c r="S731" s="301" t="s">
        <v>4180</v>
      </c>
      <c r="T731" s="301" t="s">
        <v>4181</v>
      </c>
      <c r="U731" s="301" t="s">
        <v>4182</v>
      </c>
      <c r="V731" s="301" t="s">
        <v>4183</v>
      </c>
      <c r="W731" s="298" t="s">
        <v>389</v>
      </c>
      <c r="X731" s="298" t="s">
        <v>306</v>
      </c>
    </row>
    <row r="732">
      <c r="A732" s="295" t="s">
        <v>4184</v>
      </c>
      <c r="B732" s="298">
        <v>7.0</v>
      </c>
      <c r="C732" s="298" t="s">
        <v>288</v>
      </c>
      <c r="D732" s="298" t="s">
        <v>289</v>
      </c>
      <c r="E732" s="298" t="s">
        <v>311</v>
      </c>
      <c r="F732" s="298" t="str">
        <f>'Character Sheet'!$E$9</f>
        <v/>
      </c>
      <c r="G732" s="298" t="s">
        <v>674</v>
      </c>
      <c r="H732" s="298" t="s">
        <v>295</v>
      </c>
      <c r="I732" s="298" t="s">
        <v>924</v>
      </c>
      <c r="J732" s="298" t="s">
        <v>180</v>
      </c>
      <c r="K732" s="298" t="s">
        <v>424</v>
      </c>
      <c r="L732" s="298" t="s">
        <v>493</v>
      </c>
      <c r="M732" s="301" t="s">
        <v>315</v>
      </c>
      <c r="N732" s="301" t="s">
        <v>315</v>
      </c>
      <c r="O732" s="301" t="s">
        <v>315</v>
      </c>
      <c r="P732" s="301" t="s">
        <v>315</v>
      </c>
      <c r="Q732" s="301" t="s">
        <v>315</v>
      </c>
      <c r="R732" s="301" t="s">
        <v>315</v>
      </c>
      <c r="S732" s="301" t="s">
        <v>4185</v>
      </c>
      <c r="T732" s="301" t="s">
        <v>4185</v>
      </c>
      <c r="U732" s="301" t="s">
        <v>4185</v>
      </c>
      <c r="V732" s="301" t="s">
        <v>4185</v>
      </c>
      <c r="W732" s="298" t="s">
        <v>460</v>
      </c>
      <c r="X732" s="298" t="s">
        <v>678</v>
      </c>
    </row>
    <row r="733">
      <c r="A733" s="295" t="s">
        <v>4186</v>
      </c>
      <c r="B733" s="298">
        <v>7.0</v>
      </c>
      <c r="C733" s="298" t="s">
        <v>288</v>
      </c>
      <c r="D733" s="298" t="s">
        <v>289</v>
      </c>
      <c r="E733" s="298" t="s">
        <v>290</v>
      </c>
      <c r="F733" s="298" t="str">
        <f>'Character Sheet'!$C$9</f>
        <v/>
      </c>
      <c r="G733" s="298" t="s">
        <v>294</v>
      </c>
      <c r="H733" s="298" t="s">
        <v>324</v>
      </c>
      <c r="I733" s="298" t="s">
        <v>2831</v>
      </c>
      <c r="J733" s="298" t="s">
        <v>4074</v>
      </c>
      <c r="K733" s="298" t="s">
        <v>298</v>
      </c>
      <c r="L733" s="298" t="s">
        <v>493</v>
      </c>
      <c r="M733" s="301" t="s">
        <v>315</v>
      </c>
      <c r="N733" s="301" t="s">
        <v>315</v>
      </c>
      <c r="O733" s="301" t="s">
        <v>315</v>
      </c>
      <c r="P733" s="301" t="s">
        <v>315</v>
      </c>
      <c r="Q733" s="301" t="s">
        <v>315</v>
      </c>
      <c r="R733" s="301" t="s">
        <v>315</v>
      </c>
      <c r="S733" s="301" t="s">
        <v>4187</v>
      </c>
      <c r="T733" s="301" t="s">
        <v>4188</v>
      </c>
      <c r="U733" s="301" t="s">
        <v>4189</v>
      </c>
      <c r="V733" s="301" t="s">
        <v>4190</v>
      </c>
      <c r="W733" s="298" t="s">
        <v>305</v>
      </c>
      <c r="X733" s="298" t="s">
        <v>318</v>
      </c>
    </row>
    <row r="734">
      <c r="A734" s="295" t="s">
        <v>4191</v>
      </c>
      <c r="B734" s="298">
        <v>7.0</v>
      </c>
      <c r="C734" s="298" t="s">
        <v>288</v>
      </c>
      <c r="D734" s="298" t="s">
        <v>359</v>
      </c>
      <c r="E734" s="298" t="s">
        <v>311</v>
      </c>
      <c r="F734" s="298" t="str">
        <f>'Character Sheet'!$C$9</f>
        <v/>
      </c>
      <c r="G734" s="298" t="s">
        <v>294</v>
      </c>
      <c r="H734" s="298" t="s">
        <v>295</v>
      </c>
      <c r="I734" s="298" t="s">
        <v>2549</v>
      </c>
      <c r="J734" s="298" t="s">
        <v>192</v>
      </c>
      <c r="K734" s="298" t="s">
        <v>1174</v>
      </c>
      <c r="L734" s="298" t="s">
        <v>493</v>
      </c>
      <c r="M734" s="301" t="s">
        <v>315</v>
      </c>
      <c r="N734" s="301" t="s">
        <v>315</v>
      </c>
      <c r="O734" s="301" t="s">
        <v>315</v>
      </c>
      <c r="P734" s="301" t="s">
        <v>315</v>
      </c>
      <c r="Q734" s="301" t="s">
        <v>315</v>
      </c>
      <c r="R734" s="301" t="s">
        <v>315</v>
      </c>
      <c r="S734" s="301" t="s">
        <v>4192</v>
      </c>
      <c r="T734" s="301" t="s">
        <v>4192</v>
      </c>
      <c r="U734" s="301" t="s">
        <v>4192</v>
      </c>
      <c r="V734" s="301" t="s">
        <v>4192</v>
      </c>
      <c r="W734" s="298" t="s">
        <v>331</v>
      </c>
      <c r="X734" s="298" t="s">
        <v>318</v>
      </c>
    </row>
    <row r="735">
      <c r="A735" s="295" t="s">
        <v>4193</v>
      </c>
      <c r="B735" s="298">
        <v>7.0</v>
      </c>
      <c r="C735" s="298" t="s">
        <v>288</v>
      </c>
      <c r="D735" s="298" t="s">
        <v>334</v>
      </c>
      <c r="E735" s="298" t="s">
        <v>311</v>
      </c>
      <c r="F735" s="298" t="str">
        <f>'Character Sheet'!$C$9</f>
        <v/>
      </c>
      <c r="G735" s="298" t="s">
        <v>294</v>
      </c>
      <c r="H735" s="298" t="s">
        <v>335</v>
      </c>
      <c r="I735" s="298" t="s">
        <v>296</v>
      </c>
      <c r="J735" s="298" t="s">
        <v>173</v>
      </c>
      <c r="K735" s="298" t="s">
        <v>298</v>
      </c>
      <c r="L735" s="298" t="s">
        <v>493</v>
      </c>
      <c r="M735" s="301" t="s">
        <v>315</v>
      </c>
      <c r="N735" s="301" t="s">
        <v>315</v>
      </c>
      <c r="O735" s="301" t="s">
        <v>315</v>
      </c>
      <c r="P735" s="301" t="s">
        <v>315</v>
      </c>
      <c r="Q735" s="301" t="s">
        <v>315</v>
      </c>
      <c r="R735" s="301" t="s">
        <v>315</v>
      </c>
      <c r="S735" s="301" t="s">
        <v>4194</v>
      </c>
      <c r="T735" s="301" t="s">
        <v>4194</v>
      </c>
      <c r="U735" s="301" t="s">
        <v>4194</v>
      </c>
      <c r="V735" s="301" t="s">
        <v>4194</v>
      </c>
      <c r="W735" s="298" t="s">
        <v>460</v>
      </c>
      <c r="X735" s="298" t="s">
        <v>2163</v>
      </c>
    </row>
    <row r="736">
      <c r="A736" s="295" t="s">
        <v>4195</v>
      </c>
      <c r="B736" s="298">
        <v>7.0</v>
      </c>
      <c r="C736" s="298" t="s">
        <v>522</v>
      </c>
      <c r="D736" s="298" t="s">
        <v>151</v>
      </c>
      <c r="E736" s="298" t="s">
        <v>311</v>
      </c>
      <c r="F736" s="298" t="s">
        <v>625</v>
      </c>
      <c r="G736" s="298" t="s">
        <v>674</v>
      </c>
      <c r="H736" s="298" t="s">
        <v>295</v>
      </c>
      <c r="I736" s="298" t="s">
        <v>315</v>
      </c>
      <c r="J736" s="298" t="s">
        <v>315</v>
      </c>
      <c r="K736" s="298" t="s">
        <v>1972</v>
      </c>
      <c r="L736" s="298" t="s">
        <v>493</v>
      </c>
      <c r="M736" s="301" t="s">
        <v>315</v>
      </c>
      <c r="N736" s="301" t="s">
        <v>315</v>
      </c>
      <c r="O736" s="301" t="s">
        <v>315</v>
      </c>
      <c r="P736" s="301" t="s">
        <v>315</v>
      </c>
      <c r="Q736" s="301" t="s">
        <v>315</v>
      </c>
      <c r="R736" s="301" t="s">
        <v>315</v>
      </c>
      <c r="S736" s="301" t="s">
        <v>4196</v>
      </c>
      <c r="T736" s="301" t="s">
        <v>4196</v>
      </c>
      <c r="U736" s="301" t="s">
        <v>4196</v>
      </c>
      <c r="V736" s="301" t="s">
        <v>4196</v>
      </c>
      <c r="W736" s="298" t="s">
        <v>460</v>
      </c>
      <c r="X736" s="298" t="s">
        <v>306</v>
      </c>
    </row>
    <row r="737">
      <c r="A737" s="295" t="s">
        <v>4197</v>
      </c>
      <c r="B737" s="298">
        <v>7.0</v>
      </c>
      <c r="C737" s="298" t="s">
        <v>288</v>
      </c>
      <c r="D737" s="298" t="s">
        <v>321</v>
      </c>
      <c r="E737" s="298" t="s">
        <v>290</v>
      </c>
      <c r="F737" s="298" t="str">
        <f>'Character Sheet'!$C$9</f>
        <v/>
      </c>
      <c r="G737" s="298" t="s">
        <v>294</v>
      </c>
      <c r="H737" s="298" t="s">
        <v>295</v>
      </c>
      <c r="I737" s="298" t="s">
        <v>296</v>
      </c>
      <c r="J737" s="298" t="s">
        <v>192</v>
      </c>
      <c r="K737" s="298" t="s">
        <v>632</v>
      </c>
      <c r="L737" s="298" t="s">
        <v>493</v>
      </c>
      <c r="M737" s="301" t="s">
        <v>315</v>
      </c>
      <c r="N737" s="301" t="s">
        <v>315</v>
      </c>
      <c r="O737" s="301" t="s">
        <v>315</v>
      </c>
      <c r="P737" s="301" t="s">
        <v>315</v>
      </c>
      <c r="Q737" s="301" t="s">
        <v>315</v>
      </c>
      <c r="R737" s="301" t="s">
        <v>315</v>
      </c>
      <c r="S737" s="301" t="s">
        <v>4198</v>
      </c>
      <c r="T737" s="301" t="s">
        <v>4199</v>
      </c>
      <c r="U737" s="301" t="s">
        <v>4199</v>
      </c>
      <c r="V737" s="301" t="s">
        <v>4199</v>
      </c>
      <c r="W737" s="298" t="s">
        <v>357</v>
      </c>
      <c r="X737" s="298" t="s">
        <v>306</v>
      </c>
    </row>
    <row r="738">
      <c r="A738" s="295" t="s">
        <v>4200</v>
      </c>
      <c r="B738" s="298">
        <v>7.0</v>
      </c>
      <c r="C738" s="298" t="s">
        <v>522</v>
      </c>
      <c r="D738" s="298" t="s">
        <v>151</v>
      </c>
      <c r="E738" s="298" t="s">
        <v>311</v>
      </c>
      <c r="F738" s="298" t="str">
        <f>'Character Sheet'!$C$9</f>
        <v/>
      </c>
      <c r="G738" s="298" t="s">
        <v>294</v>
      </c>
      <c r="H738" s="298" t="s">
        <v>352</v>
      </c>
      <c r="I738" s="298" t="s">
        <v>296</v>
      </c>
      <c r="J738" s="298" t="s">
        <v>192</v>
      </c>
      <c r="K738" s="298" t="s">
        <v>1753</v>
      </c>
      <c r="L738" s="298" t="s">
        <v>493</v>
      </c>
      <c r="M738" s="301" t="s">
        <v>315</v>
      </c>
      <c r="N738" s="301" t="s">
        <v>315</v>
      </c>
      <c r="O738" s="301" t="s">
        <v>315</v>
      </c>
      <c r="P738" s="301" t="s">
        <v>315</v>
      </c>
      <c r="Q738" s="301" t="s">
        <v>315</v>
      </c>
      <c r="R738" s="301" t="s">
        <v>315</v>
      </c>
      <c r="S738" s="301" t="s">
        <v>4201</v>
      </c>
      <c r="T738" s="301" t="s">
        <v>4201</v>
      </c>
      <c r="U738" s="301" t="s">
        <v>4201</v>
      </c>
      <c r="V738" s="301" t="s">
        <v>4201</v>
      </c>
      <c r="W738" s="298" t="s">
        <v>460</v>
      </c>
      <c r="X738" s="298" t="s">
        <v>979</v>
      </c>
    </row>
    <row r="739">
      <c r="A739" s="295" t="s">
        <v>4202</v>
      </c>
      <c r="B739" s="298">
        <v>7.0</v>
      </c>
      <c r="C739" s="298" t="s">
        <v>288</v>
      </c>
      <c r="D739" s="298" t="s">
        <v>151</v>
      </c>
      <c r="E739" s="298" t="s">
        <v>311</v>
      </c>
      <c r="F739" s="298" t="str">
        <f>'Character Sheet'!$C$9</f>
        <v/>
      </c>
      <c r="G739" s="298" t="s">
        <v>294</v>
      </c>
      <c r="H739" s="298" t="s">
        <v>360</v>
      </c>
      <c r="I739" s="298" t="s">
        <v>324</v>
      </c>
      <c r="J739" s="298" t="s">
        <v>315</v>
      </c>
      <c r="K739" s="298" t="s">
        <v>298</v>
      </c>
      <c r="L739" s="298" t="s">
        <v>493</v>
      </c>
      <c r="M739" s="301" t="s">
        <v>315</v>
      </c>
      <c r="N739" s="301" t="s">
        <v>315</v>
      </c>
      <c r="O739" s="301" t="s">
        <v>315</v>
      </c>
      <c r="P739" s="301" t="s">
        <v>315</v>
      </c>
      <c r="Q739" s="301" t="s">
        <v>315</v>
      </c>
      <c r="R739" s="301" t="s">
        <v>315</v>
      </c>
      <c r="S739" s="301" t="s">
        <v>4203</v>
      </c>
      <c r="T739" s="301" t="s">
        <v>4203</v>
      </c>
      <c r="U739" s="301" t="s">
        <v>4203</v>
      </c>
      <c r="V739" s="301" t="s">
        <v>4203</v>
      </c>
      <c r="W739" s="298" t="s">
        <v>460</v>
      </c>
      <c r="X739" s="298" t="s">
        <v>569</v>
      </c>
    </row>
    <row r="740">
      <c r="A740" s="295" t="s">
        <v>4204</v>
      </c>
      <c r="B740" s="298">
        <v>7.0</v>
      </c>
      <c r="C740" s="298" t="s">
        <v>522</v>
      </c>
      <c r="D740" s="298" t="s">
        <v>289</v>
      </c>
      <c r="E740" s="298" t="s">
        <v>290</v>
      </c>
      <c r="F740" s="298" t="str">
        <f>'Character Sheet'!$C$9</f>
        <v/>
      </c>
      <c r="G740" s="298" t="s">
        <v>294</v>
      </c>
      <c r="H740" s="298" t="s">
        <v>1278</v>
      </c>
      <c r="I740" s="298" t="s">
        <v>2254</v>
      </c>
      <c r="J740" s="298" t="s">
        <v>180</v>
      </c>
      <c r="K740" s="298" t="s">
        <v>298</v>
      </c>
      <c r="L740" s="298" t="s">
        <v>493</v>
      </c>
      <c r="M740" s="301" t="s">
        <v>315</v>
      </c>
      <c r="N740" s="301" t="s">
        <v>315</v>
      </c>
      <c r="O740" s="301" t="s">
        <v>315</v>
      </c>
      <c r="P740" s="301" t="s">
        <v>315</v>
      </c>
      <c r="Q740" s="301" t="s">
        <v>315</v>
      </c>
      <c r="R740" s="301" t="s">
        <v>315</v>
      </c>
      <c r="S740" s="301" t="s">
        <v>4205</v>
      </c>
      <c r="T740" s="301" t="s">
        <v>4206</v>
      </c>
      <c r="U740" s="301" t="s">
        <v>4207</v>
      </c>
      <c r="V740" s="301" t="s">
        <v>4208</v>
      </c>
      <c r="W740" s="298" t="s">
        <v>389</v>
      </c>
      <c r="X740" s="298" t="s">
        <v>2035</v>
      </c>
    </row>
    <row r="741">
      <c r="A741" s="295" t="s">
        <v>4209</v>
      </c>
      <c r="B741" s="298">
        <v>7.0</v>
      </c>
      <c r="C741" s="298" t="s">
        <v>522</v>
      </c>
      <c r="D741" s="298" t="s">
        <v>151</v>
      </c>
      <c r="E741" s="298" t="s">
        <v>311</v>
      </c>
      <c r="F741" s="298" t="s">
        <v>999</v>
      </c>
      <c r="G741" s="298" t="s">
        <v>4210</v>
      </c>
      <c r="H741" s="298" t="s">
        <v>335</v>
      </c>
      <c r="I741" s="298" t="s">
        <v>4211</v>
      </c>
      <c r="J741" s="298" t="s">
        <v>315</v>
      </c>
      <c r="K741" s="298" t="s">
        <v>298</v>
      </c>
      <c r="L741" s="298" t="s">
        <v>493</v>
      </c>
      <c r="M741" s="301" t="s">
        <v>315</v>
      </c>
      <c r="N741" s="301" t="s">
        <v>315</v>
      </c>
      <c r="O741" s="301" t="s">
        <v>315</v>
      </c>
      <c r="P741" s="301" t="s">
        <v>315</v>
      </c>
      <c r="Q741" s="301" t="s">
        <v>315</v>
      </c>
      <c r="R741" s="301" t="s">
        <v>315</v>
      </c>
      <c r="S741" s="301" t="s">
        <v>4212</v>
      </c>
      <c r="T741" s="301" t="s">
        <v>4212</v>
      </c>
      <c r="U741" s="301" t="s">
        <v>4212</v>
      </c>
      <c r="V741" s="301" t="s">
        <v>4212</v>
      </c>
      <c r="W741" s="298" t="s">
        <v>317</v>
      </c>
      <c r="X741" s="298" t="s">
        <v>306</v>
      </c>
    </row>
    <row r="742">
      <c r="A742" s="295" t="s">
        <v>4213</v>
      </c>
      <c r="B742" s="298">
        <v>7.0</v>
      </c>
      <c r="C742" s="298" t="s">
        <v>522</v>
      </c>
      <c r="D742" s="298" t="s">
        <v>334</v>
      </c>
      <c r="E742" s="298" t="s">
        <v>290</v>
      </c>
      <c r="F742" s="298" t="str">
        <f>'Character Sheet'!$C$9</f>
        <v/>
      </c>
      <c r="G742" s="298" t="s">
        <v>294</v>
      </c>
      <c r="H742" s="298" t="s">
        <v>295</v>
      </c>
      <c r="I742" s="298" t="s">
        <v>2038</v>
      </c>
      <c r="J742" s="298" t="s">
        <v>192</v>
      </c>
      <c r="K742" s="298" t="s">
        <v>632</v>
      </c>
      <c r="L742" s="298" t="s">
        <v>493</v>
      </c>
      <c r="M742" s="301" t="s">
        <v>315</v>
      </c>
      <c r="N742" s="301" t="s">
        <v>315</v>
      </c>
      <c r="O742" s="301" t="s">
        <v>315</v>
      </c>
      <c r="P742" s="301" t="s">
        <v>315</v>
      </c>
      <c r="Q742" s="301" t="s">
        <v>315</v>
      </c>
      <c r="R742" s="301" t="s">
        <v>315</v>
      </c>
      <c r="S742" s="301" t="s">
        <v>4214</v>
      </c>
      <c r="T742" s="301" t="s">
        <v>4214</v>
      </c>
      <c r="U742" s="301" t="s">
        <v>4215</v>
      </c>
      <c r="V742" s="301" t="s">
        <v>4215</v>
      </c>
      <c r="W742" s="298" t="s">
        <v>536</v>
      </c>
      <c r="X742" s="298" t="s">
        <v>306</v>
      </c>
    </row>
    <row r="743">
      <c r="A743" s="295" t="s">
        <v>4216</v>
      </c>
      <c r="B743" s="298">
        <v>7.0</v>
      </c>
      <c r="C743" s="298" t="s">
        <v>522</v>
      </c>
      <c r="D743" s="298" t="s">
        <v>359</v>
      </c>
      <c r="E743" s="298" t="s">
        <v>290</v>
      </c>
      <c r="F743" s="298" t="str">
        <f>'Character Sheet'!$B$9</f>
        <v/>
      </c>
      <c r="G743" s="298" t="s">
        <v>477</v>
      </c>
      <c r="H743" s="298" t="s">
        <v>295</v>
      </c>
      <c r="I743" s="298" t="s">
        <v>296</v>
      </c>
      <c r="J743" s="298" t="s">
        <v>315</v>
      </c>
      <c r="K743" s="298" t="s">
        <v>1174</v>
      </c>
      <c r="L743" s="298" t="s">
        <v>493</v>
      </c>
      <c r="M743" s="301" t="s">
        <v>315</v>
      </c>
      <c r="N743" s="301" t="s">
        <v>315</v>
      </c>
      <c r="O743" s="301" t="s">
        <v>315</v>
      </c>
      <c r="P743" s="301" t="s">
        <v>315</v>
      </c>
      <c r="Q743" s="301" t="s">
        <v>315</v>
      </c>
      <c r="R743" s="301" t="s">
        <v>315</v>
      </c>
      <c r="S743" s="301" t="s">
        <v>4217</v>
      </c>
      <c r="T743" s="301" t="s">
        <v>4218</v>
      </c>
      <c r="U743" s="301" t="s">
        <v>4219</v>
      </c>
      <c r="V743" s="301" t="s">
        <v>4220</v>
      </c>
      <c r="W743" s="298" t="s">
        <v>442</v>
      </c>
      <c r="X743" s="298" t="s">
        <v>306</v>
      </c>
    </row>
    <row r="744">
      <c r="A744" s="295" t="s">
        <v>4221</v>
      </c>
      <c r="B744" s="298">
        <v>7.0</v>
      </c>
      <c r="C744" s="298" t="s">
        <v>288</v>
      </c>
      <c r="D744" s="298" t="s">
        <v>421</v>
      </c>
      <c r="E744" s="298" t="s">
        <v>290</v>
      </c>
      <c r="F744" s="298" t="str">
        <f>'Character Sheet'!$C$9</f>
        <v/>
      </c>
      <c r="G744" s="298" t="s">
        <v>294</v>
      </c>
      <c r="H744" s="298" t="s">
        <v>335</v>
      </c>
      <c r="I744" s="298" t="s">
        <v>952</v>
      </c>
      <c r="J744" s="298" t="s">
        <v>315</v>
      </c>
      <c r="K744" s="298" t="s">
        <v>632</v>
      </c>
      <c r="L744" s="298" t="s">
        <v>493</v>
      </c>
      <c r="M744" s="301" t="s">
        <v>315</v>
      </c>
      <c r="N744" s="301" t="s">
        <v>315</v>
      </c>
      <c r="O744" s="301" t="s">
        <v>315</v>
      </c>
      <c r="P744" s="301" t="s">
        <v>315</v>
      </c>
      <c r="Q744" s="301" t="s">
        <v>315</v>
      </c>
      <c r="R744" s="301" t="s">
        <v>315</v>
      </c>
      <c r="S744" s="301" t="s">
        <v>4222</v>
      </c>
      <c r="T744" s="301" t="s">
        <v>4222</v>
      </c>
      <c r="U744" s="301" t="s">
        <v>4223</v>
      </c>
      <c r="V744" s="301" t="s">
        <v>4223</v>
      </c>
      <c r="W744" s="298" t="s">
        <v>460</v>
      </c>
      <c r="X744" s="298" t="s">
        <v>318</v>
      </c>
    </row>
    <row r="745">
      <c r="A745" s="295" t="s">
        <v>4224</v>
      </c>
      <c r="B745" s="298">
        <v>7.0</v>
      </c>
      <c r="C745" s="298" t="s">
        <v>288</v>
      </c>
      <c r="D745" s="298" t="s">
        <v>289</v>
      </c>
      <c r="E745" s="298" t="s">
        <v>311</v>
      </c>
      <c r="F745" s="298" t="str">
        <f>'Character Sheet'!$C$9</f>
        <v/>
      </c>
      <c r="G745" s="298" t="s">
        <v>294</v>
      </c>
      <c r="H745" s="298" t="s">
        <v>324</v>
      </c>
      <c r="I745" s="298" t="s">
        <v>2051</v>
      </c>
      <c r="J745" s="298" t="s">
        <v>315</v>
      </c>
      <c r="K745" s="298" t="s">
        <v>298</v>
      </c>
      <c r="L745" s="298" t="s">
        <v>493</v>
      </c>
      <c r="M745" s="301" t="s">
        <v>315</v>
      </c>
      <c r="N745" s="301" t="s">
        <v>315</v>
      </c>
      <c r="O745" s="301" t="s">
        <v>315</v>
      </c>
      <c r="P745" s="301" t="s">
        <v>315</v>
      </c>
      <c r="Q745" s="301" t="s">
        <v>315</v>
      </c>
      <c r="R745" s="301" t="s">
        <v>315</v>
      </c>
      <c r="S745" s="301" t="s">
        <v>4225</v>
      </c>
      <c r="T745" s="301" t="s">
        <v>4225</v>
      </c>
      <c r="U745" s="301" t="s">
        <v>4225</v>
      </c>
      <c r="V745" s="301" t="s">
        <v>4225</v>
      </c>
      <c r="W745" s="298" t="s">
        <v>460</v>
      </c>
      <c r="X745" s="298" t="s">
        <v>306</v>
      </c>
    </row>
    <row r="746">
      <c r="A746" s="295" t="s">
        <v>4226</v>
      </c>
      <c r="B746" s="298">
        <v>7.0</v>
      </c>
      <c r="C746" s="298" t="s">
        <v>288</v>
      </c>
      <c r="D746" s="298" t="s">
        <v>321</v>
      </c>
      <c r="E746" s="298" t="s">
        <v>290</v>
      </c>
      <c r="F746" s="298" t="str">
        <f>'Character Sheet'!$C$9</f>
        <v/>
      </c>
      <c r="G746" s="298" t="s">
        <v>294</v>
      </c>
      <c r="H746" s="298" t="s">
        <v>295</v>
      </c>
      <c r="I746" s="298" t="s">
        <v>324</v>
      </c>
      <c r="J746" s="298" t="s">
        <v>315</v>
      </c>
      <c r="K746" s="298" t="s">
        <v>424</v>
      </c>
      <c r="L746" s="298" t="s">
        <v>493</v>
      </c>
      <c r="M746" s="301" t="s">
        <v>315</v>
      </c>
      <c r="N746" s="301" t="s">
        <v>315</v>
      </c>
      <c r="O746" s="301" t="s">
        <v>315</v>
      </c>
      <c r="P746" s="301" t="s">
        <v>315</v>
      </c>
      <c r="Q746" s="301" t="s">
        <v>315</v>
      </c>
      <c r="R746" s="301" t="s">
        <v>315</v>
      </c>
      <c r="S746" s="301" t="s">
        <v>4227</v>
      </c>
      <c r="T746" s="301" t="s">
        <v>4227</v>
      </c>
      <c r="U746" s="301" t="s">
        <v>4228</v>
      </c>
      <c r="V746" s="301" t="s">
        <v>4228</v>
      </c>
      <c r="W746" s="298" t="s">
        <v>460</v>
      </c>
      <c r="X746" s="298" t="s">
        <v>306</v>
      </c>
    </row>
    <row r="747">
      <c r="A747" s="295" t="s">
        <v>4229</v>
      </c>
      <c r="B747" s="298">
        <v>7.0</v>
      </c>
      <c r="C747" s="298" t="s">
        <v>288</v>
      </c>
      <c r="D747" s="298" t="s">
        <v>334</v>
      </c>
      <c r="E747" s="298" t="s">
        <v>290</v>
      </c>
      <c r="F747" s="298" t="str">
        <f>'Character Sheet'!$C$9</f>
        <v/>
      </c>
      <c r="G747" s="298" t="s">
        <v>294</v>
      </c>
      <c r="H747" s="298" t="s">
        <v>335</v>
      </c>
      <c r="I747" s="298" t="s">
        <v>4230</v>
      </c>
      <c r="J747" s="298" t="s">
        <v>315</v>
      </c>
      <c r="K747" s="298" t="s">
        <v>632</v>
      </c>
      <c r="L747" s="298" t="s">
        <v>493</v>
      </c>
      <c r="M747" s="301" t="s">
        <v>315</v>
      </c>
      <c r="N747" s="301" t="s">
        <v>315</v>
      </c>
      <c r="O747" s="301" t="s">
        <v>315</v>
      </c>
      <c r="P747" s="301" t="s">
        <v>315</v>
      </c>
      <c r="Q747" s="301" t="s">
        <v>315</v>
      </c>
      <c r="R747" s="301" t="s">
        <v>315</v>
      </c>
      <c r="S747" s="301" t="s">
        <v>4231</v>
      </c>
      <c r="T747" s="301" t="s">
        <v>4231</v>
      </c>
      <c r="U747" s="301" t="s">
        <v>4232</v>
      </c>
      <c r="V747" s="301" t="s">
        <v>4232</v>
      </c>
      <c r="W747" s="298" t="s">
        <v>389</v>
      </c>
      <c r="X747" s="298" t="s">
        <v>306</v>
      </c>
    </row>
    <row r="748">
      <c r="A748" s="295" t="s">
        <v>4233</v>
      </c>
      <c r="B748" s="298">
        <v>7.0</v>
      </c>
      <c r="C748" s="298" t="s">
        <v>288</v>
      </c>
      <c r="D748" s="298" t="s">
        <v>310</v>
      </c>
      <c r="E748" s="298" t="s">
        <v>290</v>
      </c>
      <c r="F748" s="298" t="s">
        <v>625</v>
      </c>
      <c r="G748" s="298" t="s">
        <v>674</v>
      </c>
      <c r="H748" s="298" t="s">
        <v>324</v>
      </c>
      <c r="I748" s="298" t="s">
        <v>324</v>
      </c>
      <c r="J748" s="298" t="s">
        <v>315</v>
      </c>
      <c r="K748" s="298" t="s">
        <v>1753</v>
      </c>
      <c r="L748" s="298" t="s">
        <v>493</v>
      </c>
      <c r="M748" s="301" t="s">
        <v>315</v>
      </c>
      <c r="N748" s="301" t="s">
        <v>315</v>
      </c>
      <c r="O748" s="301" t="s">
        <v>315</v>
      </c>
      <c r="P748" s="301" t="s">
        <v>315</v>
      </c>
      <c r="Q748" s="301" t="s">
        <v>315</v>
      </c>
      <c r="R748" s="301" t="s">
        <v>315</v>
      </c>
      <c r="S748" s="301" t="s">
        <v>4234</v>
      </c>
      <c r="T748" s="301" t="s">
        <v>4235</v>
      </c>
      <c r="U748" s="301" t="s">
        <v>4236</v>
      </c>
      <c r="V748" s="301" t="s">
        <v>4236</v>
      </c>
      <c r="W748" s="298" t="s">
        <v>536</v>
      </c>
      <c r="X748" s="298" t="s">
        <v>306</v>
      </c>
    </row>
    <row r="749">
      <c r="A749" s="295" t="s">
        <v>4237</v>
      </c>
      <c r="B749" s="298">
        <v>7.0</v>
      </c>
      <c r="C749" s="298" t="s">
        <v>432</v>
      </c>
      <c r="D749" s="298" t="s">
        <v>421</v>
      </c>
      <c r="E749" s="298" t="s">
        <v>290</v>
      </c>
      <c r="F749" s="298" t="str">
        <f>'Character Sheet'!$C$9</f>
        <v/>
      </c>
      <c r="G749" s="298" t="s">
        <v>294</v>
      </c>
      <c r="H749" s="298" t="s">
        <v>352</v>
      </c>
      <c r="I749" s="298" t="s">
        <v>4238</v>
      </c>
      <c r="J749" s="298" t="s">
        <v>315</v>
      </c>
      <c r="K749" s="298" t="s">
        <v>298</v>
      </c>
      <c r="L749" s="298" t="s">
        <v>493</v>
      </c>
      <c r="M749" s="301" t="s">
        <v>315</v>
      </c>
      <c r="N749" s="301" t="s">
        <v>315</v>
      </c>
      <c r="O749" s="301" t="s">
        <v>315</v>
      </c>
      <c r="P749" s="301" t="s">
        <v>315</v>
      </c>
      <c r="Q749" s="301" t="s">
        <v>315</v>
      </c>
      <c r="R749" s="301" t="s">
        <v>315</v>
      </c>
      <c r="S749" s="301" t="s">
        <v>4239</v>
      </c>
      <c r="T749" s="301" t="s">
        <v>4240</v>
      </c>
      <c r="U749" s="301" t="s">
        <v>4241</v>
      </c>
      <c r="V749" s="301" t="s">
        <v>4242</v>
      </c>
      <c r="W749" s="298" t="s">
        <v>331</v>
      </c>
      <c r="X749" s="298" t="s">
        <v>4093</v>
      </c>
    </row>
    <row r="750">
      <c r="A750" s="295" t="s">
        <v>4243</v>
      </c>
      <c r="B750" s="298">
        <v>7.0</v>
      </c>
      <c r="C750" s="298" t="s">
        <v>522</v>
      </c>
      <c r="D750" s="298" t="s">
        <v>289</v>
      </c>
      <c r="E750" s="298" t="s">
        <v>311</v>
      </c>
      <c r="F750" s="298" t="str">
        <f>'Character Sheet'!$E$9</f>
        <v/>
      </c>
      <c r="G750" s="298" t="s">
        <v>674</v>
      </c>
      <c r="H750" s="298" t="s">
        <v>352</v>
      </c>
      <c r="I750" s="298" t="s">
        <v>4120</v>
      </c>
      <c r="J750" s="298" t="s">
        <v>315</v>
      </c>
      <c r="K750" s="298" t="s">
        <v>632</v>
      </c>
      <c r="L750" s="298" t="s">
        <v>493</v>
      </c>
      <c r="M750" s="301" t="s">
        <v>315</v>
      </c>
      <c r="N750" s="301" t="s">
        <v>315</v>
      </c>
      <c r="O750" s="301" t="s">
        <v>315</v>
      </c>
      <c r="P750" s="301" t="s">
        <v>315</v>
      </c>
      <c r="Q750" s="301" t="s">
        <v>315</v>
      </c>
      <c r="R750" s="301" t="s">
        <v>315</v>
      </c>
      <c r="S750" s="301" t="s">
        <v>4244</v>
      </c>
      <c r="T750" s="301" t="s">
        <v>4244</v>
      </c>
      <c r="U750" s="301" t="s">
        <v>4244</v>
      </c>
      <c r="V750" s="301" t="s">
        <v>4244</v>
      </c>
      <c r="W750" s="298" t="s">
        <v>460</v>
      </c>
      <c r="X750" s="298" t="s">
        <v>306</v>
      </c>
    </row>
    <row r="751">
      <c r="A751" s="295" t="s">
        <v>4245</v>
      </c>
      <c r="B751" s="298">
        <v>7.0</v>
      </c>
      <c r="C751" s="298" t="s">
        <v>522</v>
      </c>
      <c r="D751" s="298" t="s">
        <v>421</v>
      </c>
      <c r="E751" s="298" t="s">
        <v>311</v>
      </c>
      <c r="F751" s="298" t="str">
        <f>'Character Sheet'!$C$9</f>
        <v/>
      </c>
      <c r="G751" s="298" t="s">
        <v>294</v>
      </c>
      <c r="H751" s="298" t="s">
        <v>324</v>
      </c>
      <c r="I751" s="298" t="s">
        <v>324</v>
      </c>
      <c r="J751" s="298" t="s">
        <v>315</v>
      </c>
      <c r="K751" s="298" t="s">
        <v>675</v>
      </c>
      <c r="L751" s="298" t="s">
        <v>493</v>
      </c>
      <c r="M751" s="301" t="s">
        <v>315</v>
      </c>
      <c r="N751" s="301" t="s">
        <v>315</v>
      </c>
      <c r="O751" s="301" t="s">
        <v>315</v>
      </c>
      <c r="P751" s="301" t="s">
        <v>315</v>
      </c>
      <c r="Q751" s="301" t="s">
        <v>315</v>
      </c>
      <c r="R751" s="301" t="s">
        <v>315</v>
      </c>
      <c r="S751" s="301" t="s">
        <v>4246</v>
      </c>
      <c r="T751" s="301" t="s">
        <v>4246</v>
      </c>
      <c r="U751" s="301" t="s">
        <v>4246</v>
      </c>
      <c r="V751" s="301" t="s">
        <v>4246</v>
      </c>
      <c r="W751" s="298" t="s">
        <v>442</v>
      </c>
      <c r="X751" s="298" t="s">
        <v>306</v>
      </c>
    </row>
    <row r="752">
      <c r="A752" s="295" t="s">
        <v>4247</v>
      </c>
      <c r="B752" s="298">
        <v>7.0</v>
      </c>
      <c r="C752" s="298" t="s">
        <v>288</v>
      </c>
      <c r="D752" s="298" t="s">
        <v>289</v>
      </c>
      <c r="E752" s="298" t="s">
        <v>290</v>
      </c>
      <c r="F752" s="298" t="str">
        <f>'Character Sheet'!$C$9</f>
        <v/>
      </c>
      <c r="G752" s="298" t="s">
        <v>294</v>
      </c>
      <c r="H752" s="298" t="s">
        <v>1278</v>
      </c>
      <c r="I752" s="298" t="s">
        <v>2254</v>
      </c>
      <c r="J752" s="298" t="s">
        <v>180</v>
      </c>
      <c r="K752" s="298" t="s">
        <v>298</v>
      </c>
      <c r="L752" s="298" t="s">
        <v>493</v>
      </c>
      <c r="M752" s="301" t="s">
        <v>315</v>
      </c>
      <c r="N752" s="301" t="s">
        <v>315</v>
      </c>
      <c r="O752" s="301" t="s">
        <v>315</v>
      </c>
      <c r="P752" s="301" t="s">
        <v>315</v>
      </c>
      <c r="Q752" s="301" t="s">
        <v>315</v>
      </c>
      <c r="R752" s="301" t="s">
        <v>315</v>
      </c>
      <c r="S752" s="301" t="s">
        <v>4248</v>
      </c>
      <c r="T752" s="301" t="s">
        <v>4249</v>
      </c>
      <c r="U752" s="301" t="s">
        <v>4250</v>
      </c>
      <c r="V752" s="301" t="s">
        <v>4251</v>
      </c>
      <c r="W752" s="298" t="s">
        <v>389</v>
      </c>
      <c r="X752" s="298" t="s">
        <v>306</v>
      </c>
    </row>
    <row r="753">
      <c r="A753" s="295" t="s">
        <v>4252</v>
      </c>
      <c r="B753" s="298">
        <v>7.0</v>
      </c>
      <c r="C753" s="298" t="s">
        <v>288</v>
      </c>
      <c r="D753" s="298" t="s">
        <v>289</v>
      </c>
      <c r="E753" s="298" t="s">
        <v>290</v>
      </c>
      <c r="F753" s="298" t="str">
        <f>'Character Sheet'!$C$9</f>
        <v/>
      </c>
      <c r="G753" s="298" t="s">
        <v>294</v>
      </c>
      <c r="H753" s="298" t="s">
        <v>1278</v>
      </c>
      <c r="I753" s="298" t="s">
        <v>1174</v>
      </c>
      <c r="J753" s="298" t="s">
        <v>180</v>
      </c>
      <c r="K753" s="298" t="s">
        <v>298</v>
      </c>
      <c r="L753" s="298" t="s">
        <v>493</v>
      </c>
      <c r="M753" s="301" t="s">
        <v>315</v>
      </c>
      <c r="N753" s="301" t="s">
        <v>315</v>
      </c>
      <c r="O753" s="301" t="s">
        <v>315</v>
      </c>
      <c r="P753" s="301" t="s">
        <v>315</v>
      </c>
      <c r="Q753" s="301" t="s">
        <v>315</v>
      </c>
      <c r="R753" s="301" t="s">
        <v>315</v>
      </c>
      <c r="S753" s="301" t="s">
        <v>4253</v>
      </c>
      <c r="T753" s="301" t="s">
        <v>4254</v>
      </c>
      <c r="U753" s="301" t="s">
        <v>4255</v>
      </c>
      <c r="V753" s="301" t="s">
        <v>4256</v>
      </c>
      <c r="W753" s="298" t="s">
        <v>460</v>
      </c>
      <c r="X753" s="298" t="s">
        <v>569</v>
      </c>
    </row>
    <row r="754">
      <c r="A754" s="295" t="s">
        <v>4257</v>
      </c>
      <c r="B754" s="298">
        <v>7.0</v>
      </c>
      <c r="C754" s="298" t="s">
        <v>288</v>
      </c>
      <c r="D754" s="298" t="s">
        <v>334</v>
      </c>
      <c r="E754" s="298" t="s">
        <v>311</v>
      </c>
      <c r="F754" s="298" t="str">
        <f>'Character Sheet'!$E$9</f>
        <v/>
      </c>
      <c r="G754" s="298" t="s">
        <v>674</v>
      </c>
      <c r="H754" s="298" t="s">
        <v>708</v>
      </c>
      <c r="I754" s="298" t="s">
        <v>315</v>
      </c>
      <c r="J754" s="298" t="s">
        <v>315</v>
      </c>
      <c r="K754" s="298" t="s">
        <v>478</v>
      </c>
      <c r="L754" s="298" t="s">
        <v>493</v>
      </c>
      <c r="M754" s="301" t="s">
        <v>315</v>
      </c>
      <c r="N754" s="301" t="s">
        <v>315</v>
      </c>
      <c r="O754" s="301" t="s">
        <v>315</v>
      </c>
      <c r="P754" s="301" t="s">
        <v>315</v>
      </c>
      <c r="Q754" s="301" t="s">
        <v>315</v>
      </c>
      <c r="R754" s="301" t="s">
        <v>315</v>
      </c>
      <c r="S754" s="301" t="s">
        <v>4258</v>
      </c>
      <c r="T754" s="301" t="s">
        <v>4258</v>
      </c>
      <c r="U754" s="301" t="s">
        <v>4258</v>
      </c>
      <c r="V754" s="301" t="s">
        <v>4258</v>
      </c>
      <c r="W754" s="298" t="s">
        <v>331</v>
      </c>
      <c r="X754" s="298" t="s">
        <v>318</v>
      </c>
    </row>
    <row r="755">
      <c r="A755" s="295" t="s">
        <v>4259</v>
      </c>
      <c r="B755" s="298">
        <v>7.0</v>
      </c>
      <c r="C755" s="298" t="s">
        <v>288</v>
      </c>
      <c r="D755" s="298" t="s">
        <v>310</v>
      </c>
      <c r="E755" s="298" t="s">
        <v>290</v>
      </c>
      <c r="F755" s="298" t="str">
        <f>'Character Sheet'!$B$9</f>
        <v/>
      </c>
      <c r="G755" s="298" t="s">
        <v>128</v>
      </c>
      <c r="H755" s="298" t="s">
        <v>324</v>
      </c>
      <c r="I755" s="298" t="s">
        <v>324</v>
      </c>
      <c r="J755" s="298" t="s">
        <v>315</v>
      </c>
      <c r="K755" s="298" t="s">
        <v>4260</v>
      </c>
      <c r="L755" s="298" t="s">
        <v>493</v>
      </c>
      <c r="M755" s="301" t="s">
        <v>315</v>
      </c>
      <c r="N755" s="301" t="s">
        <v>315</v>
      </c>
      <c r="O755" s="301" t="s">
        <v>315</v>
      </c>
      <c r="P755" s="301" t="s">
        <v>315</v>
      </c>
      <c r="Q755" s="301" t="s">
        <v>315</v>
      </c>
      <c r="R755" s="301" t="s">
        <v>315</v>
      </c>
      <c r="S755" s="301" t="s">
        <v>4261</v>
      </c>
      <c r="T755" s="301" t="s">
        <v>4261</v>
      </c>
      <c r="U755" s="301" t="s">
        <v>4261</v>
      </c>
      <c r="V755" s="301" t="s">
        <v>4261</v>
      </c>
      <c r="W755" s="298" t="s">
        <v>460</v>
      </c>
      <c r="X755" s="298" t="s">
        <v>966</v>
      </c>
    </row>
    <row r="756">
      <c r="A756" s="295" t="s">
        <v>4262</v>
      </c>
      <c r="B756" s="298">
        <v>7.0</v>
      </c>
      <c r="C756" s="298" t="s">
        <v>288</v>
      </c>
      <c r="D756" s="298" t="s">
        <v>310</v>
      </c>
      <c r="E756" s="298" t="s">
        <v>311</v>
      </c>
      <c r="F756" s="298" t="str">
        <f>'Character Sheet'!$B$9</f>
        <v/>
      </c>
      <c r="G756" s="298" t="s">
        <v>477</v>
      </c>
      <c r="H756" s="298" t="s">
        <v>360</v>
      </c>
      <c r="I756" s="298" t="s">
        <v>3719</v>
      </c>
      <c r="J756" s="298" t="s">
        <v>315</v>
      </c>
      <c r="K756" s="298" t="s">
        <v>478</v>
      </c>
      <c r="L756" s="298" t="s">
        <v>493</v>
      </c>
      <c r="M756" s="301" t="s">
        <v>315</v>
      </c>
      <c r="N756" s="301" t="s">
        <v>315</v>
      </c>
      <c r="O756" s="301" t="s">
        <v>315</v>
      </c>
      <c r="P756" s="301" t="s">
        <v>315</v>
      </c>
      <c r="Q756" s="301" t="s">
        <v>315</v>
      </c>
      <c r="R756" s="301" t="s">
        <v>315</v>
      </c>
      <c r="S756" s="301" t="s">
        <v>4263</v>
      </c>
      <c r="T756" s="301" t="s">
        <v>4263</v>
      </c>
      <c r="U756" s="301" t="s">
        <v>4263</v>
      </c>
      <c r="V756" s="301" t="s">
        <v>4263</v>
      </c>
      <c r="W756" s="298" t="s">
        <v>460</v>
      </c>
      <c r="X756" s="298" t="s">
        <v>306</v>
      </c>
    </row>
    <row r="757">
      <c r="A757" s="295" t="s">
        <v>4264</v>
      </c>
      <c r="B757" s="298">
        <v>7.0</v>
      </c>
      <c r="C757" s="298" t="s">
        <v>288</v>
      </c>
      <c r="D757" s="298" t="s">
        <v>421</v>
      </c>
      <c r="E757" s="298" t="s">
        <v>290</v>
      </c>
      <c r="F757" s="298" t="str">
        <f>'Character Sheet'!$C$9</f>
        <v/>
      </c>
      <c r="G757" s="298" t="s">
        <v>294</v>
      </c>
      <c r="H757" s="298" t="s">
        <v>295</v>
      </c>
      <c r="I757" s="298" t="s">
        <v>3484</v>
      </c>
      <c r="J757" s="298" t="s">
        <v>315</v>
      </c>
      <c r="K757" s="298" t="s">
        <v>675</v>
      </c>
      <c r="L757" s="298" t="s">
        <v>493</v>
      </c>
      <c r="M757" s="301" t="s">
        <v>315</v>
      </c>
      <c r="N757" s="301" t="s">
        <v>315</v>
      </c>
      <c r="O757" s="301" t="s">
        <v>315</v>
      </c>
      <c r="P757" s="301" t="s">
        <v>315</v>
      </c>
      <c r="Q757" s="301" t="s">
        <v>315</v>
      </c>
      <c r="R757" s="301" t="s">
        <v>315</v>
      </c>
      <c r="S757" s="301" t="s">
        <v>4265</v>
      </c>
      <c r="T757" s="301" t="s">
        <v>4265</v>
      </c>
      <c r="U757" s="301" t="s">
        <v>4266</v>
      </c>
      <c r="V757" s="301" t="s">
        <v>4266</v>
      </c>
      <c r="W757" s="298" t="s">
        <v>499</v>
      </c>
      <c r="X757" s="298" t="s">
        <v>306</v>
      </c>
    </row>
    <row r="758">
      <c r="A758" s="295" t="s">
        <v>4267</v>
      </c>
      <c r="B758" s="298">
        <v>7.0</v>
      </c>
      <c r="C758" s="298" t="s">
        <v>288</v>
      </c>
      <c r="D758" s="298" t="s">
        <v>321</v>
      </c>
      <c r="E758" s="298" t="s">
        <v>290</v>
      </c>
      <c r="F758" s="298" t="str">
        <f>'Character Sheet'!$E$9</f>
        <v/>
      </c>
      <c r="G758" s="298" t="s">
        <v>674</v>
      </c>
      <c r="H758" s="298" t="s">
        <v>1278</v>
      </c>
      <c r="I758" s="298" t="s">
        <v>2777</v>
      </c>
      <c r="J758" s="298" t="s">
        <v>746</v>
      </c>
      <c r="K758" s="298" t="s">
        <v>632</v>
      </c>
      <c r="L758" s="298" t="s">
        <v>493</v>
      </c>
      <c r="M758" s="301" t="s">
        <v>315</v>
      </c>
      <c r="N758" s="301" t="s">
        <v>315</v>
      </c>
      <c r="O758" s="301" t="s">
        <v>315</v>
      </c>
      <c r="P758" s="301" t="s">
        <v>315</v>
      </c>
      <c r="Q758" s="301" t="s">
        <v>315</v>
      </c>
      <c r="R758" s="301" t="s">
        <v>315</v>
      </c>
      <c r="S758" s="301" t="s">
        <v>4268</v>
      </c>
      <c r="T758" s="301" t="s">
        <v>4269</v>
      </c>
      <c r="U758" s="301" t="s">
        <v>4270</v>
      </c>
      <c r="V758" s="301" t="s">
        <v>4271</v>
      </c>
      <c r="W758" s="298" t="s">
        <v>536</v>
      </c>
      <c r="X758" s="298" t="s">
        <v>306</v>
      </c>
    </row>
    <row r="759">
      <c r="A759" s="295" t="s">
        <v>4272</v>
      </c>
      <c r="B759" s="298">
        <v>7.0</v>
      </c>
      <c r="C759" s="298" t="s">
        <v>288</v>
      </c>
      <c r="D759" s="298" t="s">
        <v>289</v>
      </c>
      <c r="E759" s="298" t="s">
        <v>290</v>
      </c>
      <c r="F759" s="298" t="str">
        <f>'Character Sheet'!$C$9</f>
        <v/>
      </c>
      <c r="G759" s="298" t="s">
        <v>294</v>
      </c>
      <c r="H759" s="298" t="s">
        <v>352</v>
      </c>
      <c r="I759" s="298" t="s">
        <v>447</v>
      </c>
      <c r="J759" s="298" t="s">
        <v>180</v>
      </c>
      <c r="K759" s="298" t="s">
        <v>298</v>
      </c>
      <c r="L759" s="298" t="s">
        <v>493</v>
      </c>
      <c r="M759" s="301" t="s">
        <v>315</v>
      </c>
      <c r="N759" s="301" t="s">
        <v>315</v>
      </c>
      <c r="O759" s="301" t="s">
        <v>315</v>
      </c>
      <c r="P759" s="301" t="s">
        <v>315</v>
      </c>
      <c r="Q759" s="301" t="s">
        <v>315</v>
      </c>
      <c r="R759" s="301" t="s">
        <v>315</v>
      </c>
      <c r="S759" s="301" t="s">
        <v>4273</v>
      </c>
      <c r="T759" s="301" t="s">
        <v>4274</v>
      </c>
      <c r="U759" s="301" t="s">
        <v>4275</v>
      </c>
      <c r="V759" s="301" t="s">
        <v>4276</v>
      </c>
      <c r="W759" s="298" t="s">
        <v>499</v>
      </c>
      <c r="X759" s="298" t="s">
        <v>306</v>
      </c>
    </row>
    <row r="760">
      <c r="A760" s="341" t="s">
        <v>4277</v>
      </c>
      <c r="B760" s="343">
        <v>7.0</v>
      </c>
      <c r="C760" s="343" t="s">
        <v>288</v>
      </c>
      <c r="D760" s="343" t="s">
        <v>359</v>
      </c>
      <c r="E760" s="343" t="s">
        <v>311</v>
      </c>
      <c r="F760" s="343" t="str">
        <f>'Character Sheet'!$C$9</f>
        <v/>
      </c>
      <c r="G760" s="343" t="s">
        <v>294</v>
      </c>
      <c r="H760" s="343" t="s">
        <v>352</v>
      </c>
      <c r="I760" s="343" t="s">
        <v>296</v>
      </c>
      <c r="J760" s="343" t="s">
        <v>192</v>
      </c>
      <c r="K760" s="343" t="s">
        <v>298</v>
      </c>
      <c r="L760" s="343" t="s">
        <v>493</v>
      </c>
      <c r="M760" s="344" t="s">
        <v>315</v>
      </c>
      <c r="N760" s="344" t="s">
        <v>315</v>
      </c>
      <c r="O760" s="344" t="s">
        <v>315</v>
      </c>
      <c r="P760" s="344" t="s">
        <v>315</v>
      </c>
      <c r="Q760" s="344" t="s">
        <v>315</v>
      </c>
      <c r="R760" s="344" t="s">
        <v>315</v>
      </c>
      <c r="S760" s="344" t="s">
        <v>4278</v>
      </c>
      <c r="T760" s="344" t="s">
        <v>4278</v>
      </c>
      <c r="U760" s="344" t="s">
        <v>4278</v>
      </c>
      <c r="V760" s="344" t="s">
        <v>4278</v>
      </c>
      <c r="W760" s="343" t="s">
        <v>460</v>
      </c>
      <c r="X760" s="343" t="s">
        <v>306</v>
      </c>
    </row>
    <row r="761">
      <c r="A761" s="295" t="s">
        <v>4279</v>
      </c>
      <c r="B761" s="298">
        <v>8.0</v>
      </c>
      <c r="C761" s="298" t="s">
        <v>432</v>
      </c>
      <c r="D761" s="298" t="s">
        <v>334</v>
      </c>
      <c r="E761" s="298" t="s">
        <v>311</v>
      </c>
      <c r="F761" s="298" t="str">
        <f>'Character Sheet'!$E$9</f>
        <v/>
      </c>
      <c r="G761" s="298" t="s">
        <v>674</v>
      </c>
      <c r="H761" s="298" t="s">
        <v>360</v>
      </c>
      <c r="I761" s="298" t="s">
        <v>4280</v>
      </c>
      <c r="J761" s="298" t="s">
        <v>315</v>
      </c>
      <c r="K761" s="298" t="s">
        <v>298</v>
      </c>
      <c r="L761" s="298" t="s">
        <v>493</v>
      </c>
      <c r="M761" s="301" t="s">
        <v>315</v>
      </c>
      <c r="N761" s="301" t="s">
        <v>315</v>
      </c>
      <c r="O761" s="301" t="s">
        <v>315</v>
      </c>
      <c r="P761" s="301" t="s">
        <v>315</v>
      </c>
      <c r="Q761" s="301" t="s">
        <v>315</v>
      </c>
      <c r="R761" s="301" t="s">
        <v>315</v>
      </c>
      <c r="S761" s="301" t="s">
        <v>315</v>
      </c>
      <c r="T761" s="301" t="s">
        <v>4281</v>
      </c>
      <c r="U761" s="301" t="s">
        <v>4281</v>
      </c>
      <c r="V761" s="301" t="s">
        <v>4281</v>
      </c>
      <c r="W761" s="298" t="s">
        <v>305</v>
      </c>
      <c r="X761" s="298" t="s">
        <v>815</v>
      </c>
    </row>
    <row r="762">
      <c r="A762" s="295" t="s">
        <v>4282</v>
      </c>
      <c r="B762" s="298">
        <v>8.0</v>
      </c>
      <c r="C762" s="298" t="s">
        <v>432</v>
      </c>
      <c r="D762" s="298" t="s">
        <v>421</v>
      </c>
      <c r="E762" s="298" t="s">
        <v>311</v>
      </c>
      <c r="F762" s="298" t="str">
        <f>'Character Sheet'!$E$9</f>
        <v/>
      </c>
      <c r="G762" s="298" t="s">
        <v>674</v>
      </c>
      <c r="H762" s="298" t="s">
        <v>324</v>
      </c>
      <c r="I762" s="298" t="s">
        <v>2607</v>
      </c>
      <c r="J762" s="298" t="s">
        <v>315</v>
      </c>
      <c r="K762" s="298" t="s">
        <v>424</v>
      </c>
      <c r="L762" s="298" t="s">
        <v>493</v>
      </c>
      <c r="M762" s="301" t="s">
        <v>315</v>
      </c>
      <c r="N762" s="301" t="s">
        <v>315</v>
      </c>
      <c r="O762" s="301" t="s">
        <v>315</v>
      </c>
      <c r="P762" s="301" t="s">
        <v>315</v>
      </c>
      <c r="Q762" s="301" t="s">
        <v>315</v>
      </c>
      <c r="R762" s="301" t="s">
        <v>315</v>
      </c>
      <c r="S762" s="301" t="s">
        <v>315</v>
      </c>
      <c r="T762" s="301" t="s">
        <v>4283</v>
      </c>
      <c r="U762" s="301" t="s">
        <v>4284</v>
      </c>
      <c r="V762" s="301" t="s">
        <v>4285</v>
      </c>
      <c r="W762" s="298" t="s">
        <v>331</v>
      </c>
      <c r="X762" s="298" t="s">
        <v>306</v>
      </c>
    </row>
    <row r="763">
      <c r="A763" s="295" t="s">
        <v>4286</v>
      </c>
      <c r="B763" s="298">
        <v>8.0</v>
      </c>
      <c r="C763" s="298" t="s">
        <v>288</v>
      </c>
      <c r="D763" s="298" t="s">
        <v>289</v>
      </c>
      <c r="E763" s="298" t="s">
        <v>290</v>
      </c>
      <c r="F763" s="298" t="str">
        <f>'Character Sheet'!$C$9</f>
        <v/>
      </c>
      <c r="G763" s="298" t="s">
        <v>294</v>
      </c>
      <c r="H763" s="298" t="s">
        <v>360</v>
      </c>
      <c r="I763" s="298" t="s">
        <v>296</v>
      </c>
      <c r="J763" s="298" t="s">
        <v>173</v>
      </c>
      <c r="K763" s="298" t="s">
        <v>298</v>
      </c>
      <c r="L763" s="298" t="s">
        <v>493</v>
      </c>
      <c r="M763" s="301" t="s">
        <v>315</v>
      </c>
      <c r="N763" s="301" t="s">
        <v>315</v>
      </c>
      <c r="O763" s="301" t="s">
        <v>315</v>
      </c>
      <c r="P763" s="301" t="s">
        <v>315</v>
      </c>
      <c r="Q763" s="301" t="s">
        <v>315</v>
      </c>
      <c r="R763" s="301" t="s">
        <v>315</v>
      </c>
      <c r="S763" s="301" t="s">
        <v>315</v>
      </c>
      <c r="T763" s="301" t="s">
        <v>4287</v>
      </c>
      <c r="U763" s="301" t="s">
        <v>4288</v>
      </c>
      <c r="V763" s="301" t="s">
        <v>4289</v>
      </c>
      <c r="W763" s="298" t="s">
        <v>305</v>
      </c>
      <c r="X763" s="298" t="s">
        <v>318</v>
      </c>
    </row>
    <row r="764">
      <c r="A764" s="295" t="s">
        <v>4290</v>
      </c>
      <c r="B764" s="298">
        <v>8.0</v>
      </c>
      <c r="C764" s="298" t="s">
        <v>288</v>
      </c>
      <c r="D764" s="298" t="s">
        <v>359</v>
      </c>
      <c r="E764" s="298" t="s">
        <v>290</v>
      </c>
      <c r="F764" s="298" t="str">
        <f>'Character Sheet'!$E$9</f>
        <v/>
      </c>
      <c r="G764" s="298" t="s">
        <v>294</v>
      </c>
      <c r="H764" s="298" t="s">
        <v>352</v>
      </c>
      <c r="I764" s="298" t="s">
        <v>1132</v>
      </c>
      <c r="J764" s="298" t="s">
        <v>192</v>
      </c>
      <c r="K764" s="298" t="s">
        <v>632</v>
      </c>
      <c r="L764" s="298" t="s">
        <v>493</v>
      </c>
      <c r="M764" s="301" t="s">
        <v>315</v>
      </c>
      <c r="N764" s="301" t="s">
        <v>315</v>
      </c>
      <c r="O764" s="301" t="s">
        <v>315</v>
      </c>
      <c r="P764" s="301" t="s">
        <v>315</v>
      </c>
      <c r="Q764" s="301" t="s">
        <v>315</v>
      </c>
      <c r="R764" s="301" t="s">
        <v>315</v>
      </c>
      <c r="S764" s="301" t="s">
        <v>315</v>
      </c>
      <c r="T764" s="301" t="s">
        <v>4291</v>
      </c>
      <c r="U764" s="301" t="s">
        <v>4292</v>
      </c>
      <c r="V764" s="301" t="s">
        <v>4293</v>
      </c>
      <c r="W764" s="298" t="s">
        <v>305</v>
      </c>
      <c r="X764" s="298" t="s">
        <v>318</v>
      </c>
    </row>
    <row r="765">
      <c r="A765" s="295" t="s">
        <v>4294</v>
      </c>
      <c r="B765" s="298">
        <v>8.0</v>
      </c>
      <c r="C765" s="298" t="s">
        <v>288</v>
      </c>
      <c r="D765" s="298" t="s">
        <v>359</v>
      </c>
      <c r="E765" s="298" t="s">
        <v>311</v>
      </c>
      <c r="F765" s="298" t="str">
        <f>'Character Sheet'!$C$9</f>
        <v/>
      </c>
      <c r="G765" s="298" t="s">
        <v>294</v>
      </c>
      <c r="H765" s="298" t="s">
        <v>352</v>
      </c>
      <c r="I765" s="298" t="s">
        <v>296</v>
      </c>
      <c r="J765" s="298" t="s">
        <v>192</v>
      </c>
      <c r="K765" s="298" t="s">
        <v>1174</v>
      </c>
      <c r="L765" s="298" t="s">
        <v>493</v>
      </c>
      <c r="M765" s="301" t="s">
        <v>315</v>
      </c>
      <c r="N765" s="301" t="s">
        <v>315</v>
      </c>
      <c r="O765" s="301" t="s">
        <v>315</v>
      </c>
      <c r="P765" s="301" t="s">
        <v>315</v>
      </c>
      <c r="Q765" s="301" t="s">
        <v>315</v>
      </c>
      <c r="R765" s="301" t="s">
        <v>315</v>
      </c>
      <c r="S765" s="301" t="s">
        <v>315</v>
      </c>
      <c r="T765" s="301" t="s">
        <v>4295</v>
      </c>
      <c r="U765" s="301" t="s">
        <v>4295</v>
      </c>
      <c r="V765" s="301" t="s">
        <v>4295</v>
      </c>
      <c r="W765" s="298" t="s">
        <v>429</v>
      </c>
      <c r="X765" s="298" t="s">
        <v>318</v>
      </c>
    </row>
    <row r="766">
      <c r="A766" s="295" t="s">
        <v>4296</v>
      </c>
      <c r="B766" s="298">
        <v>8.0</v>
      </c>
      <c r="C766" s="298" t="s">
        <v>288</v>
      </c>
      <c r="D766" s="298" t="s">
        <v>151</v>
      </c>
      <c r="E766" s="298" t="s">
        <v>311</v>
      </c>
      <c r="F766" s="298" t="str">
        <f>'Character Sheet'!$E$9</f>
        <v/>
      </c>
      <c r="G766" s="298" t="s">
        <v>674</v>
      </c>
      <c r="H766" s="298" t="s">
        <v>295</v>
      </c>
      <c r="I766" s="298" t="s">
        <v>4297</v>
      </c>
      <c r="J766" s="298" t="s">
        <v>315</v>
      </c>
      <c r="K766" s="298" t="s">
        <v>424</v>
      </c>
      <c r="L766" s="298" t="s">
        <v>493</v>
      </c>
      <c r="M766" s="301" t="s">
        <v>315</v>
      </c>
      <c r="N766" s="301" t="s">
        <v>315</v>
      </c>
      <c r="O766" s="301" t="s">
        <v>315</v>
      </c>
      <c r="P766" s="301" t="s">
        <v>315</v>
      </c>
      <c r="Q766" s="301" t="s">
        <v>315</v>
      </c>
      <c r="R766" s="301" t="s">
        <v>315</v>
      </c>
      <c r="S766" s="301" t="s">
        <v>315</v>
      </c>
      <c r="T766" s="301" t="s">
        <v>4298</v>
      </c>
      <c r="U766" s="301" t="s">
        <v>4298</v>
      </c>
      <c r="V766" s="301" t="s">
        <v>4298</v>
      </c>
      <c r="W766" s="298" t="s">
        <v>499</v>
      </c>
      <c r="X766" s="298" t="s">
        <v>318</v>
      </c>
    </row>
    <row r="767">
      <c r="A767" s="295" t="s">
        <v>4299</v>
      </c>
      <c r="B767" s="298">
        <v>8.0</v>
      </c>
      <c r="C767" s="298" t="s">
        <v>522</v>
      </c>
      <c r="D767" s="298" t="s">
        <v>289</v>
      </c>
      <c r="E767" s="298" t="s">
        <v>290</v>
      </c>
      <c r="F767" s="298" t="str">
        <f>'Character Sheet'!$C$9</f>
        <v/>
      </c>
      <c r="G767" s="298" t="s">
        <v>294</v>
      </c>
      <c r="H767" s="298" t="s">
        <v>1278</v>
      </c>
      <c r="I767" s="298" t="s">
        <v>1998</v>
      </c>
      <c r="J767" s="298" t="s">
        <v>180</v>
      </c>
      <c r="K767" s="298" t="s">
        <v>298</v>
      </c>
      <c r="L767" s="298" t="s">
        <v>493</v>
      </c>
      <c r="M767" s="301" t="s">
        <v>315</v>
      </c>
      <c r="N767" s="301" t="s">
        <v>315</v>
      </c>
      <c r="O767" s="301" t="s">
        <v>315</v>
      </c>
      <c r="P767" s="301" t="s">
        <v>315</v>
      </c>
      <c r="Q767" s="301" t="s">
        <v>315</v>
      </c>
      <c r="R767" s="301" t="s">
        <v>315</v>
      </c>
      <c r="S767" s="301" t="s">
        <v>315</v>
      </c>
      <c r="T767" s="301" t="s">
        <v>4300</v>
      </c>
      <c r="U767" s="301" t="s">
        <v>4301</v>
      </c>
      <c r="V767" s="301" t="s">
        <v>4302</v>
      </c>
      <c r="W767" s="298" t="s">
        <v>305</v>
      </c>
      <c r="X767" s="298" t="s">
        <v>4303</v>
      </c>
    </row>
    <row r="768">
      <c r="A768" s="295" t="s">
        <v>4304</v>
      </c>
      <c r="B768" s="298">
        <v>8.0</v>
      </c>
      <c r="C768" s="298" t="s">
        <v>522</v>
      </c>
      <c r="D768" s="298" t="s">
        <v>334</v>
      </c>
      <c r="E768" s="298" t="s">
        <v>290</v>
      </c>
      <c r="F768" s="298" t="str">
        <f>'Character Sheet'!$C$9</f>
        <v/>
      </c>
      <c r="G768" s="298" t="s">
        <v>294</v>
      </c>
      <c r="H768" s="298" t="s">
        <v>295</v>
      </c>
      <c r="I768" s="298" t="s">
        <v>4305</v>
      </c>
      <c r="J768" s="298" t="s">
        <v>336</v>
      </c>
      <c r="K768" s="298" t="s">
        <v>298</v>
      </c>
      <c r="L768" s="298" t="s">
        <v>493</v>
      </c>
      <c r="M768" s="301" t="s">
        <v>315</v>
      </c>
      <c r="N768" s="301" t="s">
        <v>315</v>
      </c>
      <c r="O768" s="301" t="s">
        <v>315</v>
      </c>
      <c r="P768" s="301" t="s">
        <v>315</v>
      </c>
      <c r="Q768" s="301" t="s">
        <v>315</v>
      </c>
      <c r="R768" s="301" t="s">
        <v>315</v>
      </c>
      <c r="S768" s="301" t="s">
        <v>315</v>
      </c>
      <c r="T768" s="301" t="s">
        <v>4306</v>
      </c>
      <c r="U768" s="301" t="s">
        <v>4307</v>
      </c>
      <c r="V768" s="301" t="s">
        <v>4308</v>
      </c>
      <c r="W768" s="298" t="s">
        <v>429</v>
      </c>
      <c r="X768" s="298" t="s">
        <v>4303</v>
      </c>
    </row>
    <row r="769">
      <c r="A769" s="295" t="s">
        <v>4309</v>
      </c>
      <c r="B769" s="298">
        <v>8.0</v>
      </c>
      <c r="C769" s="298" t="s">
        <v>288</v>
      </c>
      <c r="D769" s="298" t="s">
        <v>321</v>
      </c>
      <c r="E769" s="298" t="s">
        <v>311</v>
      </c>
      <c r="F769" s="298" t="str">
        <f>'Character Sheet'!$C$9</f>
        <v/>
      </c>
      <c r="G769" s="298" t="s">
        <v>2188</v>
      </c>
      <c r="H769" s="298" t="s">
        <v>335</v>
      </c>
      <c r="I769" s="298" t="s">
        <v>296</v>
      </c>
      <c r="J769" s="298" t="s">
        <v>315</v>
      </c>
      <c r="K769" s="298" t="s">
        <v>325</v>
      </c>
      <c r="L769" s="298" t="s">
        <v>493</v>
      </c>
      <c r="M769" s="301" t="s">
        <v>315</v>
      </c>
      <c r="N769" s="301" t="s">
        <v>315</v>
      </c>
      <c r="O769" s="301" t="s">
        <v>315</v>
      </c>
      <c r="P769" s="301" t="s">
        <v>315</v>
      </c>
      <c r="Q769" s="301" t="s">
        <v>315</v>
      </c>
      <c r="R769" s="301" t="s">
        <v>315</v>
      </c>
      <c r="S769" s="301" t="s">
        <v>315</v>
      </c>
      <c r="T769" s="301" t="s">
        <v>4310</v>
      </c>
      <c r="U769" s="301" t="s">
        <v>4310</v>
      </c>
      <c r="V769" s="301" t="s">
        <v>4310</v>
      </c>
      <c r="W769" s="298" t="s">
        <v>460</v>
      </c>
      <c r="X769" s="298" t="s">
        <v>306</v>
      </c>
    </row>
    <row r="770">
      <c r="A770" s="295" t="s">
        <v>4311</v>
      </c>
      <c r="B770" s="298">
        <v>8.0</v>
      </c>
      <c r="C770" s="298" t="s">
        <v>522</v>
      </c>
      <c r="D770" s="298" t="s">
        <v>310</v>
      </c>
      <c r="E770" s="298" t="s">
        <v>311</v>
      </c>
      <c r="F770" s="298" t="s">
        <v>999</v>
      </c>
      <c r="G770" s="298" t="s">
        <v>674</v>
      </c>
      <c r="H770" s="298" t="s">
        <v>1283</v>
      </c>
      <c r="I770" s="298" t="s">
        <v>1136</v>
      </c>
      <c r="J770" s="298" t="s">
        <v>315</v>
      </c>
      <c r="K770" s="298" t="s">
        <v>298</v>
      </c>
      <c r="L770" s="298" t="s">
        <v>493</v>
      </c>
      <c r="M770" s="301" t="s">
        <v>315</v>
      </c>
      <c r="N770" s="301" t="s">
        <v>315</v>
      </c>
      <c r="O770" s="301" t="s">
        <v>315</v>
      </c>
      <c r="P770" s="301" t="s">
        <v>315</v>
      </c>
      <c r="Q770" s="301" t="s">
        <v>315</v>
      </c>
      <c r="R770" s="301" t="s">
        <v>315</v>
      </c>
      <c r="S770" s="301" t="s">
        <v>315</v>
      </c>
      <c r="T770" s="301" t="s">
        <v>4312</v>
      </c>
      <c r="U770" s="301" t="s">
        <v>4312</v>
      </c>
      <c r="V770" s="301" t="s">
        <v>4312</v>
      </c>
      <c r="W770" s="298" t="s">
        <v>331</v>
      </c>
      <c r="X770" s="298" t="s">
        <v>306</v>
      </c>
    </row>
    <row r="771">
      <c r="A771" s="295" t="s">
        <v>4313</v>
      </c>
      <c r="B771" s="298">
        <v>8.0</v>
      </c>
      <c r="C771" s="298" t="s">
        <v>288</v>
      </c>
      <c r="D771" s="298" t="s">
        <v>334</v>
      </c>
      <c r="E771" s="298" t="s">
        <v>290</v>
      </c>
      <c r="F771" s="298" t="str">
        <f>'Character Sheet'!$C$9</f>
        <v/>
      </c>
      <c r="G771" s="298" t="s">
        <v>294</v>
      </c>
      <c r="H771" s="298" t="s">
        <v>352</v>
      </c>
      <c r="I771" s="298" t="s">
        <v>2254</v>
      </c>
      <c r="J771" s="298" t="s">
        <v>336</v>
      </c>
      <c r="K771" s="298" t="s">
        <v>298</v>
      </c>
      <c r="L771" s="298" t="s">
        <v>493</v>
      </c>
      <c r="M771" s="301" t="s">
        <v>315</v>
      </c>
      <c r="N771" s="301" t="s">
        <v>315</v>
      </c>
      <c r="O771" s="301" t="s">
        <v>315</v>
      </c>
      <c r="P771" s="301" t="s">
        <v>315</v>
      </c>
      <c r="Q771" s="301" t="s">
        <v>315</v>
      </c>
      <c r="R771" s="301" t="s">
        <v>315</v>
      </c>
      <c r="S771" s="301" t="s">
        <v>315</v>
      </c>
      <c r="T771" s="301" t="s">
        <v>4314</v>
      </c>
      <c r="U771" s="301" t="s">
        <v>4315</v>
      </c>
      <c r="V771" s="301" t="s">
        <v>4316</v>
      </c>
      <c r="W771" s="298" t="s">
        <v>404</v>
      </c>
      <c r="X771" s="298" t="s">
        <v>318</v>
      </c>
    </row>
    <row r="772">
      <c r="A772" s="295" t="s">
        <v>4317</v>
      </c>
      <c r="B772" s="298">
        <v>8.0</v>
      </c>
      <c r="C772" s="298" t="s">
        <v>288</v>
      </c>
      <c r="D772" s="298" t="s">
        <v>421</v>
      </c>
      <c r="E772" s="298" t="s">
        <v>311</v>
      </c>
      <c r="F772" s="298" t="str">
        <f>'Character Sheet'!$C$9</f>
        <v/>
      </c>
      <c r="G772" s="298" t="s">
        <v>294</v>
      </c>
      <c r="H772" s="298" t="s">
        <v>324</v>
      </c>
      <c r="I772" s="298" t="s">
        <v>2607</v>
      </c>
      <c r="J772" s="298" t="s">
        <v>315</v>
      </c>
      <c r="K772" s="298" t="s">
        <v>424</v>
      </c>
      <c r="L772" s="298" t="s">
        <v>493</v>
      </c>
      <c r="M772" s="301" t="s">
        <v>315</v>
      </c>
      <c r="N772" s="301" t="s">
        <v>315</v>
      </c>
      <c r="O772" s="301" t="s">
        <v>315</v>
      </c>
      <c r="P772" s="301" t="s">
        <v>315</v>
      </c>
      <c r="Q772" s="301" t="s">
        <v>315</v>
      </c>
      <c r="R772" s="301" t="s">
        <v>315</v>
      </c>
      <c r="S772" s="301" t="s">
        <v>315</v>
      </c>
      <c r="T772" s="301" t="s">
        <v>4318</v>
      </c>
      <c r="U772" s="301" t="s">
        <v>4318</v>
      </c>
      <c r="V772" s="301" t="s">
        <v>4318</v>
      </c>
      <c r="W772" s="298" t="s">
        <v>404</v>
      </c>
      <c r="X772" s="298" t="s">
        <v>306</v>
      </c>
    </row>
    <row r="773">
      <c r="A773" s="295" t="s">
        <v>4319</v>
      </c>
      <c r="B773" s="298">
        <v>8.0</v>
      </c>
      <c r="C773" s="298" t="s">
        <v>288</v>
      </c>
      <c r="D773" s="298" t="s">
        <v>359</v>
      </c>
      <c r="E773" s="298" t="s">
        <v>311</v>
      </c>
      <c r="F773" s="298" t="str">
        <f>'Character Sheet'!$C$9</f>
        <v/>
      </c>
      <c r="G773" s="298" t="s">
        <v>294</v>
      </c>
      <c r="H773" s="298" t="s">
        <v>335</v>
      </c>
      <c r="I773" s="298" t="s">
        <v>952</v>
      </c>
      <c r="J773" s="298" t="s">
        <v>315</v>
      </c>
      <c r="K773" s="298" t="s">
        <v>298</v>
      </c>
      <c r="L773" s="298" t="s">
        <v>493</v>
      </c>
      <c r="M773" s="301" t="s">
        <v>315</v>
      </c>
      <c r="N773" s="301" t="s">
        <v>315</v>
      </c>
      <c r="O773" s="301" t="s">
        <v>315</v>
      </c>
      <c r="P773" s="301" t="s">
        <v>315</v>
      </c>
      <c r="Q773" s="301" t="s">
        <v>315</v>
      </c>
      <c r="R773" s="301" t="s">
        <v>315</v>
      </c>
      <c r="S773" s="301" t="s">
        <v>315</v>
      </c>
      <c r="T773" s="301" t="s">
        <v>4320</v>
      </c>
      <c r="U773" s="301" t="s">
        <v>4320</v>
      </c>
      <c r="V773" s="301" t="s">
        <v>4320</v>
      </c>
      <c r="W773" s="298" t="s">
        <v>404</v>
      </c>
      <c r="X773" s="298" t="s">
        <v>306</v>
      </c>
    </row>
    <row r="774">
      <c r="A774" s="295" t="s">
        <v>4321</v>
      </c>
      <c r="B774" s="298">
        <v>8.0</v>
      </c>
      <c r="C774" s="298" t="s">
        <v>288</v>
      </c>
      <c r="D774" s="298" t="s">
        <v>321</v>
      </c>
      <c r="E774" s="298" t="s">
        <v>311</v>
      </c>
      <c r="F774" s="298" t="s">
        <v>999</v>
      </c>
      <c r="G774" s="298" t="s">
        <v>294</v>
      </c>
      <c r="H774" s="298" t="s">
        <v>2115</v>
      </c>
      <c r="I774" s="298" t="s">
        <v>4322</v>
      </c>
      <c r="J774" s="298" t="s">
        <v>315</v>
      </c>
      <c r="K774" s="298" t="s">
        <v>675</v>
      </c>
      <c r="L774" s="298" t="s">
        <v>493</v>
      </c>
      <c r="M774" s="301" t="s">
        <v>315</v>
      </c>
      <c r="N774" s="301" t="s">
        <v>315</v>
      </c>
      <c r="O774" s="301" t="s">
        <v>315</v>
      </c>
      <c r="P774" s="301" t="s">
        <v>315</v>
      </c>
      <c r="Q774" s="301" t="s">
        <v>315</v>
      </c>
      <c r="R774" s="301" t="s">
        <v>315</v>
      </c>
      <c r="S774" s="301" t="s">
        <v>315</v>
      </c>
      <c r="T774" s="301" t="s">
        <v>4323</v>
      </c>
      <c r="U774" s="301" t="s">
        <v>4323</v>
      </c>
      <c r="V774" s="301" t="s">
        <v>4323</v>
      </c>
      <c r="W774" s="298" t="s">
        <v>460</v>
      </c>
      <c r="X774" s="298" t="s">
        <v>306</v>
      </c>
    </row>
    <row r="775">
      <c r="A775" s="295" t="s">
        <v>4324</v>
      </c>
      <c r="B775" s="298">
        <v>8.0</v>
      </c>
      <c r="C775" s="298" t="s">
        <v>288</v>
      </c>
      <c r="D775" s="298" t="s">
        <v>289</v>
      </c>
      <c r="E775" s="298" t="s">
        <v>290</v>
      </c>
      <c r="F775" s="298" t="str">
        <f>'Character Sheet'!$C$9</f>
        <v/>
      </c>
      <c r="G775" s="298" t="s">
        <v>294</v>
      </c>
      <c r="H775" s="298" t="s">
        <v>1278</v>
      </c>
      <c r="I775" s="298" t="s">
        <v>2254</v>
      </c>
      <c r="J775" s="298" t="s">
        <v>315</v>
      </c>
      <c r="K775" s="298" t="s">
        <v>478</v>
      </c>
      <c r="L775" s="298" t="s">
        <v>493</v>
      </c>
      <c r="M775" s="301" t="s">
        <v>315</v>
      </c>
      <c r="N775" s="301" t="s">
        <v>315</v>
      </c>
      <c r="O775" s="301" t="s">
        <v>315</v>
      </c>
      <c r="P775" s="301" t="s">
        <v>315</v>
      </c>
      <c r="Q775" s="301" t="s">
        <v>315</v>
      </c>
      <c r="R775" s="301" t="s">
        <v>315</v>
      </c>
      <c r="S775" s="301" t="s">
        <v>315</v>
      </c>
      <c r="T775" s="301" t="s">
        <v>4325</v>
      </c>
      <c r="U775" s="301" t="s">
        <v>4325</v>
      </c>
      <c r="V775" s="301" t="s">
        <v>4326</v>
      </c>
      <c r="W775" s="298" t="s">
        <v>305</v>
      </c>
      <c r="X775" s="298" t="s">
        <v>306</v>
      </c>
    </row>
    <row r="776">
      <c r="A776" s="295" t="s">
        <v>4327</v>
      </c>
      <c r="B776" s="298">
        <v>8.0</v>
      </c>
      <c r="C776" s="298" t="s">
        <v>288</v>
      </c>
      <c r="D776" s="298" t="s">
        <v>289</v>
      </c>
      <c r="E776" s="298" t="s">
        <v>311</v>
      </c>
      <c r="F776" s="298" t="str">
        <f>'Character Sheet'!$C$9</f>
        <v/>
      </c>
      <c r="G776" s="298" t="s">
        <v>294</v>
      </c>
      <c r="H776" s="298" t="s">
        <v>352</v>
      </c>
      <c r="I776" s="298" t="s">
        <v>4328</v>
      </c>
      <c r="J776" s="298" t="s">
        <v>173</v>
      </c>
      <c r="K776" s="298" t="s">
        <v>298</v>
      </c>
      <c r="L776" s="298" t="s">
        <v>493</v>
      </c>
      <c r="M776" s="301" t="s">
        <v>315</v>
      </c>
      <c r="N776" s="301" t="s">
        <v>315</v>
      </c>
      <c r="O776" s="301" t="s">
        <v>315</v>
      </c>
      <c r="P776" s="301" t="s">
        <v>315</v>
      </c>
      <c r="Q776" s="301" t="s">
        <v>315</v>
      </c>
      <c r="R776" s="301" t="s">
        <v>315</v>
      </c>
      <c r="S776" s="301" t="s">
        <v>315</v>
      </c>
      <c r="T776" s="301" t="s">
        <v>4329</v>
      </c>
      <c r="U776" s="301" t="s">
        <v>4329</v>
      </c>
      <c r="V776" s="301" t="s">
        <v>4329</v>
      </c>
      <c r="W776" s="298" t="s">
        <v>460</v>
      </c>
      <c r="X776" s="298" t="s">
        <v>569</v>
      </c>
    </row>
    <row r="777">
      <c r="A777" s="295" t="s">
        <v>4330</v>
      </c>
      <c r="B777" s="298">
        <v>8.0</v>
      </c>
      <c r="C777" s="298" t="s">
        <v>288</v>
      </c>
      <c r="D777" s="298" t="s">
        <v>334</v>
      </c>
      <c r="E777" s="298" t="s">
        <v>290</v>
      </c>
      <c r="F777" s="298" t="str">
        <f>'Character Sheet'!$C$9</f>
        <v/>
      </c>
      <c r="G777" s="298" t="s">
        <v>294</v>
      </c>
      <c r="H777" s="298" t="s">
        <v>1278</v>
      </c>
      <c r="I777" s="298" t="s">
        <v>4331</v>
      </c>
      <c r="J777" s="298" t="s">
        <v>336</v>
      </c>
      <c r="K777" s="298" t="s">
        <v>298</v>
      </c>
      <c r="L777" s="298" t="s">
        <v>493</v>
      </c>
      <c r="M777" s="301" t="s">
        <v>315</v>
      </c>
      <c r="N777" s="301" t="s">
        <v>315</v>
      </c>
      <c r="O777" s="301" t="s">
        <v>315</v>
      </c>
      <c r="P777" s="301" t="s">
        <v>315</v>
      </c>
      <c r="Q777" s="301" t="s">
        <v>315</v>
      </c>
      <c r="R777" s="301" t="s">
        <v>315</v>
      </c>
      <c r="S777" s="301" t="s">
        <v>315</v>
      </c>
      <c r="T777" s="301" t="s">
        <v>4332</v>
      </c>
      <c r="U777" s="301" t="s">
        <v>4333</v>
      </c>
      <c r="V777" s="301" t="s">
        <v>4334</v>
      </c>
      <c r="W777" s="298" t="s">
        <v>305</v>
      </c>
      <c r="X777" s="298" t="s">
        <v>306</v>
      </c>
    </row>
    <row r="778">
      <c r="A778" s="295" t="s">
        <v>4335</v>
      </c>
      <c r="B778" s="298">
        <v>8.0</v>
      </c>
      <c r="C778" s="298" t="s">
        <v>432</v>
      </c>
      <c r="D778" s="298" t="s">
        <v>321</v>
      </c>
      <c r="E778" s="298" t="s">
        <v>311</v>
      </c>
      <c r="F778" s="298" t="str">
        <f>'Character Sheet'!$C$9</f>
        <v/>
      </c>
      <c r="G778" s="298" t="s">
        <v>294</v>
      </c>
      <c r="H778" s="298" t="s">
        <v>295</v>
      </c>
      <c r="I778" s="298" t="s">
        <v>4336</v>
      </c>
      <c r="J778" s="298" t="s">
        <v>192</v>
      </c>
      <c r="K778" s="298" t="s">
        <v>298</v>
      </c>
      <c r="L778" s="298" t="s">
        <v>493</v>
      </c>
      <c r="M778" s="301" t="s">
        <v>315</v>
      </c>
      <c r="N778" s="301" t="s">
        <v>315</v>
      </c>
      <c r="O778" s="301" t="s">
        <v>315</v>
      </c>
      <c r="P778" s="301" t="s">
        <v>315</v>
      </c>
      <c r="Q778" s="301" t="s">
        <v>315</v>
      </c>
      <c r="R778" s="301" t="s">
        <v>315</v>
      </c>
      <c r="S778" s="301" t="s">
        <v>315</v>
      </c>
      <c r="T778" s="301" t="s">
        <v>4337</v>
      </c>
      <c r="U778" s="301" t="s">
        <v>4337</v>
      </c>
      <c r="V778" s="301" t="s">
        <v>4337</v>
      </c>
      <c r="W778" s="298" t="s">
        <v>536</v>
      </c>
      <c r="X778" s="298" t="s">
        <v>722</v>
      </c>
    </row>
    <row r="779">
      <c r="A779" s="295" t="s">
        <v>4338</v>
      </c>
      <c r="B779" s="298">
        <v>8.0</v>
      </c>
      <c r="C779" s="298" t="s">
        <v>288</v>
      </c>
      <c r="D779" s="298" t="s">
        <v>151</v>
      </c>
      <c r="E779" s="298" t="s">
        <v>311</v>
      </c>
      <c r="F779" s="298" t="str">
        <f>'Character Sheet'!$C$9</f>
        <v/>
      </c>
      <c r="G779" s="298" t="s">
        <v>294</v>
      </c>
      <c r="H779" s="298" t="s">
        <v>295</v>
      </c>
      <c r="I779" s="298" t="s">
        <v>296</v>
      </c>
      <c r="J779" s="298" t="s">
        <v>315</v>
      </c>
      <c r="K779" s="298" t="s">
        <v>1753</v>
      </c>
      <c r="L779" s="298" t="s">
        <v>493</v>
      </c>
      <c r="M779" s="301" t="s">
        <v>315</v>
      </c>
      <c r="N779" s="301" t="s">
        <v>315</v>
      </c>
      <c r="O779" s="301" t="s">
        <v>315</v>
      </c>
      <c r="P779" s="301" t="s">
        <v>315</v>
      </c>
      <c r="Q779" s="301" t="s">
        <v>315</v>
      </c>
      <c r="R779" s="301" t="s">
        <v>315</v>
      </c>
      <c r="S779" s="301" t="s">
        <v>315</v>
      </c>
      <c r="T779" s="301" t="s">
        <v>4339</v>
      </c>
      <c r="U779" s="301" t="s">
        <v>4339</v>
      </c>
      <c r="V779" s="301" t="s">
        <v>4339</v>
      </c>
      <c r="W779" s="298" t="s">
        <v>460</v>
      </c>
      <c r="X779" s="298" t="s">
        <v>306</v>
      </c>
    </row>
    <row r="780">
      <c r="A780" s="295" t="s">
        <v>4340</v>
      </c>
      <c r="B780" s="298">
        <v>8.0</v>
      </c>
      <c r="C780" s="298" t="s">
        <v>522</v>
      </c>
      <c r="D780" s="298" t="s">
        <v>421</v>
      </c>
      <c r="E780" s="298" t="s">
        <v>311</v>
      </c>
      <c r="F780" s="298" t="str">
        <f>'Character Sheet'!$C$9</f>
        <v/>
      </c>
      <c r="G780" s="298" t="s">
        <v>294</v>
      </c>
      <c r="H780" s="298" t="s">
        <v>295</v>
      </c>
      <c r="I780" s="298" t="s">
        <v>296</v>
      </c>
      <c r="J780" s="298" t="s">
        <v>315</v>
      </c>
      <c r="K780" s="298" t="s">
        <v>1972</v>
      </c>
      <c r="L780" s="298" t="s">
        <v>493</v>
      </c>
      <c r="M780" s="301" t="s">
        <v>315</v>
      </c>
      <c r="N780" s="301" t="s">
        <v>315</v>
      </c>
      <c r="O780" s="301" t="s">
        <v>315</v>
      </c>
      <c r="P780" s="301" t="s">
        <v>315</v>
      </c>
      <c r="Q780" s="301" t="s">
        <v>315</v>
      </c>
      <c r="R780" s="301" t="s">
        <v>315</v>
      </c>
      <c r="S780" s="301" t="s">
        <v>315</v>
      </c>
      <c r="T780" s="301" t="s">
        <v>4341</v>
      </c>
      <c r="U780" s="301" t="s">
        <v>4341</v>
      </c>
      <c r="V780" s="301" t="s">
        <v>4341</v>
      </c>
      <c r="W780" s="298" t="s">
        <v>460</v>
      </c>
      <c r="X780" s="298" t="s">
        <v>306</v>
      </c>
    </row>
    <row r="781">
      <c r="A781" s="295" t="s">
        <v>4342</v>
      </c>
      <c r="B781" s="298">
        <v>8.0</v>
      </c>
      <c r="C781" s="298" t="s">
        <v>288</v>
      </c>
      <c r="D781" s="298" t="s">
        <v>334</v>
      </c>
      <c r="E781" s="298" t="s">
        <v>311</v>
      </c>
      <c r="F781" s="298" t="str">
        <f>'Character Sheet'!$C$9</f>
        <v/>
      </c>
      <c r="G781" s="298" t="s">
        <v>294</v>
      </c>
      <c r="H781" s="298" t="s">
        <v>335</v>
      </c>
      <c r="I781" s="298" t="s">
        <v>4343</v>
      </c>
      <c r="J781" s="298" t="s">
        <v>315</v>
      </c>
      <c r="K781" s="298" t="s">
        <v>298</v>
      </c>
      <c r="L781" s="298" t="s">
        <v>493</v>
      </c>
      <c r="M781" s="301" t="s">
        <v>315</v>
      </c>
      <c r="N781" s="301" t="s">
        <v>315</v>
      </c>
      <c r="O781" s="301" t="s">
        <v>315</v>
      </c>
      <c r="P781" s="301" t="s">
        <v>315</v>
      </c>
      <c r="Q781" s="301" t="s">
        <v>315</v>
      </c>
      <c r="R781" s="301" t="s">
        <v>315</v>
      </c>
      <c r="S781" s="301" t="s">
        <v>315</v>
      </c>
      <c r="T781" s="301" t="s">
        <v>4344</v>
      </c>
      <c r="U781" s="301" t="s">
        <v>4344</v>
      </c>
      <c r="V781" s="301" t="s">
        <v>4344</v>
      </c>
      <c r="W781" s="298" t="s">
        <v>389</v>
      </c>
      <c r="X781" s="298" t="s">
        <v>306</v>
      </c>
    </row>
    <row r="782">
      <c r="A782" s="295" t="s">
        <v>4345</v>
      </c>
      <c r="B782" s="298">
        <v>8.0</v>
      </c>
      <c r="C782" s="298" t="s">
        <v>288</v>
      </c>
      <c r="D782" s="298" t="s">
        <v>462</v>
      </c>
      <c r="E782" s="298" t="s">
        <v>290</v>
      </c>
      <c r="F782" s="298" t="str">
        <f>'Character Sheet'!$C$9</f>
        <v/>
      </c>
      <c r="G782" s="298" t="s">
        <v>294</v>
      </c>
      <c r="H782" s="298" t="s">
        <v>324</v>
      </c>
      <c r="I782" s="298" t="s">
        <v>324</v>
      </c>
      <c r="J782" s="298" t="s">
        <v>315</v>
      </c>
      <c r="K782" s="298" t="s">
        <v>632</v>
      </c>
      <c r="L782" s="298" t="s">
        <v>493</v>
      </c>
      <c r="M782" s="301" t="s">
        <v>315</v>
      </c>
      <c r="N782" s="301" t="s">
        <v>315</v>
      </c>
      <c r="O782" s="301" t="s">
        <v>315</v>
      </c>
      <c r="P782" s="301" t="s">
        <v>315</v>
      </c>
      <c r="Q782" s="301" t="s">
        <v>315</v>
      </c>
      <c r="R782" s="301" t="s">
        <v>315</v>
      </c>
      <c r="S782" s="301" t="s">
        <v>315</v>
      </c>
      <c r="T782" s="301" t="s">
        <v>4346</v>
      </c>
      <c r="U782" s="301" t="s">
        <v>4347</v>
      </c>
      <c r="V782" s="301" t="s">
        <v>4347</v>
      </c>
      <c r="W782" s="298" t="s">
        <v>305</v>
      </c>
      <c r="X782" s="298" t="s">
        <v>306</v>
      </c>
    </row>
    <row r="783">
      <c r="A783" s="295" t="s">
        <v>4348</v>
      </c>
      <c r="B783" s="298">
        <v>8.0</v>
      </c>
      <c r="C783" s="298" t="s">
        <v>288</v>
      </c>
      <c r="D783" s="298" t="s">
        <v>289</v>
      </c>
      <c r="E783" s="298" t="s">
        <v>290</v>
      </c>
      <c r="F783" s="298" t="str">
        <f>'Character Sheet'!$C$9</f>
        <v/>
      </c>
      <c r="G783" s="298" t="s">
        <v>294</v>
      </c>
      <c r="H783" s="298" t="s">
        <v>352</v>
      </c>
      <c r="I783" s="298" t="s">
        <v>296</v>
      </c>
      <c r="J783" s="298" t="s">
        <v>203</v>
      </c>
      <c r="K783" s="298" t="s">
        <v>298</v>
      </c>
      <c r="L783" s="298" t="s">
        <v>493</v>
      </c>
      <c r="M783" s="301" t="s">
        <v>315</v>
      </c>
      <c r="N783" s="301" t="s">
        <v>315</v>
      </c>
      <c r="O783" s="301" t="s">
        <v>315</v>
      </c>
      <c r="P783" s="301" t="s">
        <v>315</v>
      </c>
      <c r="Q783" s="301" t="s">
        <v>315</v>
      </c>
      <c r="R783" s="301" t="s">
        <v>315</v>
      </c>
      <c r="S783" s="301" t="s">
        <v>315</v>
      </c>
      <c r="T783" s="301" t="s">
        <v>4349</v>
      </c>
      <c r="U783" s="301" t="s">
        <v>4350</v>
      </c>
      <c r="V783" s="301" t="s">
        <v>4351</v>
      </c>
      <c r="W783" s="298" t="s">
        <v>305</v>
      </c>
      <c r="X783" s="298" t="s">
        <v>306</v>
      </c>
    </row>
    <row r="784">
      <c r="A784" s="295" t="s">
        <v>4352</v>
      </c>
      <c r="B784" s="298">
        <v>8.0</v>
      </c>
      <c r="C784" s="298" t="s">
        <v>522</v>
      </c>
      <c r="D784" s="298" t="s">
        <v>359</v>
      </c>
      <c r="E784" s="298" t="s">
        <v>290</v>
      </c>
      <c r="F784" s="298" t="str">
        <f>'Character Sheet'!$B$9</f>
        <v/>
      </c>
      <c r="G784" s="298" t="s">
        <v>477</v>
      </c>
      <c r="H784" s="298" t="s">
        <v>295</v>
      </c>
      <c r="I784" s="298" t="s">
        <v>296</v>
      </c>
      <c r="J784" s="298" t="s">
        <v>315</v>
      </c>
      <c r="K784" s="298" t="s">
        <v>1174</v>
      </c>
      <c r="L784" s="298" t="s">
        <v>493</v>
      </c>
      <c r="M784" s="301" t="s">
        <v>315</v>
      </c>
      <c r="N784" s="301" t="s">
        <v>315</v>
      </c>
      <c r="O784" s="301" t="s">
        <v>315</v>
      </c>
      <c r="P784" s="301" t="s">
        <v>315</v>
      </c>
      <c r="Q784" s="301" t="s">
        <v>315</v>
      </c>
      <c r="R784" s="301" t="s">
        <v>315</v>
      </c>
      <c r="S784" s="301" t="s">
        <v>315</v>
      </c>
      <c r="T784" s="301" t="s">
        <v>4353</v>
      </c>
      <c r="U784" s="301" t="s">
        <v>4354</v>
      </c>
      <c r="V784" s="301" t="s">
        <v>4355</v>
      </c>
      <c r="W784" s="298" t="s">
        <v>442</v>
      </c>
      <c r="X784" s="298" t="s">
        <v>306</v>
      </c>
    </row>
    <row r="785">
      <c r="A785" s="295" t="s">
        <v>4356</v>
      </c>
      <c r="B785" s="298">
        <v>8.0</v>
      </c>
      <c r="C785" s="298" t="s">
        <v>288</v>
      </c>
      <c r="D785" s="298" t="s">
        <v>421</v>
      </c>
      <c r="E785" s="298" t="s">
        <v>311</v>
      </c>
      <c r="F785" s="298" t="str">
        <f>'Character Sheet'!$C$9</f>
        <v/>
      </c>
      <c r="G785" s="298" t="s">
        <v>294</v>
      </c>
      <c r="H785" s="298" t="s">
        <v>352</v>
      </c>
      <c r="I785" s="298" t="s">
        <v>1225</v>
      </c>
      <c r="J785" s="298" t="s">
        <v>315</v>
      </c>
      <c r="K785" s="298" t="s">
        <v>675</v>
      </c>
      <c r="L785" s="298" t="s">
        <v>493</v>
      </c>
      <c r="M785" s="301" t="s">
        <v>315</v>
      </c>
      <c r="N785" s="301" t="s">
        <v>315</v>
      </c>
      <c r="O785" s="301" t="s">
        <v>315</v>
      </c>
      <c r="P785" s="301" t="s">
        <v>315</v>
      </c>
      <c r="Q785" s="301" t="s">
        <v>315</v>
      </c>
      <c r="R785" s="301" t="s">
        <v>315</v>
      </c>
      <c r="S785" s="301" t="s">
        <v>315</v>
      </c>
      <c r="T785" s="301" t="s">
        <v>4357</v>
      </c>
      <c r="U785" s="301" t="s">
        <v>4357</v>
      </c>
      <c r="V785" s="301" t="s">
        <v>4357</v>
      </c>
      <c r="W785" s="298" t="s">
        <v>460</v>
      </c>
      <c r="X785" s="298" t="s">
        <v>306</v>
      </c>
    </row>
    <row r="786">
      <c r="A786" s="295" t="s">
        <v>4358</v>
      </c>
      <c r="B786" s="298">
        <v>8.0</v>
      </c>
      <c r="C786" s="298" t="s">
        <v>522</v>
      </c>
      <c r="D786" s="298" t="s">
        <v>310</v>
      </c>
      <c r="E786" s="298" t="s">
        <v>290</v>
      </c>
      <c r="F786" s="298" t="s">
        <v>625</v>
      </c>
      <c r="G786" s="298" t="s">
        <v>674</v>
      </c>
      <c r="H786" s="298" t="s">
        <v>324</v>
      </c>
      <c r="I786" s="298" t="s">
        <v>4359</v>
      </c>
      <c r="J786" s="298" t="s">
        <v>315</v>
      </c>
      <c r="K786" s="298" t="s">
        <v>675</v>
      </c>
      <c r="L786" s="298" t="s">
        <v>493</v>
      </c>
      <c r="M786" s="301" t="s">
        <v>315</v>
      </c>
      <c r="N786" s="301" t="s">
        <v>315</v>
      </c>
      <c r="O786" s="301" t="s">
        <v>315</v>
      </c>
      <c r="P786" s="301" t="s">
        <v>315</v>
      </c>
      <c r="Q786" s="301" t="s">
        <v>315</v>
      </c>
      <c r="R786" s="301" t="s">
        <v>315</v>
      </c>
      <c r="S786" s="301" t="s">
        <v>315</v>
      </c>
      <c r="T786" s="301" t="s">
        <v>4360</v>
      </c>
      <c r="U786" s="301" t="s">
        <v>4360</v>
      </c>
      <c r="V786" s="301" t="s">
        <v>4361</v>
      </c>
      <c r="W786" s="298" t="s">
        <v>460</v>
      </c>
      <c r="X786" s="298" t="s">
        <v>4303</v>
      </c>
    </row>
    <row r="787">
      <c r="A787" s="295" t="s">
        <v>4362</v>
      </c>
      <c r="B787" s="298">
        <v>8.0</v>
      </c>
      <c r="C787" s="298" t="s">
        <v>288</v>
      </c>
      <c r="D787" s="298" t="s">
        <v>289</v>
      </c>
      <c r="E787" s="298" t="s">
        <v>311</v>
      </c>
      <c r="F787" s="298" t="str">
        <f>'Character Sheet'!$E$9</f>
        <v/>
      </c>
      <c r="G787" s="298" t="s">
        <v>674</v>
      </c>
      <c r="H787" s="298" t="s">
        <v>708</v>
      </c>
      <c r="I787" s="298" t="s">
        <v>4363</v>
      </c>
      <c r="J787" s="298" t="s">
        <v>315</v>
      </c>
      <c r="K787" s="298" t="s">
        <v>424</v>
      </c>
      <c r="L787" s="298" t="s">
        <v>493</v>
      </c>
      <c r="M787" s="301" t="s">
        <v>315</v>
      </c>
      <c r="N787" s="301" t="s">
        <v>315</v>
      </c>
      <c r="O787" s="301" t="s">
        <v>315</v>
      </c>
      <c r="P787" s="301" t="s">
        <v>315</v>
      </c>
      <c r="Q787" s="301" t="s">
        <v>315</v>
      </c>
      <c r="R787" s="301" t="s">
        <v>315</v>
      </c>
      <c r="S787" s="301" t="s">
        <v>315</v>
      </c>
      <c r="T787" s="301" t="s">
        <v>4364</v>
      </c>
      <c r="U787" s="301" t="s">
        <v>4364</v>
      </c>
      <c r="V787" s="301" t="s">
        <v>4364</v>
      </c>
      <c r="W787" s="298" t="s">
        <v>499</v>
      </c>
      <c r="X787" s="298" t="s">
        <v>306</v>
      </c>
    </row>
    <row r="788">
      <c r="A788" s="295" t="s">
        <v>4365</v>
      </c>
      <c r="B788" s="298">
        <v>8.0</v>
      </c>
      <c r="C788" s="298" t="s">
        <v>288</v>
      </c>
      <c r="D788" s="298" t="s">
        <v>321</v>
      </c>
      <c r="E788" s="298" t="s">
        <v>311</v>
      </c>
      <c r="F788" s="298" t="str">
        <f>'Character Sheet'!$C$9</f>
        <v/>
      </c>
      <c r="G788" s="298" t="s">
        <v>2188</v>
      </c>
      <c r="H788" s="298" t="s">
        <v>352</v>
      </c>
      <c r="I788" s="298" t="s">
        <v>1000</v>
      </c>
      <c r="J788" s="298" t="s">
        <v>192</v>
      </c>
      <c r="K788" s="298" t="s">
        <v>424</v>
      </c>
      <c r="L788" s="298" t="s">
        <v>493</v>
      </c>
      <c r="M788" s="301" t="s">
        <v>315</v>
      </c>
      <c r="N788" s="301" t="s">
        <v>315</v>
      </c>
      <c r="O788" s="301" t="s">
        <v>315</v>
      </c>
      <c r="P788" s="301" t="s">
        <v>315</v>
      </c>
      <c r="Q788" s="301" t="s">
        <v>315</v>
      </c>
      <c r="R788" s="301" t="s">
        <v>315</v>
      </c>
      <c r="S788" s="301" t="s">
        <v>315</v>
      </c>
      <c r="T788" s="301" t="s">
        <v>4366</v>
      </c>
      <c r="U788" s="301" t="s">
        <v>4366</v>
      </c>
      <c r="V788" s="301" t="s">
        <v>4366</v>
      </c>
      <c r="W788" s="298" t="s">
        <v>460</v>
      </c>
      <c r="X788" s="298" t="s">
        <v>306</v>
      </c>
    </row>
    <row r="789">
      <c r="A789" s="295" t="s">
        <v>4367</v>
      </c>
      <c r="B789" s="298">
        <v>8.0</v>
      </c>
      <c r="C789" s="298" t="s">
        <v>288</v>
      </c>
      <c r="D789" s="298" t="s">
        <v>334</v>
      </c>
      <c r="E789" s="298" t="s">
        <v>290</v>
      </c>
      <c r="F789" s="298" t="str">
        <f>'Character Sheet'!$C$9</f>
        <v/>
      </c>
      <c r="G789" s="298" t="s">
        <v>294</v>
      </c>
      <c r="H789" s="298" t="s">
        <v>324</v>
      </c>
      <c r="I789" s="298" t="s">
        <v>4368</v>
      </c>
      <c r="J789" s="298" t="s">
        <v>336</v>
      </c>
      <c r="K789" s="298" t="s">
        <v>4369</v>
      </c>
      <c r="L789" s="298" t="s">
        <v>493</v>
      </c>
      <c r="M789" s="301" t="s">
        <v>315</v>
      </c>
      <c r="N789" s="301" t="s">
        <v>315</v>
      </c>
      <c r="O789" s="301" t="s">
        <v>315</v>
      </c>
      <c r="P789" s="301" t="s">
        <v>315</v>
      </c>
      <c r="Q789" s="301" t="s">
        <v>315</v>
      </c>
      <c r="R789" s="301" t="s">
        <v>315</v>
      </c>
      <c r="S789" s="301" t="s">
        <v>315</v>
      </c>
      <c r="T789" s="301" t="s">
        <v>4370</v>
      </c>
      <c r="U789" s="301" t="s">
        <v>4371</v>
      </c>
      <c r="V789" s="301" t="s">
        <v>4372</v>
      </c>
      <c r="W789" s="298" t="s">
        <v>536</v>
      </c>
      <c r="X789" s="298" t="s">
        <v>306</v>
      </c>
    </row>
    <row r="790">
      <c r="A790" s="295" t="s">
        <v>4373</v>
      </c>
      <c r="B790" s="298">
        <v>8.0</v>
      </c>
      <c r="C790" s="298" t="s">
        <v>288</v>
      </c>
      <c r="D790" s="298" t="s">
        <v>334</v>
      </c>
      <c r="E790" s="298" t="s">
        <v>311</v>
      </c>
      <c r="F790" s="298" t="str">
        <f>'Character Sheet'!$C$9</f>
        <v/>
      </c>
      <c r="G790" s="298" t="s">
        <v>294</v>
      </c>
      <c r="H790" s="298" t="s">
        <v>352</v>
      </c>
      <c r="I790" s="298" t="s">
        <v>296</v>
      </c>
      <c r="J790" s="298" t="s">
        <v>192</v>
      </c>
      <c r="K790" s="298" t="s">
        <v>1174</v>
      </c>
      <c r="L790" s="298" t="s">
        <v>493</v>
      </c>
      <c r="M790" s="301" t="s">
        <v>315</v>
      </c>
      <c r="N790" s="301" t="s">
        <v>315</v>
      </c>
      <c r="O790" s="301" t="s">
        <v>315</v>
      </c>
      <c r="P790" s="301" t="s">
        <v>315</v>
      </c>
      <c r="Q790" s="301" t="s">
        <v>315</v>
      </c>
      <c r="R790" s="301" t="s">
        <v>315</v>
      </c>
      <c r="S790" s="301" t="s">
        <v>315</v>
      </c>
      <c r="T790" s="301" t="s">
        <v>4374</v>
      </c>
      <c r="U790" s="301" t="s">
        <v>4374</v>
      </c>
      <c r="V790" s="301" t="s">
        <v>4374</v>
      </c>
      <c r="W790" s="298" t="s">
        <v>429</v>
      </c>
      <c r="X790" s="298" t="s">
        <v>306</v>
      </c>
    </row>
    <row r="791">
      <c r="A791" s="295" t="s">
        <v>4375</v>
      </c>
      <c r="B791" s="298">
        <v>8.0</v>
      </c>
      <c r="C791" s="298" t="s">
        <v>288</v>
      </c>
      <c r="D791" s="298" t="s">
        <v>151</v>
      </c>
      <c r="E791" s="298" t="s">
        <v>311</v>
      </c>
      <c r="F791" s="298" t="str">
        <f>'Character Sheet'!$E$9</f>
        <v/>
      </c>
      <c r="G791" s="298" t="s">
        <v>674</v>
      </c>
      <c r="H791" s="298" t="s">
        <v>708</v>
      </c>
      <c r="I791" s="298" t="s">
        <v>315</v>
      </c>
      <c r="J791" s="298" t="s">
        <v>315</v>
      </c>
      <c r="K791" s="298" t="s">
        <v>478</v>
      </c>
      <c r="L791" s="298" t="s">
        <v>493</v>
      </c>
      <c r="M791" s="301" t="s">
        <v>315</v>
      </c>
      <c r="N791" s="301" t="s">
        <v>315</v>
      </c>
      <c r="O791" s="301" t="s">
        <v>315</v>
      </c>
      <c r="P791" s="301" t="s">
        <v>315</v>
      </c>
      <c r="Q791" s="301" t="s">
        <v>315</v>
      </c>
      <c r="R791" s="301" t="s">
        <v>315</v>
      </c>
      <c r="S791" s="301" t="s">
        <v>315</v>
      </c>
      <c r="T791" s="301" t="s">
        <v>4376</v>
      </c>
      <c r="U791" s="301" t="s">
        <v>4376</v>
      </c>
      <c r="V791" s="301" t="s">
        <v>4376</v>
      </c>
      <c r="W791" s="298" t="s">
        <v>442</v>
      </c>
      <c r="X791" s="298" t="s">
        <v>318</v>
      </c>
    </row>
    <row r="792">
      <c r="A792" s="27" t="s">
        <v>4377</v>
      </c>
      <c r="B792" s="298">
        <v>8.0</v>
      </c>
      <c r="C792" s="298" t="s">
        <v>288</v>
      </c>
      <c r="D792" s="298" t="s">
        <v>151</v>
      </c>
      <c r="E792" s="298" t="s">
        <v>311</v>
      </c>
      <c r="F792" s="298" t="str">
        <f>'Character Sheet'!$E$9</f>
        <v/>
      </c>
      <c r="G792" s="298" t="s">
        <v>674</v>
      </c>
      <c r="H792" s="298" t="s">
        <v>708</v>
      </c>
      <c r="I792" s="298" t="s">
        <v>315</v>
      </c>
      <c r="J792" s="298" t="s">
        <v>315</v>
      </c>
      <c r="K792" s="298" t="s">
        <v>478</v>
      </c>
      <c r="L792" s="298" t="s">
        <v>493</v>
      </c>
      <c r="M792" s="301" t="s">
        <v>315</v>
      </c>
      <c r="N792" s="301" t="s">
        <v>315</v>
      </c>
      <c r="O792" s="301" t="s">
        <v>315</v>
      </c>
      <c r="P792" s="301" t="s">
        <v>315</v>
      </c>
      <c r="Q792" s="301" t="s">
        <v>315</v>
      </c>
      <c r="R792" s="301" t="s">
        <v>315</v>
      </c>
      <c r="S792" s="301" t="s">
        <v>315</v>
      </c>
      <c r="T792" s="301" t="s">
        <v>4378</v>
      </c>
      <c r="U792" s="301" t="s">
        <v>4378</v>
      </c>
      <c r="V792" s="301" t="s">
        <v>4378</v>
      </c>
      <c r="W792" s="298" t="s">
        <v>404</v>
      </c>
      <c r="X792" s="298" t="s">
        <v>318</v>
      </c>
    </row>
    <row r="793">
      <c r="A793" s="295" t="s">
        <v>4379</v>
      </c>
      <c r="B793" s="298">
        <v>8.0</v>
      </c>
      <c r="C793" s="298" t="s">
        <v>432</v>
      </c>
      <c r="D793" s="298" t="s">
        <v>151</v>
      </c>
      <c r="E793" s="298" t="s">
        <v>311</v>
      </c>
      <c r="F793" s="298" t="str">
        <f>'Character Sheet'!$E$9</f>
        <v/>
      </c>
      <c r="G793" s="298" t="s">
        <v>674</v>
      </c>
      <c r="H793" s="298" t="s">
        <v>708</v>
      </c>
      <c r="I793" s="298" t="s">
        <v>315</v>
      </c>
      <c r="J793" s="298" t="s">
        <v>315</v>
      </c>
      <c r="K793" s="298" t="s">
        <v>478</v>
      </c>
      <c r="L793" s="298" t="s">
        <v>493</v>
      </c>
      <c r="M793" s="301" t="s">
        <v>315</v>
      </c>
      <c r="N793" s="301" t="s">
        <v>315</v>
      </c>
      <c r="O793" s="301" t="s">
        <v>315</v>
      </c>
      <c r="P793" s="301" t="s">
        <v>315</v>
      </c>
      <c r="Q793" s="301" t="s">
        <v>315</v>
      </c>
      <c r="R793" s="301" t="s">
        <v>315</v>
      </c>
      <c r="S793" s="301" t="s">
        <v>315</v>
      </c>
      <c r="T793" s="301" t="s">
        <v>4380</v>
      </c>
      <c r="U793" s="301" t="s">
        <v>4380</v>
      </c>
      <c r="V793" s="301" t="s">
        <v>4380</v>
      </c>
      <c r="W793" s="298" t="s">
        <v>460</v>
      </c>
      <c r="X793" s="298" t="s">
        <v>569</v>
      </c>
    </row>
    <row r="794">
      <c r="A794" s="295" t="s">
        <v>4381</v>
      </c>
      <c r="B794" s="298">
        <v>8.0</v>
      </c>
      <c r="C794" s="298" t="s">
        <v>288</v>
      </c>
      <c r="D794" s="298" t="s">
        <v>359</v>
      </c>
      <c r="E794" s="298" t="s">
        <v>311</v>
      </c>
      <c r="F794" s="298" t="str">
        <f>'Character Sheet'!$C$9</f>
        <v/>
      </c>
      <c r="G794" s="298" t="s">
        <v>294</v>
      </c>
      <c r="H794" s="298" t="s">
        <v>335</v>
      </c>
      <c r="I794" s="298" t="s">
        <v>296</v>
      </c>
      <c r="J794" s="298" t="s">
        <v>192</v>
      </c>
      <c r="K794" s="298" t="s">
        <v>1174</v>
      </c>
      <c r="L794" s="298" t="s">
        <v>493</v>
      </c>
      <c r="M794" s="301" t="s">
        <v>315</v>
      </c>
      <c r="N794" s="301" t="s">
        <v>315</v>
      </c>
      <c r="O794" s="301" t="s">
        <v>315</v>
      </c>
      <c r="P794" s="301" t="s">
        <v>315</v>
      </c>
      <c r="Q794" s="301" t="s">
        <v>315</v>
      </c>
      <c r="R794" s="301" t="s">
        <v>315</v>
      </c>
      <c r="S794" s="301" t="s">
        <v>315</v>
      </c>
      <c r="T794" s="301" t="s">
        <v>4382</v>
      </c>
      <c r="U794" s="301" t="s">
        <v>4382</v>
      </c>
      <c r="V794" s="301" t="s">
        <v>4382</v>
      </c>
      <c r="W794" s="298" t="s">
        <v>460</v>
      </c>
      <c r="X794" s="298" t="s">
        <v>306</v>
      </c>
    </row>
    <row r="795">
      <c r="A795" s="295" t="s">
        <v>4383</v>
      </c>
      <c r="B795" s="298">
        <v>8.0</v>
      </c>
      <c r="C795" s="298" t="s">
        <v>522</v>
      </c>
      <c r="D795" s="298" t="s">
        <v>321</v>
      </c>
      <c r="E795" s="298" t="s">
        <v>290</v>
      </c>
      <c r="F795" s="298" t="str">
        <f>'Character Sheet'!$C$9</f>
        <v/>
      </c>
      <c r="G795" s="298" t="s">
        <v>294</v>
      </c>
      <c r="H795" s="298" t="s">
        <v>1278</v>
      </c>
      <c r="I795" s="298" t="s">
        <v>296</v>
      </c>
      <c r="J795" s="298" t="s">
        <v>192</v>
      </c>
      <c r="K795" s="298" t="s">
        <v>1174</v>
      </c>
      <c r="L795" s="298" t="s">
        <v>493</v>
      </c>
      <c r="M795" s="301" t="s">
        <v>315</v>
      </c>
      <c r="N795" s="301" t="s">
        <v>315</v>
      </c>
      <c r="O795" s="301" t="s">
        <v>315</v>
      </c>
      <c r="P795" s="301" t="s">
        <v>315</v>
      </c>
      <c r="Q795" s="301" t="s">
        <v>315</v>
      </c>
      <c r="R795" s="301" t="s">
        <v>315</v>
      </c>
      <c r="S795" s="301" t="s">
        <v>315</v>
      </c>
      <c r="T795" s="301" t="s">
        <v>4384</v>
      </c>
      <c r="U795" s="301" t="s">
        <v>4384</v>
      </c>
      <c r="V795" s="301" t="s">
        <v>4384</v>
      </c>
      <c r="W795" s="298" t="s">
        <v>460</v>
      </c>
      <c r="X795" s="298" t="s">
        <v>4303</v>
      </c>
    </row>
    <row r="796">
      <c r="A796" s="295" t="s">
        <v>4385</v>
      </c>
      <c r="B796" s="298">
        <v>8.0</v>
      </c>
      <c r="C796" s="298" t="s">
        <v>288</v>
      </c>
      <c r="D796" s="298" t="s">
        <v>310</v>
      </c>
      <c r="E796" s="298" t="s">
        <v>311</v>
      </c>
      <c r="F796" s="298" t="str">
        <f>'Character Sheet'!$C$9</f>
        <v/>
      </c>
      <c r="G796" s="298" t="s">
        <v>294</v>
      </c>
      <c r="H796" s="298" t="s">
        <v>708</v>
      </c>
      <c r="I796" s="298" t="s">
        <v>3076</v>
      </c>
      <c r="J796" s="298" t="s">
        <v>315</v>
      </c>
      <c r="K796" s="298" t="s">
        <v>675</v>
      </c>
      <c r="L796" s="298" t="s">
        <v>493</v>
      </c>
      <c r="M796" s="301" t="s">
        <v>315</v>
      </c>
      <c r="N796" s="301" t="s">
        <v>315</v>
      </c>
      <c r="O796" s="301" t="s">
        <v>315</v>
      </c>
      <c r="P796" s="301" t="s">
        <v>315</v>
      </c>
      <c r="Q796" s="301" t="s">
        <v>315</v>
      </c>
      <c r="R796" s="301" t="s">
        <v>315</v>
      </c>
      <c r="S796" s="301" t="s">
        <v>315</v>
      </c>
      <c r="T796" s="301" t="s">
        <v>4386</v>
      </c>
      <c r="U796" s="301" t="s">
        <v>4386</v>
      </c>
      <c r="V796" s="301" t="s">
        <v>4386</v>
      </c>
      <c r="W796" s="298" t="s">
        <v>460</v>
      </c>
      <c r="X796" s="298" t="s">
        <v>306</v>
      </c>
    </row>
    <row r="797">
      <c r="A797" s="295" t="s">
        <v>4387</v>
      </c>
      <c r="B797" s="298">
        <v>8.0</v>
      </c>
      <c r="C797" s="298" t="s">
        <v>288</v>
      </c>
      <c r="D797" s="298" t="s">
        <v>289</v>
      </c>
      <c r="E797" s="298" t="s">
        <v>290</v>
      </c>
      <c r="F797" s="298" t="str">
        <f>'Character Sheet'!$E$9</f>
        <v/>
      </c>
      <c r="G797" s="298" t="s">
        <v>674</v>
      </c>
      <c r="H797" s="298" t="s">
        <v>1278</v>
      </c>
      <c r="I797" s="298" t="s">
        <v>4388</v>
      </c>
      <c r="J797" s="298" t="s">
        <v>180</v>
      </c>
      <c r="K797" s="298" t="s">
        <v>424</v>
      </c>
      <c r="L797" s="298" t="s">
        <v>493</v>
      </c>
      <c r="M797" s="301" t="s">
        <v>315</v>
      </c>
      <c r="N797" s="301" t="s">
        <v>315</v>
      </c>
      <c r="O797" s="301" t="s">
        <v>315</v>
      </c>
      <c r="P797" s="301" t="s">
        <v>315</v>
      </c>
      <c r="Q797" s="301" t="s">
        <v>315</v>
      </c>
      <c r="R797" s="301" t="s">
        <v>315</v>
      </c>
      <c r="S797" s="301" t="s">
        <v>315</v>
      </c>
      <c r="T797" s="301" t="s">
        <v>4389</v>
      </c>
      <c r="U797" s="301" t="s">
        <v>4390</v>
      </c>
      <c r="V797" s="301" t="s">
        <v>4391</v>
      </c>
      <c r="W797" s="298" t="s">
        <v>499</v>
      </c>
      <c r="X797" s="298" t="s">
        <v>318</v>
      </c>
    </row>
    <row r="798">
      <c r="A798" s="341" t="s">
        <v>4392</v>
      </c>
      <c r="B798" s="343">
        <v>8.0</v>
      </c>
      <c r="C798" s="343" t="s">
        <v>288</v>
      </c>
      <c r="D798" s="343" t="s">
        <v>462</v>
      </c>
      <c r="E798" s="343" t="s">
        <v>311</v>
      </c>
      <c r="F798" s="343" t="s">
        <v>999</v>
      </c>
      <c r="G798" s="343" t="s">
        <v>674</v>
      </c>
      <c r="H798" s="343" t="s">
        <v>335</v>
      </c>
      <c r="I798" s="343" t="s">
        <v>2549</v>
      </c>
      <c r="J798" s="343" t="s">
        <v>315</v>
      </c>
      <c r="K798" s="343" t="s">
        <v>1001</v>
      </c>
      <c r="L798" s="343" t="s">
        <v>493</v>
      </c>
      <c r="M798" s="344" t="s">
        <v>315</v>
      </c>
      <c r="N798" s="344" t="s">
        <v>315</v>
      </c>
      <c r="O798" s="344" t="s">
        <v>315</v>
      </c>
      <c r="P798" s="344" t="s">
        <v>315</v>
      </c>
      <c r="Q798" s="344" t="s">
        <v>315</v>
      </c>
      <c r="R798" s="344" t="s">
        <v>315</v>
      </c>
      <c r="S798" s="344" t="s">
        <v>315</v>
      </c>
      <c r="T798" s="344" t="s">
        <v>4393</v>
      </c>
      <c r="U798" s="344" t="s">
        <v>4393</v>
      </c>
      <c r="V798" s="344" t="s">
        <v>4393</v>
      </c>
      <c r="W798" s="343" t="s">
        <v>499</v>
      </c>
      <c r="X798" s="343" t="s">
        <v>306</v>
      </c>
    </row>
    <row r="799">
      <c r="A799" s="295" t="s">
        <v>4394</v>
      </c>
      <c r="B799" s="298">
        <v>9.0</v>
      </c>
      <c r="C799" s="298" t="s">
        <v>522</v>
      </c>
      <c r="D799" s="298" t="s">
        <v>421</v>
      </c>
      <c r="E799" s="298" t="s">
        <v>290</v>
      </c>
      <c r="F799" s="298" t="str">
        <f>'Character Sheet'!$C$9</f>
        <v/>
      </c>
      <c r="G799" s="298" t="s">
        <v>294</v>
      </c>
      <c r="H799" s="298" t="s">
        <v>352</v>
      </c>
      <c r="I799" s="298" t="s">
        <v>4012</v>
      </c>
      <c r="J799" s="298" t="s">
        <v>192</v>
      </c>
      <c r="K799" s="298" t="s">
        <v>545</v>
      </c>
      <c r="L799" s="298" t="s">
        <v>493</v>
      </c>
      <c r="M799" s="301" t="s">
        <v>315</v>
      </c>
      <c r="N799" s="301" t="s">
        <v>315</v>
      </c>
      <c r="O799" s="301" t="s">
        <v>315</v>
      </c>
      <c r="P799" s="301" t="s">
        <v>315</v>
      </c>
      <c r="Q799" s="301" t="s">
        <v>315</v>
      </c>
      <c r="R799" s="301" t="s">
        <v>315</v>
      </c>
      <c r="S799" s="301" t="s">
        <v>315</v>
      </c>
      <c r="T799" s="301" t="s">
        <v>315</v>
      </c>
      <c r="U799" s="301" t="s">
        <v>4395</v>
      </c>
      <c r="V799" s="301" t="s">
        <v>4396</v>
      </c>
      <c r="W799" s="298" t="s">
        <v>331</v>
      </c>
      <c r="X799" s="298" t="s">
        <v>4303</v>
      </c>
    </row>
    <row r="800">
      <c r="A800" s="295" t="s">
        <v>4397</v>
      </c>
      <c r="B800" s="298">
        <v>9.0</v>
      </c>
      <c r="C800" s="298" t="s">
        <v>288</v>
      </c>
      <c r="D800" s="298" t="s">
        <v>151</v>
      </c>
      <c r="E800" s="298" t="s">
        <v>311</v>
      </c>
      <c r="F800" s="298" t="str">
        <f>'Character Sheet'!$C$9</f>
        <v/>
      </c>
      <c r="G800" s="298" t="s">
        <v>294</v>
      </c>
      <c r="H800" s="298" t="s">
        <v>324</v>
      </c>
      <c r="I800" s="298" t="s">
        <v>324</v>
      </c>
      <c r="J800" s="298" t="s">
        <v>315</v>
      </c>
      <c r="K800" s="298" t="s">
        <v>325</v>
      </c>
      <c r="L800" s="298" t="s">
        <v>493</v>
      </c>
      <c r="M800" s="301" t="s">
        <v>315</v>
      </c>
      <c r="N800" s="301" t="s">
        <v>315</v>
      </c>
      <c r="O800" s="301" t="s">
        <v>315</v>
      </c>
      <c r="P800" s="301" t="s">
        <v>315</v>
      </c>
      <c r="Q800" s="301" t="s">
        <v>315</v>
      </c>
      <c r="R800" s="301" t="s">
        <v>315</v>
      </c>
      <c r="S800" s="301" t="s">
        <v>315</v>
      </c>
      <c r="T800" s="301" t="s">
        <v>315</v>
      </c>
      <c r="U800" s="301" t="s">
        <v>4398</v>
      </c>
      <c r="V800" s="301" t="s">
        <v>4398</v>
      </c>
      <c r="W800" s="298" t="s">
        <v>460</v>
      </c>
      <c r="X800" s="298" t="s">
        <v>569</v>
      </c>
    </row>
    <row r="801">
      <c r="A801" s="295" t="s">
        <v>4399</v>
      </c>
      <c r="B801" s="298">
        <v>9.0</v>
      </c>
      <c r="C801" s="298" t="s">
        <v>522</v>
      </c>
      <c r="D801" s="298" t="s">
        <v>334</v>
      </c>
      <c r="E801" s="298" t="s">
        <v>311</v>
      </c>
      <c r="F801" s="298" t="str">
        <f>'Character Sheet'!$C$9</f>
        <v/>
      </c>
      <c r="G801" s="298" t="s">
        <v>294</v>
      </c>
      <c r="H801" s="298" t="s">
        <v>295</v>
      </c>
      <c r="I801" s="298" t="s">
        <v>4039</v>
      </c>
      <c r="J801" s="298" t="s">
        <v>315</v>
      </c>
      <c r="K801" s="298" t="s">
        <v>1283</v>
      </c>
      <c r="L801" s="298" t="s">
        <v>493</v>
      </c>
      <c r="M801" s="301" t="s">
        <v>315</v>
      </c>
      <c r="N801" s="301" t="s">
        <v>315</v>
      </c>
      <c r="O801" s="301" t="s">
        <v>315</v>
      </c>
      <c r="P801" s="301" t="s">
        <v>315</v>
      </c>
      <c r="Q801" s="301" t="s">
        <v>315</v>
      </c>
      <c r="R801" s="301" t="s">
        <v>315</v>
      </c>
      <c r="S801" s="301" t="s">
        <v>315</v>
      </c>
      <c r="T801" s="301" t="s">
        <v>315</v>
      </c>
      <c r="U801" s="301" t="s">
        <v>4400</v>
      </c>
      <c r="V801" s="301" t="s">
        <v>4400</v>
      </c>
      <c r="W801" s="298" t="s">
        <v>429</v>
      </c>
      <c r="X801" s="298" t="s">
        <v>306</v>
      </c>
    </row>
    <row r="802">
      <c r="A802" s="295" t="s">
        <v>4401</v>
      </c>
      <c r="B802" s="298">
        <v>9.0</v>
      </c>
      <c r="C802" s="298" t="s">
        <v>522</v>
      </c>
      <c r="D802" s="298" t="s">
        <v>359</v>
      </c>
      <c r="E802" s="298" t="s">
        <v>290</v>
      </c>
      <c r="F802" s="298" t="str">
        <f>'Character Sheet'!$C$9</f>
        <v/>
      </c>
      <c r="G802" s="298" t="s">
        <v>294</v>
      </c>
      <c r="H802" s="298" t="s">
        <v>360</v>
      </c>
      <c r="I802" s="298" t="s">
        <v>3719</v>
      </c>
      <c r="J802" s="298" t="s">
        <v>315</v>
      </c>
      <c r="K802" s="298" t="s">
        <v>325</v>
      </c>
      <c r="L802" s="298" t="s">
        <v>493</v>
      </c>
      <c r="M802" s="301" t="s">
        <v>315</v>
      </c>
      <c r="N802" s="301" t="s">
        <v>315</v>
      </c>
      <c r="O802" s="301" t="s">
        <v>315</v>
      </c>
      <c r="P802" s="301" t="s">
        <v>315</v>
      </c>
      <c r="Q802" s="301" t="s">
        <v>315</v>
      </c>
      <c r="R802" s="301" t="s">
        <v>315</v>
      </c>
      <c r="S802" s="301" t="s">
        <v>315</v>
      </c>
      <c r="T802" s="301" t="s">
        <v>315</v>
      </c>
      <c r="U802" s="301" t="s">
        <v>4402</v>
      </c>
      <c r="V802" s="301" t="s">
        <v>4403</v>
      </c>
      <c r="W802" s="298" t="s">
        <v>404</v>
      </c>
      <c r="X802" s="298" t="s">
        <v>306</v>
      </c>
    </row>
    <row r="803">
      <c r="A803" s="295" t="s">
        <v>4404</v>
      </c>
      <c r="B803" s="298">
        <v>9.0</v>
      </c>
      <c r="C803" s="298" t="s">
        <v>522</v>
      </c>
      <c r="D803" s="298" t="s">
        <v>421</v>
      </c>
      <c r="E803" s="298" t="s">
        <v>311</v>
      </c>
      <c r="F803" s="298" t="str">
        <f>'Character Sheet'!$C$9</f>
        <v/>
      </c>
      <c r="G803" s="298" t="s">
        <v>294</v>
      </c>
      <c r="H803" s="298" t="s">
        <v>352</v>
      </c>
      <c r="I803" s="298" t="s">
        <v>4405</v>
      </c>
      <c r="J803" s="298" t="s">
        <v>315</v>
      </c>
      <c r="K803" s="298" t="s">
        <v>298</v>
      </c>
      <c r="L803" s="298" t="s">
        <v>493</v>
      </c>
      <c r="M803" s="301" t="s">
        <v>315</v>
      </c>
      <c r="N803" s="301" t="s">
        <v>315</v>
      </c>
      <c r="O803" s="301" t="s">
        <v>315</v>
      </c>
      <c r="P803" s="301" t="s">
        <v>315</v>
      </c>
      <c r="Q803" s="301" t="s">
        <v>315</v>
      </c>
      <c r="R803" s="301" t="s">
        <v>315</v>
      </c>
      <c r="S803" s="301" t="s">
        <v>315</v>
      </c>
      <c r="T803" s="301" t="s">
        <v>315</v>
      </c>
      <c r="U803" s="301" t="s">
        <v>4406</v>
      </c>
      <c r="V803" s="301" t="s">
        <v>4406</v>
      </c>
      <c r="W803" s="298" t="s">
        <v>305</v>
      </c>
      <c r="X803" s="298" t="s">
        <v>306</v>
      </c>
    </row>
    <row r="804">
      <c r="A804" s="295" t="s">
        <v>4407</v>
      </c>
      <c r="B804" s="298">
        <v>9.0</v>
      </c>
      <c r="C804" s="298" t="s">
        <v>432</v>
      </c>
      <c r="D804" s="298" t="s">
        <v>359</v>
      </c>
      <c r="E804" s="298" t="s">
        <v>311</v>
      </c>
      <c r="F804" s="298" t="str">
        <f>'Character Sheet'!$C$9</f>
        <v/>
      </c>
      <c r="G804" s="298" t="s">
        <v>294</v>
      </c>
      <c r="H804" s="298" t="s">
        <v>295</v>
      </c>
      <c r="I804" s="298" t="s">
        <v>296</v>
      </c>
      <c r="J804" s="298" t="s">
        <v>192</v>
      </c>
      <c r="K804" s="298" t="s">
        <v>424</v>
      </c>
      <c r="L804" s="298" t="s">
        <v>493</v>
      </c>
      <c r="M804" s="301" t="s">
        <v>315</v>
      </c>
      <c r="N804" s="301" t="s">
        <v>315</v>
      </c>
      <c r="O804" s="301" t="s">
        <v>315</v>
      </c>
      <c r="P804" s="301" t="s">
        <v>315</v>
      </c>
      <c r="Q804" s="301" t="s">
        <v>315</v>
      </c>
      <c r="R804" s="301" t="s">
        <v>315</v>
      </c>
      <c r="S804" s="301" t="s">
        <v>315</v>
      </c>
      <c r="T804" s="301" t="s">
        <v>315</v>
      </c>
      <c r="U804" s="301" t="s">
        <v>4408</v>
      </c>
      <c r="V804" s="301" t="s">
        <v>4408</v>
      </c>
      <c r="W804" s="298" t="s">
        <v>460</v>
      </c>
      <c r="X804" s="298" t="s">
        <v>4409</v>
      </c>
    </row>
    <row r="805">
      <c r="A805" s="295" t="s">
        <v>4410</v>
      </c>
      <c r="B805" s="298">
        <v>9.0</v>
      </c>
      <c r="C805" s="298" t="s">
        <v>288</v>
      </c>
      <c r="D805" s="298" t="s">
        <v>310</v>
      </c>
      <c r="E805" s="298" t="s">
        <v>311</v>
      </c>
      <c r="F805" s="298" t="str">
        <f>'Character Sheet'!$K$9</f>
        <v/>
      </c>
      <c r="G805" s="298" t="s">
        <v>294</v>
      </c>
      <c r="H805" s="298" t="s">
        <v>335</v>
      </c>
      <c r="I805" s="298" t="s">
        <v>296</v>
      </c>
      <c r="J805" s="298" t="s">
        <v>315</v>
      </c>
      <c r="K805" s="298" t="s">
        <v>675</v>
      </c>
      <c r="L805" s="298" t="s">
        <v>493</v>
      </c>
      <c r="M805" s="301" t="s">
        <v>315</v>
      </c>
      <c r="N805" s="301" t="s">
        <v>315</v>
      </c>
      <c r="O805" s="301" t="s">
        <v>315</v>
      </c>
      <c r="P805" s="301" t="s">
        <v>315</v>
      </c>
      <c r="Q805" s="301" t="s">
        <v>315</v>
      </c>
      <c r="R805" s="301" t="s">
        <v>315</v>
      </c>
      <c r="S805" s="301" t="s">
        <v>315</v>
      </c>
      <c r="T805" s="301" t="s">
        <v>315</v>
      </c>
      <c r="U805" s="301" t="s">
        <v>4411</v>
      </c>
      <c r="V805" s="301" t="s">
        <v>4411</v>
      </c>
      <c r="W805" s="298" t="s">
        <v>331</v>
      </c>
      <c r="X805" s="298" t="s">
        <v>306</v>
      </c>
    </row>
    <row r="806">
      <c r="A806" s="295" t="s">
        <v>4412</v>
      </c>
      <c r="B806" s="298">
        <v>9.0</v>
      </c>
      <c r="C806" s="298" t="s">
        <v>288</v>
      </c>
      <c r="D806" s="298" t="s">
        <v>289</v>
      </c>
      <c r="E806" s="298" t="s">
        <v>290</v>
      </c>
      <c r="F806" s="298" t="str">
        <f>'Character Sheet'!$C$9</f>
        <v/>
      </c>
      <c r="G806" s="298" t="s">
        <v>294</v>
      </c>
      <c r="H806" s="298" t="s">
        <v>295</v>
      </c>
      <c r="I806" s="298" t="s">
        <v>2564</v>
      </c>
      <c r="J806" s="298" t="s">
        <v>336</v>
      </c>
      <c r="K806" s="298" t="s">
        <v>424</v>
      </c>
      <c r="L806" s="298" t="s">
        <v>493</v>
      </c>
      <c r="M806" s="301" t="s">
        <v>315</v>
      </c>
      <c r="N806" s="301" t="s">
        <v>315</v>
      </c>
      <c r="O806" s="301" t="s">
        <v>315</v>
      </c>
      <c r="P806" s="301" t="s">
        <v>315</v>
      </c>
      <c r="Q806" s="301" t="s">
        <v>315</v>
      </c>
      <c r="R806" s="301" t="s">
        <v>315</v>
      </c>
      <c r="S806" s="301" t="s">
        <v>315</v>
      </c>
      <c r="T806" s="301" t="s">
        <v>315</v>
      </c>
      <c r="U806" s="301" t="s">
        <v>4413</v>
      </c>
      <c r="V806" s="301" t="s">
        <v>4414</v>
      </c>
      <c r="W806" s="298" t="s">
        <v>305</v>
      </c>
      <c r="X806" s="298" t="s">
        <v>306</v>
      </c>
    </row>
    <row r="807">
      <c r="A807" s="295" t="s">
        <v>4415</v>
      </c>
      <c r="B807" s="298">
        <v>9.0</v>
      </c>
      <c r="C807" s="298" t="s">
        <v>522</v>
      </c>
      <c r="D807" s="298" t="s">
        <v>334</v>
      </c>
      <c r="E807" s="298" t="s">
        <v>311</v>
      </c>
      <c r="F807" s="298" t="str">
        <f>'Character Sheet'!$C$9</f>
        <v/>
      </c>
      <c r="G807" s="298" t="s">
        <v>294</v>
      </c>
      <c r="H807" s="298" t="s">
        <v>335</v>
      </c>
      <c r="I807" s="298" t="s">
        <v>296</v>
      </c>
      <c r="J807" s="298" t="s">
        <v>173</v>
      </c>
      <c r="K807" s="298" t="s">
        <v>298</v>
      </c>
      <c r="L807" s="298" t="s">
        <v>493</v>
      </c>
      <c r="M807" s="301" t="s">
        <v>315</v>
      </c>
      <c r="N807" s="301" t="s">
        <v>315</v>
      </c>
      <c r="O807" s="301" t="s">
        <v>315</v>
      </c>
      <c r="P807" s="301" t="s">
        <v>315</v>
      </c>
      <c r="Q807" s="301" t="s">
        <v>315</v>
      </c>
      <c r="R807" s="301" t="s">
        <v>315</v>
      </c>
      <c r="S807" s="301" t="s">
        <v>315</v>
      </c>
      <c r="T807" s="301" t="s">
        <v>315</v>
      </c>
      <c r="U807" s="301" t="s">
        <v>4416</v>
      </c>
      <c r="V807" s="301" t="s">
        <v>4416</v>
      </c>
      <c r="W807" s="298" t="s">
        <v>305</v>
      </c>
      <c r="X807" s="298" t="s">
        <v>2163</v>
      </c>
    </row>
    <row r="808">
      <c r="A808" s="295" t="s">
        <v>4417</v>
      </c>
      <c r="B808" s="298">
        <v>9.0</v>
      </c>
      <c r="C808" s="298" t="s">
        <v>288</v>
      </c>
      <c r="D808" s="298" t="s">
        <v>334</v>
      </c>
      <c r="E808" s="298" t="s">
        <v>290</v>
      </c>
      <c r="F808" s="298" t="str">
        <f>'Character Sheet'!$C$9</f>
        <v/>
      </c>
      <c r="G808" s="298" t="s">
        <v>294</v>
      </c>
      <c r="H808" s="298" t="s">
        <v>324</v>
      </c>
      <c r="I808" s="298" t="s">
        <v>1225</v>
      </c>
      <c r="J808" s="298" t="s">
        <v>173</v>
      </c>
      <c r="K808" s="298" t="s">
        <v>298</v>
      </c>
      <c r="L808" s="298" t="s">
        <v>493</v>
      </c>
      <c r="M808" s="301" t="s">
        <v>315</v>
      </c>
      <c r="N808" s="301" t="s">
        <v>315</v>
      </c>
      <c r="O808" s="301" t="s">
        <v>315</v>
      </c>
      <c r="P808" s="301" t="s">
        <v>315</v>
      </c>
      <c r="Q808" s="301" t="s">
        <v>315</v>
      </c>
      <c r="R808" s="301" t="s">
        <v>315</v>
      </c>
      <c r="S808" s="301" t="s">
        <v>315</v>
      </c>
      <c r="T808" s="301" t="s">
        <v>315</v>
      </c>
      <c r="U808" s="301" t="s">
        <v>4418</v>
      </c>
      <c r="V808" s="301" t="s">
        <v>4419</v>
      </c>
      <c r="W808" s="298" t="s">
        <v>993</v>
      </c>
      <c r="X808" s="298" t="s">
        <v>306</v>
      </c>
    </row>
    <row r="809">
      <c r="A809" s="295" t="s">
        <v>4420</v>
      </c>
      <c r="B809" s="298">
        <v>9.0</v>
      </c>
      <c r="C809" s="298" t="s">
        <v>288</v>
      </c>
      <c r="D809" s="298" t="s">
        <v>289</v>
      </c>
      <c r="E809" s="298" t="s">
        <v>290</v>
      </c>
      <c r="F809" s="298" t="str">
        <f>'Character Sheet'!$C$9</f>
        <v/>
      </c>
      <c r="G809" s="298" t="s">
        <v>294</v>
      </c>
      <c r="H809" s="298" t="s">
        <v>1278</v>
      </c>
      <c r="I809" s="298" t="s">
        <v>4421</v>
      </c>
      <c r="J809" s="298" t="s">
        <v>4074</v>
      </c>
      <c r="K809" s="298" t="s">
        <v>298</v>
      </c>
      <c r="L809" s="298" t="s">
        <v>493</v>
      </c>
      <c r="M809" s="301" t="s">
        <v>315</v>
      </c>
      <c r="N809" s="301" t="s">
        <v>315</v>
      </c>
      <c r="O809" s="301" t="s">
        <v>315</v>
      </c>
      <c r="P809" s="301" t="s">
        <v>315</v>
      </c>
      <c r="Q809" s="301" t="s">
        <v>315</v>
      </c>
      <c r="R809" s="301" t="s">
        <v>315</v>
      </c>
      <c r="S809" s="301" t="s">
        <v>315</v>
      </c>
      <c r="T809" s="301" t="s">
        <v>315</v>
      </c>
      <c r="U809" s="301" t="s">
        <v>4422</v>
      </c>
      <c r="V809" s="301" t="s">
        <v>4423</v>
      </c>
      <c r="W809" s="298" t="s">
        <v>305</v>
      </c>
      <c r="X809" s="298" t="s">
        <v>306</v>
      </c>
    </row>
    <row r="810">
      <c r="A810" s="295" t="s">
        <v>4424</v>
      </c>
      <c r="B810" s="298">
        <v>9.0</v>
      </c>
      <c r="C810" s="298" t="s">
        <v>288</v>
      </c>
      <c r="D810" s="298" t="s">
        <v>359</v>
      </c>
      <c r="E810" s="298" t="s">
        <v>311</v>
      </c>
      <c r="F810" s="298" t="str">
        <f>'Character Sheet'!$C$9</f>
        <v/>
      </c>
      <c r="G810" s="298" t="s">
        <v>294</v>
      </c>
      <c r="H810" s="298" t="s">
        <v>352</v>
      </c>
      <c r="I810" s="298" t="s">
        <v>4425</v>
      </c>
      <c r="J810" s="298" t="s">
        <v>315</v>
      </c>
      <c r="K810" s="298" t="s">
        <v>325</v>
      </c>
      <c r="L810" s="298" t="s">
        <v>493</v>
      </c>
      <c r="M810" s="301" t="s">
        <v>315</v>
      </c>
      <c r="N810" s="301" t="s">
        <v>315</v>
      </c>
      <c r="O810" s="301" t="s">
        <v>315</v>
      </c>
      <c r="P810" s="301" t="s">
        <v>315</v>
      </c>
      <c r="Q810" s="301" t="s">
        <v>315</v>
      </c>
      <c r="R810" s="301" t="s">
        <v>315</v>
      </c>
      <c r="S810" s="301" t="s">
        <v>315</v>
      </c>
      <c r="T810" s="301" t="s">
        <v>315</v>
      </c>
      <c r="U810" s="301" t="s">
        <v>4426</v>
      </c>
      <c r="V810" s="301" t="s">
        <v>4426</v>
      </c>
      <c r="W810" s="298" t="s">
        <v>499</v>
      </c>
      <c r="X810" s="298" t="s">
        <v>306</v>
      </c>
    </row>
    <row r="811">
      <c r="A811" s="295" t="s">
        <v>4427</v>
      </c>
      <c r="B811" s="298">
        <v>9.0</v>
      </c>
      <c r="C811" s="298" t="s">
        <v>288</v>
      </c>
      <c r="D811" s="298" t="s">
        <v>462</v>
      </c>
      <c r="E811" s="298" t="s">
        <v>311</v>
      </c>
      <c r="F811" s="298" t="str">
        <f>'Character Sheet'!$C$9</f>
        <v/>
      </c>
      <c r="G811" s="298" t="s">
        <v>294</v>
      </c>
      <c r="H811" s="298" t="s">
        <v>324</v>
      </c>
      <c r="I811" s="298" t="s">
        <v>324</v>
      </c>
      <c r="J811" s="298" t="s">
        <v>315</v>
      </c>
      <c r="K811" s="298" t="s">
        <v>632</v>
      </c>
      <c r="L811" s="298" t="s">
        <v>493</v>
      </c>
      <c r="M811" s="301" t="s">
        <v>315</v>
      </c>
      <c r="N811" s="301" t="s">
        <v>315</v>
      </c>
      <c r="O811" s="301" t="s">
        <v>315</v>
      </c>
      <c r="P811" s="301" t="s">
        <v>315</v>
      </c>
      <c r="Q811" s="301" t="s">
        <v>315</v>
      </c>
      <c r="R811" s="301" t="s">
        <v>315</v>
      </c>
      <c r="S811" s="301" t="s">
        <v>315</v>
      </c>
      <c r="T811" s="301" t="s">
        <v>315</v>
      </c>
      <c r="U811" s="301" t="s">
        <v>4428</v>
      </c>
      <c r="V811" s="301" t="s">
        <v>4428</v>
      </c>
      <c r="W811" s="298" t="s">
        <v>499</v>
      </c>
      <c r="X811" s="298" t="s">
        <v>318</v>
      </c>
    </row>
    <row r="812">
      <c r="A812" s="295" t="s">
        <v>4429</v>
      </c>
      <c r="B812" s="298">
        <v>9.0</v>
      </c>
      <c r="C812" s="298" t="s">
        <v>288</v>
      </c>
      <c r="D812" s="298" t="s">
        <v>359</v>
      </c>
      <c r="E812" s="298" t="s">
        <v>311</v>
      </c>
      <c r="F812" s="298" t="str">
        <f>'Character Sheet'!$C$9</f>
        <v/>
      </c>
      <c r="G812" s="298" t="s">
        <v>294</v>
      </c>
      <c r="H812" s="298" t="s">
        <v>324</v>
      </c>
      <c r="I812" s="298" t="s">
        <v>1998</v>
      </c>
      <c r="J812" s="298" t="s">
        <v>192</v>
      </c>
      <c r="K812" s="298" t="s">
        <v>4430</v>
      </c>
      <c r="L812" s="298" t="s">
        <v>493</v>
      </c>
      <c r="M812" s="301" t="s">
        <v>315</v>
      </c>
      <c r="N812" s="301" t="s">
        <v>315</v>
      </c>
      <c r="O812" s="301" t="s">
        <v>315</v>
      </c>
      <c r="P812" s="301" t="s">
        <v>315</v>
      </c>
      <c r="Q812" s="301" t="s">
        <v>315</v>
      </c>
      <c r="R812" s="301" t="s">
        <v>315</v>
      </c>
      <c r="S812" s="301" t="s">
        <v>315</v>
      </c>
      <c r="T812" s="301" t="s">
        <v>315</v>
      </c>
      <c r="U812" s="301" t="s">
        <v>4431</v>
      </c>
      <c r="V812" s="301" t="s">
        <v>4431</v>
      </c>
      <c r="W812" s="298" t="s">
        <v>429</v>
      </c>
      <c r="X812" s="298" t="s">
        <v>306</v>
      </c>
    </row>
    <row r="813">
      <c r="A813" s="295" t="s">
        <v>4432</v>
      </c>
      <c r="B813" s="298">
        <v>9.0</v>
      </c>
      <c r="C813" s="298" t="s">
        <v>522</v>
      </c>
      <c r="D813" s="298" t="s">
        <v>359</v>
      </c>
      <c r="E813" s="298" t="s">
        <v>290</v>
      </c>
      <c r="F813" s="298" t="str">
        <f>'Character Sheet'!$B$9</f>
        <v/>
      </c>
      <c r="G813" s="298" t="s">
        <v>477</v>
      </c>
      <c r="H813" s="298" t="s">
        <v>295</v>
      </c>
      <c r="I813" s="298" t="s">
        <v>4433</v>
      </c>
      <c r="J813" s="298" t="s">
        <v>315</v>
      </c>
      <c r="K813" s="298" t="s">
        <v>298</v>
      </c>
      <c r="L813" s="298" t="s">
        <v>493</v>
      </c>
      <c r="M813" s="301" t="s">
        <v>315</v>
      </c>
      <c r="N813" s="301" t="s">
        <v>315</v>
      </c>
      <c r="O813" s="301" t="s">
        <v>315</v>
      </c>
      <c r="P813" s="301" t="s">
        <v>315</v>
      </c>
      <c r="Q813" s="301" t="s">
        <v>315</v>
      </c>
      <c r="R813" s="301" t="s">
        <v>315</v>
      </c>
      <c r="S813" s="301" t="s">
        <v>315</v>
      </c>
      <c r="T813" s="301" t="s">
        <v>315</v>
      </c>
      <c r="U813" s="301" t="s">
        <v>4434</v>
      </c>
      <c r="V813" s="301" t="s">
        <v>4435</v>
      </c>
      <c r="W813" s="298" t="s">
        <v>442</v>
      </c>
      <c r="X813" s="298" t="s">
        <v>306</v>
      </c>
    </row>
    <row r="814">
      <c r="A814" s="295" t="s">
        <v>4436</v>
      </c>
      <c r="B814" s="298">
        <v>9.0</v>
      </c>
      <c r="C814" s="298" t="s">
        <v>432</v>
      </c>
      <c r="D814" s="298" t="s">
        <v>421</v>
      </c>
      <c r="E814" s="298" t="s">
        <v>311</v>
      </c>
      <c r="F814" s="298" t="str">
        <f>'Character Sheet'!$B$9</f>
        <v/>
      </c>
      <c r="G814" s="298" t="s">
        <v>477</v>
      </c>
      <c r="H814" s="298" t="s">
        <v>324</v>
      </c>
      <c r="I814" s="298" t="s">
        <v>324</v>
      </c>
      <c r="J814" s="298" t="s">
        <v>315</v>
      </c>
      <c r="K814" s="298" t="s">
        <v>478</v>
      </c>
      <c r="L814" s="298" t="s">
        <v>493</v>
      </c>
      <c r="M814" s="301" t="s">
        <v>315</v>
      </c>
      <c r="N814" s="301" t="s">
        <v>315</v>
      </c>
      <c r="O814" s="301" t="s">
        <v>315</v>
      </c>
      <c r="P814" s="301" t="s">
        <v>315</v>
      </c>
      <c r="Q814" s="301" t="s">
        <v>315</v>
      </c>
      <c r="R814" s="301" t="s">
        <v>315</v>
      </c>
      <c r="S814" s="301" t="s">
        <v>315</v>
      </c>
      <c r="T814" s="301" t="s">
        <v>315</v>
      </c>
      <c r="U814" s="301" t="s">
        <v>4437</v>
      </c>
      <c r="V814" s="301" t="s">
        <v>4437</v>
      </c>
      <c r="W814" s="298" t="s">
        <v>460</v>
      </c>
      <c r="X814" s="298" t="s">
        <v>4409</v>
      </c>
    </row>
    <row r="815">
      <c r="A815" s="295" t="s">
        <v>4438</v>
      </c>
      <c r="B815" s="298">
        <v>9.0</v>
      </c>
      <c r="C815" s="298" t="s">
        <v>288</v>
      </c>
      <c r="D815" s="298" t="s">
        <v>421</v>
      </c>
      <c r="E815" s="298" t="s">
        <v>311</v>
      </c>
      <c r="F815" s="298" t="str">
        <f>'Character Sheet'!$C$9</f>
        <v/>
      </c>
      <c r="G815" s="298" t="s">
        <v>294</v>
      </c>
      <c r="H815" s="298" t="s">
        <v>324</v>
      </c>
      <c r="I815" s="298" t="s">
        <v>4439</v>
      </c>
      <c r="J815" s="298" t="s">
        <v>315</v>
      </c>
      <c r="K815" s="298" t="s">
        <v>675</v>
      </c>
      <c r="L815" s="298" t="s">
        <v>493</v>
      </c>
      <c r="M815" s="301" t="s">
        <v>315</v>
      </c>
      <c r="N815" s="301" t="s">
        <v>315</v>
      </c>
      <c r="O815" s="301" t="s">
        <v>315</v>
      </c>
      <c r="P815" s="301" t="s">
        <v>315</v>
      </c>
      <c r="Q815" s="301" t="s">
        <v>315</v>
      </c>
      <c r="R815" s="301" t="s">
        <v>315</v>
      </c>
      <c r="S815" s="301" t="s">
        <v>315</v>
      </c>
      <c r="T815" s="301" t="s">
        <v>315</v>
      </c>
      <c r="U815" s="301" t="s">
        <v>4440</v>
      </c>
      <c r="V815" s="301" t="s">
        <v>4440</v>
      </c>
      <c r="W815" s="298" t="s">
        <v>460</v>
      </c>
      <c r="X815" s="298" t="s">
        <v>306</v>
      </c>
    </row>
    <row r="816">
      <c r="A816" s="295" t="s">
        <v>4441</v>
      </c>
      <c r="B816" s="298">
        <v>9.0</v>
      </c>
      <c r="C816" s="298" t="s">
        <v>288</v>
      </c>
      <c r="D816" s="298" t="s">
        <v>310</v>
      </c>
      <c r="E816" s="298" t="s">
        <v>311</v>
      </c>
      <c r="F816" s="298" t="str">
        <f>'Character Sheet'!$C$9</f>
        <v/>
      </c>
      <c r="G816" s="298" t="s">
        <v>294</v>
      </c>
      <c r="H816" s="298" t="s">
        <v>335</v>
      </c>
      <c r="I816" s="298" t="s">
        <v>296</v>
      </c>
      <c r="J816" s="298" t="s">
        <v>315</v>
      </c>
      <c r="K816" s="298" t="s">
        <v>1001</v>
      </c>
      <c r="L816" s="298" t="s">
        <v>493</v>
      </c>
      <c r="M816" s="301" t="s">
        <v>315</v>
      </c>
      <c r="N816" s="301" t="s">
        <v>315</v>
      </c>
      <c r="O816" s="301" t="s">
        <v>315</v>
      </c>
      <c r="P816" s="301" t="s">
        <v>315</v>
      </c>
      <c r="Q816" s="301" t="s">
        <v>315</v>
      </c>
      <c r="R816" s="301" t="s">
        <v>315</v>
      </c>
      <c r="S816" s="301" t="s">
        <v>315</v>
      </c>
      <c r="T816" s="301" t="s">
        <v>315</v>
      </c>
      <c r="U816" s="301" t="s">
        <v>4442</v>
      </c>
      <c r="V816" s="301" t="s">
        <v>4442</v>
      </c>
      <c r="W816" s="298" t="s">
        <v>331</v>
      </c>
      <c r="X816" s="298" t="s">
        <v>318</v>
      </c>
    </row>
    <row r="817">
      <c r="A817" s="295" t="s">
        <v>4443</v>
      </c>
      <c r="B817" s="298">
        <v>9.0</v>
      </c>
      <c r="C817" s="298" t="s">
        <v>288</v>
      </c>
      <c r="D817" s="298" t="s">
        <v>151</v>
      </c>
      <c r="E817" s="298" t="s">
        <v>311</v>
      </c>
      <c r="F817" s="298" t="s">
        <v>625</v>
      </c>
      <c r="G817" s="298" t="s">
        <v>674</v>
      </c>
      <c r="H817" s="298" t="s">
        <v>1278</v>
      </c>
      <c r="I817" s="298" t="s">
        <v>315</v>
      </c>
      <c r="J817" s="298" t="s">
        <v>315</v>
      </c>
      <c r="K817" s="298" t="s">
        <v>1972</v>
      </c>
      <c r="L817" s="298" t="s">
        <v>493</v>
      </c>
      <c r="M817" s="301" t="s">
        <v>315</v>
      </c>
      <c r="N817" s="301" t="s">
        <v>315</v>
      </c>
      <c r="O817" s="301" t="s">
        <v>315</v>
      </c>
      <c r="P817" s="301" t="s">
        <v>315</v>
      </c>
      <c r="Q817" s="301" t="s">
        <v>315</v>
      </c>
      <c r="R817" s="301" t="s">
        <v>315</v>
      </c>
      <c r="S817" s="301" t="s">
        <v>315</v>
      </c>
      <c r="T817" s="301" t="s">
        <v>315</v>
      </c>
      <c r="U817" s="301" t="s">
        <v>4444</v>
      </c>
      <c r="V817" s="301" t="s">
        <v>4444</v>
      </c>
      <c r="W817" s="298" t="s">
        <v>460</v>
      </c>
      <c r="X817" s="298" t="s">
        <v>306</v>
      </c>
    </row>
    <row r="818">
      <c r="A818" s="295" t="s">
        <v>4445</v>
      </c>
      <c r="B818" s="298">
        <v>9.0</v>
      </c>
      <c r="C818" s="298" t="s">
        <v>288</v>
      </c>
      <c r="D818" s="298" t="s">
        <v>462</v>
      </c>
      <c r="E818" s="298" t="s">
        <v>311</v>
      </c>
      <c r="F818" s="298" t="str">
        <f>'Character Sheet'!$C$9</f>
        <v/>
      </c>
      <c r="G818" s="298" t="s">
        <v>294</v>
      </c>
      <c r="H818" s="298" t="s">
        <v>324</v>
      </c>
      <c r="I818" s="298" t="s">
        <v>324</v>
      </c>
      <c r="J818" s="298" t="s">
        <v>315</v>
      </c>
      <c r="K818" s="298" t="s">
        <v>632</v>
      </c>
      <c r="L818" s="298" t="s">
        <v>493</v>
      </c>
      <c r="M818" s="301" t="s">
        <v>315</v>
      </c>
      <c r="N818" s="301" t="s">
        <v>315</v>
      </c>
      <c r="O818" s="301" t="s">
        <v>315</v>
      </c>
      <c r="P818" s="301" t="s">
        <v>315</v>
      </c>
      <c r="Q818" s="301" t="s">
        <v>315</v>
      </c>
      <c r="R818" s="301" t="s">
        <v>315</v>
      </c>
      <c r="S818" s="301" t="s">
        <v>315</v>
      </c>
      <c r="T818" s="301" t="s">
        <v>315</v>
      </c>
      <c r="U818" s="301" t="s">
        <v>4446</v>
      </c>
      <c r="V818" s="301" t="s">
        <v>4446</v>
      </c>
      <c r="W818" s="298" t="s">
        <v>305</v>
      </c>
      <c r="X818" s="298" t="s">
        <v>306</v>
      </c>
    </row>
    <row r="819">
      <c r="A819" s="295" t="s">
        <v>4447</v>
      </c>
      <c r="B819" s="298">
        <v>9.0</v>
      </c>
      <c r="C819" s="298" t="s">
        <v>288</v>
      </c>
      <c r="D819" s="298" t="s">
        <v>289</v>
      </c>
      <c r="E819" s="298" t="s">
        <v>290</v>
      </c>
      <c r="F819" s="298" t="str">
        <f>'Character Sheet'!$E$9</f>
        <v/>
      </c>
      <c r="G819" s="298" t="s">
        <v>674</v>
      </c>
      <c r="H819" s="298" t="s">
        <v>4448</v>
      </c>
      <c r="I819" s="298" t="s">
        <v>4449</v>
      </c>
      <c r="J819" s="298" t="s">
        <v>315</v>
      </c>
      <c r="K819" s="298" t="s">
        <v>424</v>
      </c>
      <c r="L819" s="298" t="s">
        <v>493</v>
      </c>
      <c r="M819" s="301" t="s">
        <v>315</v>
      </c>
      <c r="N819" s="301" t="s">
        <v>315</v>
      </c>
      <c r="O819" s="301" t="s">
        <v>315</v>
      </c>
      <c r="P819" s="301" t="s">
        <v>315</v>
      </c>
      <c r="Q819" s="301" t="s">
        <v>315</v>
      </c>
      <c r="R819" s="301" t="s">
        <v>315</v>
      </c>
      <c r="S819" s="301" t="s">
        <v>315</v>
      </c>
      <c r="T819" s="301" t="s">
        <v>315</v>
      </c>
      <c r="U819" s="301" t="s">
        <v>4450</v>
      </c>
      <c r="V819" s="301" t="s">
        <v>4451</v>
      </c>
      <c r="W819" s="298" t="s">
        <v>499</v>
      </c>
      <c r="X819" s="298" t="s">
        <v>306</v>
      </c>
    </row>
    <row r="820">
      <c r="A820" s="295" t="s">
        <v>4452</v>
      </c>
      <c r="B820" s="298">
        <v>9.0</v>
      </c>
      <c r="C820" s="298" t="s">
        <v>432</v>
      </c>
      <c r="D820" s="298" t="s">
        <v>151</v>
      </c>
      <c r="E820" s="298" t="s">
        <v>311</v>
      </c>
      <c r="F820" s="298" t="str">
        <f>'Character Sheet'!$E$9</f>
        <v/>
      </c>
      <c r="G820" s="298" t="s">
        <v>674</v>
      </c>
      <c r="H820" s="298" t="s">
        <v>4453</v>
      </c>
      <c r="I820" s="298" t="s">
        <v>315</v>
      </c>
      <c r="J820" s="298" t="s">
        <v>315</v>
      </c>
      <c r="K820" s="298" t="s">
        <v>478</v>
      </c>
      <c r="L820" s="298" t="s">
        <v>493</v>
      </c>
      <c r="M820" s="301" t="s">
        <v>315</v>
      </c>
      <c r="N820" s="301" t="s">
        <v>315</v>
      </c>
      <c r="O820" s="301" t="s">
        <v>315</v>
      </c>
      <c r="P820" s="301" t="s">
        <v>315</v>
      </c>
      <c r="Q820" s="301" t="s">
        <v>315</v>
      </c>
      <c r="R820" s="301" t="s">
        <v>315</v>
      </c>
      <c r="S820" s="301" t="s">
        <v>315</v>
      </c>
      <c r="T820" s="301" t="s">
        <v>315</v>
      </c>
      <c r="U820" s="301" t="s">
        <v>4454</v>
      </c>
      <c r="V820" s="301" t="s">
        <v>4454</v>
      </c>
      <c r="W820" s="298" t="s">
        <v>460</v>
      </c>
      <c r="X820" s="298" t="s">
        <v>3877</v>
      </c>
    </row>
    <row r="821">
      <c r="A821" s="295" t="s">
        <v>4455</v>
      </c>
      <c r="B821" s="298">
        <v>9.0</v>
      </c>
      <c r="C821" s="298" t="s">
        <v>288</v>
      </c>
      <c r="D821" s="298" t="s">
        <v>151</v>
      </c>
      <c r="E821" s="298" t="s">
        <v>311</v>
      </c>
      <c r="F821" s="298" t="str">
        <f>'Character Sheet'!$E$9</f>
        <v/>
      </c>
      <c r="G821" s="298" t="s">
        <v>674</v>
      </c>
      <c r="H821" s="298" t="s">
        <v>708</v>
      </c>
      <c r="I821" s="298" t="s">
        <v>315</v>
      </c>
      <c r="J821" s="298" t="s">
        <v>315</v>
      </c>
      <c r="K821" s="298" t="s">
        <v>478</v>
      </c>
      <c r="L821" s="298" t="s">
        <v>493</v>
      </c>
      <c r="M821" s="301" t="s">
        <v>315</v>
      </c>
      <c r="N821" s="301" t="s">
        <v>315</v>
      </c>
      <c r="O821" s="301" t="s">
        <v>315</v>
      </c>
      <c r="P821" s="301" t="s">
        <v>315</v>
      </c>
      <c r="Q821" s="301" t="s">
        <v>315</v>
      </c>
      <c r="R821" s="301" t="s">
        <v>315</v>
      </c>
      <c r="S821" s="301" t="s">
        <v>315</v>
      </c>
      <c r="T821" s="301" t="s">
        <v>315</v>
      </c>
      <c r="U821" s="301" t="s">
        <v>4456</v>
      </c>
      <c r="V821" s="301" t="s">
        <v>4456</v>
      </c>
      <c r="W821" s="298" t="s">
        <v>442</v>
      </c>
      <c r="X821" s="298" t="s">
        <v>318</v>
      </c>
    </row>
    <row r="822">
      <c r="A822" s="295" t="s">
        <v>4457</v>
      </c>
      <c r="B822" s="298">
        <v>9.0</v>
      </c>
      <c r="C822" s="298" t="s">
        <v>288</v>
      </c>
      <c r="D822" s="298" t="s">
        <v>359</v>
      </c>
      <c r="E822" s="298" t="s">
        <v>311</v>
      </c>
      <c r="F822" s="298" t="str">
        <f>'Character Sheet'!$E$9</f>
        <v/>
      </c>
      <c r="G822" s="298" t="s">
        <v>674</v>
      </c>
      <c r="H822" s="298" t="s">
        <v>2115</v>
      </c>
      <c r="I822" s="298" t="s">
        <v>296</v>
      </c>
      <c r="J822" s="298" t="s">
        <v>192</v>
      </c>
      <c r="K822" s="298" t="s">
        <v>1174</v>
      </c>
      <c r="L822" s="298" t="s">
        <v>493</v>
      </c>
      <c r="M822" s="301" t="s">
        <v>315</v>
      </c>
      <c r="N822" s="301" t="s">
        <v>315</v>
      </c>
      <c r="O822" s="301" t="s">
        <v>315</v>
      </c>
      <c r="P822" s="301" t="s">
        <v>315</v>
      </c>
      <c r="Q822" s="301" t="s">
        <v>315</v>
      </c>
      <c r="R822" s="301" t="s">
        <v>315</v>
      </c>
      <c r="S822" s="301" t="s">
        <v>315</v>
      </c>
      <c r="T822" s="301" t="s">
        <v>315</v>
      </c>
      <c r="U822" s="301" t="s">
        <v>4458</v>
      </c>
      <c r="V822" s="301" t="s">
        <v>4458</v>
      </c>
      <c r="W822" s="298" t="s">
        <v>331</v>
      </c>
      <c r="X822" s="298" t="s">
        <v>306</v>
      </c>
    </row>
    <row r="823">
      <c r="A823" s="295" t="s">
        <v>4459</v>
      </c>
      <c r="B823" s="298">
        <v>9.0</v>
      </c>
      <c r="C823" s="298" t="s">
        <v>432</v>
      </c>
      <c r="D823" s="298" t="s">
        <v>334</v>
      </c>
      <c r="E823" s="298" t="s">
        <v>311</v>
      </c>
      <c r="F823" s="298" t="str">
        <f>'Character Sheet'!$C$9</f>
        <v/>
      </c>
      <c r="G823" s="298" t="s">
        <v>294</v>
      </c>
      <c r="H823" s="298" t="s">
        <v>295</v>
      </c>
      <c r="I823" s="298" t="s">
        <v>2038</v>
      </c>
      <c r="J823" s="298" t="s">
        <v>173</v>
      </c>
      <c r="K823" s="298" t="s">
        <v>1174</v>
      </c>
      <c r="L823" s="298" t="s">
        <v>493</v>
      </c>
      <c r="M823" s="301" t="s">
        <v>315</v>
      </c>
      <c r="N823" s="301" t="s">
        <v>315</v>
      </c>
      <c r="O823" s="301" t="s">
        <v>315</v>
      </c>
      <c r="P823" s="301" t="s">
        <v>315</v>
      </c>
      <c r="Q823" s="301" t="s">
        <v>315</v>
      </c>
      <c r="R823" s="301" t="s">
        <v>315</v>
      </c>
      <c r="S823" s="301" t="s">
        <v>315</v>
      </c>
      <c r="T823" s="301" t="s">
        <v>315</v>
      </c>
      <c r="U823" s="301" t="s">
        <v>4460</v>
      </c>
      <c r="V823" s="301" t="s">
        <v>4460</v>
      </c>
      <c r="W823" s="298" t="s">
        <v>429</v>
      </c>
      <c r="X823" s="298" t="s">
        <v>4461</v>
      </c>
    </row>
    <row r="824">
      <c r="A824" s="295" t="s">
        <v>4462</v>
      </c>
      <c r="B824" s="298">
        <v>9.0</v>
      </c>
      <c r="C824" s="298" t="s">
        <v>288</v>
      </c>
      <c r="D824" s="298" t="s">
        <v>359</v>
      </c>
      <c r="E824" s="298" t="s">
        <v>311</v>
      </c>
      <c r="F824" s="298" t="str">
        <f>'Character Sheet'!$C$9</f>
        <v/>
      </c>
      <c r="G824" s="298" t="s">
        <v>294</v>
      </c>
      <c r="H824" s="298" t="s">
        <v>352</v>
      </c>
      <c r="I824" s="298" t="s">
        <v>2549</v>
      </c>
      <c r="J824" s="298" t="s">
        <v>192</v>
      </c>
      <c r="K824" s="298" t="s">
        <v>424</v>
      </c>
      <c r="L824" s="298" t="s">
        <v>493</v>
      </c>
      <c r="M824" s="301" t="s">
        <v>315</v>
      </c>
      <c r="N824" s="301" t="s">
        <v>315</v>
      </c>
      <c r="O824" s="301" t="s">
        <v>315</v>
      </c>
      <c r="P824" s="301" t="s">
        <v>315</v>
      </c>
      <c r="Q824" s="301" t="s">
        <v>315</v>
      </c>
      <c r="R824" s="301" t="s">
        <v>315</v>
      </c>
      <c r="S824" s="301" t="s">
        <v>315</v>
      </c>
      <c r="T824" s="301" t="s">
        <v>315</v>
      </c>
      <c r="U824" s="301" t="s">
        <v>4463</v>
      </c>
      <c r="V824" s="301" t="s">
        <v>4463</v>
      </c>
      <c r="W824" s="298" t="s">
        <v>536</v>
      </c>
      <c r="X824" s="298" t="s">
        <v>306</v>
      </c>
    </row>
    <row r="825">
      <c r="A825" s="295" t="s">
        <v>4464</v>
      </c>
      <c r="B825" s="298">
        <v>9.0</v>
      </c>
      <c r="C825" s="298" t="s">
        <v>288</v>
      </c>
      <c r="D825" s="298" t="s">
        <v>321</v>
      </c>
      <c r="E825" s="298" t="s">
        <v>311</v>
      </c>
      <c r="F825" s="298" t="str">
        <f>'Character Sheet'!$C$9</f>
        <v/>
      </c>
      <c r="G825" s="298" t="s">
        <v>294</v>
      </c>
      <c r="H825" s="298" t="s">
        <v>352</v>
      </c>
      <c r="I825" s="298" t="s">
        <v>296</v>
      </c>
      <c r="J825" s="298" t="s">
        <v>192</v>
      </c>
      <c r="K825" s="298" t="s">
        <v>1174</v>
      </c>
      <c r="L825" s="298" t="s">
        <v>493</v>
      </c>
      <c r="M825" s="301" t="s">
        <v>315</v>
      </c>
      <c r="N825" s="301" t="s">
        <v>315</v>
      </c>
      <c r="O825" s="301" t="s">
        <v>315</v>
      </c>
      <c r="P825" s="301" t="s">
        <v>315</v>
      </c>
      <c r="Q825" s="301" t="s">
        <v>315</v>
      </c>
      <c r="R825" s="301" t="s">
        <v>315</v>
      </c>
      <c r="S825" s="301" t="s">
        <v>315</v>
      </c>
      <c r="T825" s="301" t="s">
        <v>315</v>
      </c>
      <c r="U825" s="301" t="s">
        <v>4465</v>
      </c>
      <c r="V825" s="301" t="s">
        <v>4465</v>
      </c>
      <c r="W825" s="298" t="s">
        <v>460</v>
      </c>
      <c r="X825" s="298" t="s">
        <v>318</v>
      </c>
    </row>
    <row r="826">
      <c r="A826" s="295" t="s">
        <v>4466</v>
      </c>
      <c r="B826" s="298">
        <v>9.0</v>
      </c>
      <c r="C826" s="298" t="s">
        <v>522</v>
      </c>
      <c r="D826" s="298" t="s">
        <v>151</v>
      </c>
      <c r="E826" s="298" t="s">
        <v>311</v>
      </c>
      <c r="F826" s="298" t="str">
        <f>'Character Sheet'!$C$9</f>
        <v/>
      </c>
      <c r="G826" s="298" t="s">
        <v>294</v>
      </c>
      <c r="H826" s="298" t="s">
        <v>1278</v>
      </c>
      <c r="I826" s="298" t="s">
        <v>4467</v>
      </c>
      <c r="J826" s="298" t="s">
        <v>180</v>
      </c>
      <c r="K826" s="298" t="s">
        <v>298</v>
      </c>
      <c r="L826" s="298" t="s">
        <v>493</v>
      </c>
      <c r="M826" s="301" t="s">
        <v>315</v>
      </c>
      <c r="N826" s="301" t="s">
        <v>315</v>
      </c>
      <c r="O826" s="301" t="s">
        <v>315</v>
      </c>
      <c r="P826" s="301" t="s">
        <v>315</v>
      </c>
      <c r="Q826" s="301" t="s">
        <v>315</v>
      </c>
      <c r="R826" s="301" t="s">
        <v>315</v>
      </c>
      <c r="S826" s="301" t="s">
        <v>315</v>
      </c>
      <c r="T826" s="301" t="s">
        <v>315</v>
      </c>
      <c r="U826" s="301" t="s">
        <v>4468</v>
      </c>
      <c r="V826" s="301" t="s">
        <v>4468</v>
      </c>
      <c r="W826" s="298" t="s">
        <v>305</v>
      </c>
      <c r="X826" s="298" t="s">
        <v>4303</v>
      </c>
    </row>
    <row r="827">
      <c r="A827" s="295" t="s">
        <v>4469</v>
      </c>
      <c r="B827" s="298">
        <v>9.0</v>
      </c>
      <c r="C827" s="298" t="s">
        <v>288</v>
      </c>
      <c r="D827" s="298" t="s">
        <v>334</v>
      </c>
      <c r="E827" s="298" t="s">
        <v>290</v>
      </c>
      <c r="F827" s="298" t="str">
        <f>'Character Sheet'!$C$9</f>
        <v/>
      </c>
      <c r="G827" s="298" t="s">
        <v>294</v>
      </c>
      <c r="H827" s="298" t="s">
        <v>324</v>
      </c>
      <c r="I827" s="298" t="s">
        <v>861</v>
      </c>
      <c r="J827" s="298" t="s">
        <v>336</v>
      </c>
      <c r="K827" s="298" t="s">
        <v>424</v>
      </c>
      <c r="L827" s="298" t="s">
        <v>493</v>
      </c>
      <c r="M827" s="301" t="s">
        <v>315</v>
      </c>
      <c r="N827" s="301" t="s">
        <v>315</v>
      </c>
      <c r="O827" s="301" t="s">
        <v>315</v>
      </c>
      <c r="P827" s="301" t="s">
        <v>315</v>
      </c>
      <c r="Q827" s="301" t="s">
        <v>315</v>
      </c>
      <c r="R827" s="301" t="s">
        <v>315</v>
      </c>
      <c r="S827" s="301" t="s">
        <v>315</v>
      </c>
      <c r="T827" s="301" t="s">
        <v>315</v>
      </c>
      <c r="U827" s="301" t="s">
        <v>4470</v>
      </c>
      <c r="V827" s="301" t="s">
        <v>4471</v>
      </c>
      <c r="W827" s="298" t="s">
        <v>429</v>
      </c>
      <c r="X827" s="298" t="s">
        <v>318</v>
      </c>
    </row>
    <row r="828">
      <c r="A828" s="295" t="s">
        <v>4472</v>
      </c>
      <c r="B828" s="298">
        <v>9.0</v>
      </c>
      <c r="C828" s="298" t="s">
        <v>288</v>
      </c>
      <c r="D828" s="298" t="s">
        <v>334</v>
      </c>
      <c r="E828" s="298" t="s">
        <v>311</v>
      </c>
      <c r="F828" s="298" t="str">
        <f>'Character Sheet'!$C$9</f>
        <v/>
      </c>
      <c r="G828" s="298" t="s">
        <v>294</v>
      </c>
      <c r="H828" s="298" t="s">
        <v>324</v>
      </c>
      <c r="I828" s="298" t="s">
        <v>4046</v>
      </c>
      <c r="J828" s="298" t="s">
        <v>173</v>
      </c>
      <c r="K828" s="298" t="s">
        <v>298</v>
      </c>
      <c r="L828" s="298" t="s">
        <v>493</v>
      </c>
      <c r="M828" s="301" t="s">
        <v>315</v>
      </c>
      <c r="N828" s="301" t="s">
        <v>315</v>
      </c>
      <c r="O828" s="301" t="s">
        <v>315</v>
      </c>
      <c r="P828" s="301" t="s">
        <v>315</v>
      </c>
      <c r="Q828" s="301" t="s">
        <v>315</v>
      </c>
      <c r="R828" s="301" t="s">
        <v>315</v>
      </c>
      <c r="S828" s="301" t="s">
        <v>315</v>
      </c>
      <c r="T828" s="301" t="s">
        <v>315</v>
      </c>
      <c r="U828" s="301" t="s">
        <v>4473</v>
      </c>
      <c r="V828" s="301" t="s">
        <v>4473</v>
      </c>
      <c r="W828" s="298" t="s">
        <v>429</v>
      </c>
      <c r="X828" s="298" t="s">
        <v>306</v>
      </c>
    </row>
    <row r="829">
      <c r="A829" s="295" t="s">
        <v>4474</v>
      </c>
      <c r="B829" s="298">
        <v>9.0</v>
      </c>
      <c r="C829" s="298" t="s">
        <v>288</v>
      </c>
      <c r="D829" s="298" t="s">
        <v>289</v>
      </c>
      <c r="E829" s="298" t="s">
        <v>290</v>
      </c>
      <c r="F829" s="298" t="str">
        <f>'Character Sheet'!$C$9</f>
        <v/>
      </c>
      <c r="G829" s="298" t="s">
        <v>294</v>
      </c>
      <c r="H829" s="298" t="s">
        <v>708</v>
      </c>
      <c r="I829" s="298" t="s">
        <v>296</v>
      </c>
      <c r="J829" s="298" t="s">
        <v>203</v>
      </c>
      <c r="K829" s="298" t="s">
        <v>632</v>
      </c>
      <c r="L829" s="298" t="s">
        <v>493</v>
      </c>
      <c r="M829" s="301" t="s">
        <v>315</v>
      </c>
      <c r="N829" s="301" t="s">
        <v>315</v>
      </c>
      <c r="O829" s="301" t="s">
        <v>315</v>
      </c>
      <c r="P829" s="301" t="s">
        <v>315</v>
      </c>
      <c r="Q829" s="301" t="s">
        <v>315</v>
      </c>
      <c r="R829" s="301" t="s">
        <v>315</v>
      </c>
      <c r="S829" s="301" t="s">
        <v>315</v>
      </c>
      <c r="T829" s="301" t="s">
        <v>315</v>
      </c>
      <c r="U829" s="301" t="s">
        <v>4475</v>
      </c>
      <c r="V829" s="301" t="s">
        <v>4476</v>
      </c>
      <c r="W829" s="298" t="s">
        <v>404</v>
      </c>
      <c r="X829" s="298" t="s">
        <v>306</v>
      </c>
    </row>
    <row r="830">
      <c r="A830" s="341" t="s">
        <v>4477</v>
      </c>
      <c r="B830" s="343">
        <v>9.0</v>
      </c>
      <c r="C830" s="343" t="s">
        <v>288</v>
      </c>
      <c r="D830" s="343" t="s">
        <v>321</v>
      </c>
      <c r="E830" s="343" t="s">
        <v>311</v>
      </c>
      <c r="F830" s="343" t="str">
        <f>'Character Sheet'!$C$9</f>
        <v/>
      </c>
      <c r="G830" s="343" t="s">
        <v>294</v>
      </c>
      <c r="H830" s="343" t="s">
        <v>352</v>
      </c>
      <c r="I830" s="343" t="s">
        <v>4478</v>
      </c>
      <c r="J830" s="343" t="s">
        <v>192</v>
      </c>
      <c r="K830" s="343" t="s">
        <v>298</v>
      </c>
      <c r="L830" s="343" t="s">
        <v>493</v>
      </c>
      <c r="M830" s="344" t="s">
        <v>315</v>
      </c>
      <c r="N830" s="344" t="s">
        <v>315</v>
      </c>
      <c r="O830" s="344" t="s">
        <v>315</v>
      </c>
      <c r="P830" s="344" t="s">
        <v>315</v>
      </c>
      <c r="Q830" s="344" t="s">
        <v>315</v>
      </c>
      <c r="R830" s="344" t="s">
        <v>315</v>
      </c>
      <c r="S830" s="344" t="s">
        <v>315</v>
      </c>
      <c r="T830" s="344" t="s">
        <v>315</v>
      </c>
      <c r="U830" s="344" t="s">
        <v>4479</v>
      </c>
      <c r="V830" s="344" t="s">
        <v>4479</v>
      </c>
      <c r="W830" s="343" t="s">
        <v>460</v>
      </c>
      <c r="X830" s="343" t="s">
        <v>306</v>
      </c>
    </row>
    <row r="831">
      <c r="A831" s="295" t="s">
        <v>4480</v>
      </c>
      <c r="B831" s="298">
        <v>10.0</v>
      </c>
      <c r="C831" s="298" t="s">
        <v>288</v>
      </c>
      <c r="D831" s="298" t="s">
        <v>310</v>
      </c>
      <c r="E831" s="298" t="s">
        <v>311</v>
      </c>
      <c r="F831" s="298" t="str">
        <f>'Character Sheet'!$E$9</f>
        <v/>
      </c>
      <c r="G831" s="298" t="s">
        <v>674</v>
      </c>
      <c r="H831" s="298" t="s">
        <v>324</v>
      </c>
      <c r="I831" s="298" t="s">
        <v>315</v>
      </c>
      <c r="J831" s="298" t="s">
        <v>315</v>
      </c>
      <c r="K831" s="298" t="s">
        <v>298</v>
      </c>
      <c r="L831" s="298" t="s">
        <v>493</v>
      </c>
      <c r="M831" s="301" t="s">
        <v>315</v>
      </c>
      <c r="N831" s="301" t="s">
        <v>315</v>
      </c>
      <c r="O831" s="301" t="s">
        <v>315</v>
      </c>
      <c r="P831" s="301" t="s">
        <v>315</v>
      </c>
      <c r="Q831" s="301" t="s">
        <v>315</v>
      </c>
      <c r="R831" s="482"/>
      <c r="S831" s="301" t="s">
        <v>315</v>
      </c>
      <c r="T831" s="301" t="s">
        <v>315</v>
      </c>
      <c r="U831" s="301" t="s">
        <v>315</v>
      </c>
      <c r="V831" s="301" t="s">
        <v>4481</v>
      </c>
      <c r="W831" s="298" t="s">
        <v>536</v>
      </c>
      <c r="X831" s="298" t="s">
        <v>306</v>
      </c>
    </row>
    <row r="832">
      <c r="A832" s="295" t="s">
        <v>4482</v>
      </c>
      <c r="B832" s="298">
        <v>10.0</v>
      </c>
      <c r="C832" s="298" t="s">
        <v>288</v>
      </c>
      <c r="D832" s="298" t="s">
        <v>462</v>
      </c>
      <c r="E832" s="298" t="s">
        <v>311</v>
      </c>
      <c r="F832" s="298" t="str">
        <f>'Character Sheet'!$B$9</f>
        <v/>
      </c>
      <c r="G832" s="298" t="s">
        <v>294</v>
      </c>
      <c r="H832" s="298" t="s">
        <v>324</v>
      </c>
      <c r="I832" s="298" t="s">
        <v>324</v>
      </c>
      <c r="J832" s="298" t="s">
        <v>315</v>
      </c>
      <c r="K832" s="298" t="s">
        <v>632</v>
      </c>
      <c r="L832" s="298" t="s">
        <v>493</v>
      </c>
      <c r="M832" s="301" t="s">
        <v>315</v>
      </c>
      <c r="N832" s="301" t="s">
        <v>315</v>
      </c>
      <c r="O832" s="301" t="s">
        <v>315</v>
      </c>
      <c r="P832" s="301" t="s">
        <v>315</v>
      </c>
      <c r="Q832" s="301" t="s">
        <v>315</v>
      </c>
      <c r="R832" s="482"/>
      <c r="S832" s="301" t="s">
        <v>315</v>
      </c>
      <c r="T832" s="301" t="s">
        <v>315</v>
      </c>
      <c r="U832" s="301" t="s">
        <v>315</v>
      </c>
      <c r="V832" s="301" t="s">
        <v>4483</v>
      </c>
      <c r="W832" s="298" t="s">
        <v>404</v>
      </c>
      <c r="X832" s="298" t="s">
        <v>306</v>
      </c>
    </row>
    <row r="833">
      <c r="A833" s="295" t="s">
        <v>4484</v>
      </c>
      <c r="B833" s="298">
        <v>10.0</v>
      </c>
      <c r="C833" s="298" t="s">
        <v>288</v>
      </c>
      <c r="D833" s="298" t="s">
        <v>289</v>
      </c>
      <c r="E833" s="298" t="s">
        <v>311</v>
      </c>
      <c r="F833" s="298" t="str">
        <f>'Character Sheet'!$C$9</f>
        <v/>
      </c>
      <c r="G833" s="298" t="s">
        <v>294</v>
      </c>
      <c r="H833" s="298" t="s">
        <v>4485</v>
      </c>
      <c r="I833" s="298" t="s">
        <v>2254</v>
      </c>
      <c r="J833" s="298" t="s">
        <v>4074</v>
      </c>
      <c r="K833" s="298" t="s">
        <v>298</v>
      </c>
      <c r="L833" s="298" t="s">
        <v>493</v>
      </c>
      <c r="M833" s="301" t="s">
        <v>315</v>
      </c>
      <c r="N833" s="301" t="s">
        <v>315</v>
      </c>
      <c r="O833" s="301" t="s">
        <v>315</v>
      </c>
      <c r="P833" s="301" t="s">
        <v>315</v>
      </c>
      <c r="Q833" s="301" t="s">
        <v>315</v>
      </c>
      <c r="R833" s="482"/>
      <c r="S833" s="301" t="s">
        <v>315</v>
      </c>
      <c r="T833" s="301" t="s">
        <v>315</v>
      </c>
      <c r="U833" s="301" t="s">
        <v>315</v>
      </c>
      <c r="V833" s="301" t="s">
        <v>4486</v>
      </c>
      <c r="W833" s="298" t="s">
        <v>305</v>
      </c>
      <c r="X833" s="298" t="s">
        <v>306</v>
      </c>
    </row>
    <row r="834">
      <c r="A834" s="295" t="s">
        <v>4487</v>
      </c>
      <c r="B834" s="298">
        <v>10.0</v>
      </c>
      <c r="C834" s="298" t="s">
        <v>432</v>
      </c>
      <c r="D834" s="298" t="s">
        <v>151</v>
      </c>
      <c r="E834" s="298" t="s">
        <v>311</v>
      </c>
      <c r="F834" s="298" t="s">
        <v>999</v>
      </c>
      <c r="G834" s="298" t="s">
        <v>674</v>
      </c>
      <c r="H834" s="298" t="s">
        <v>1278</v>
      </c>
      <c r="I834" s="298" t="s">
        <v>315</v>
      </c>
      <c r="J834" s="298" t="s">
        <v>315</v>
      </c>
      <c r="K834" s="298" t="s">
        <v>545</v>
      </c>
      <c r="L834" s="298" t="s">
        <v>493</v>
      </c>
      <c r="M834" s="301" t="s">
        <v>315</v>
      </c>
      <c r="N834" s="301" t="s">
        <v>315</v>
      </c>
      <c r="O834" s="301" t="s">
        <v>315</v>
      </c>
      <c r="P834" s="301" t="s">
        <v>315</v>
      </c>
      <c r="Q834" s="301" t="s">
        <v>315</v>
      </c>
      <c r="R834" s="482"/>
      <c r="S834" s="301" t="s">
        <v>315</v>
      </c>
      <c r="T834" s="301" t="s">
        <v>315</v>
      </c>
      <c r="U834" s="301" t="s">
        <v>315</v>
      </c>
      <c r="V834" s="301" t="s">
        <v>4488</v>
      </c>
      <c r="W834" s="298" t="s">
        <v>499</v>
      </c>
      <c r="X834" s="298" t="s">
        <v>2746</v>
      </c>
    </row>
    <row r="835">
      <c r="A835" s="295" t="s">
        <v>4489</v>
      </c>
      <c r="B835" s="298">
        <v>10.0</v>
      </c>
      <c r="C835" s="298" t="s">
        <v>288</v>
      </c>
      <c r="D835" s="298" t="s">
        <v>462</v>
      </c>
      <c r="E835" s="298" t="s">
        <v>311</v>
      </c>
      <c r="F835" s="298" t="str">
        <f>'Character Sheet'!$C$9</f>
        <v/>
      </c>
      <c r="G835" s="298" t="s">
        <v>294</v>
      </c>
      <c r="H835" s="298" t="s">
        <v>324</v>
      </c>
      <c r="I835" s="298" t="s">
        <v>324</v>
      </c>
      <c r="J835" s="298" t="s">
        <v>315</v>
      </c>
      <c r="K835" s="298" t="s">
        <v>632</v>
      </c>
      <c r="L835" s="298" t="s">
        <v>493</v>
      </c>
      <c r="M835" s="301" t="s">
        <v>315</v>
      </c>
      <c r="N835" s="301" t="s">
        <v>315</v>
      </c>
      <c r="O835" s="301" t="s">
        <v>315</v>
      </c>
      <c r="P835" s="301" t="s">
        <v>315</v>
      </c>
      <c r="Q835" s="301" t="s">
        <v>315</v>
      </c>
      <c r="R835" s="482"/>
      <c r="S835" s="301" t="s">
        <v>315</v>
      </c>
      <c r="T835" s="301" t="s">
        <v>315</v>
      </c>
      <c r="U835" s="301" t="s">
        <v>315</v>
      </c>
      <c r="V835" s="301" t="s">
        <v>4490</v>
      </c>
      <c r="W835" s="298" t="s">
        <v>499</v>
      </c>
      <c r="X835" s="298" t="s">
        <v>318</v>
      </c>
    </row>
    <row r="836">
      <c r="A836" s="295" t="s">
        <v>4491</v>
      </c>
      <c r="B836" s="298">
        <v>10.0</v>
      </c>
      <c r="C836" s="298" t="s">
        <v>288</v>
      </c>
      <c r="D836" s="298" t="s">
        <v>359</v>
      </c>
      <c r="E836" s="298" t="s">
        <v>311</v>
      </c>
      <c r="F836" s="298" t="str">
        <f>'Character Sheet'!$E$9</f>
        <v/>
      </c>
      <c r="G836" s="298" t="s">
        <v>674</v>
      </c>
      <c r="H836" s="298" t="s">
        <v>708</v>
      </c>
      <c r="I836" s="298" t="s">
        <v>2549</v>
      </c>
      <c r="J836" s="298" t="s">
        <v>192</v>
      </c>
      <c r="K836" s="298" t="s">
        <v>1174</v>
      </c>
      <c r="L836" s="298" t="s">
        <v>493</v>
      </c>
      <c r="M836" s="301" t="s">
        <v>315</v>
      </c>
      <c r="N836" s="301" t="s">
        <v>315</v>
      </c>
      <c r="O836" s="301" t="s">
        <v>315</v>
      </c>
      <c r="P836" s="301" t="s">
        <v>315</v>
      </c>
      <c r="Q836" s="301" t="s">
        <v>315</v>
      </c>
      <c r="R836" s="482"/>
      <c r="S836" s="301" t="s">
        <v>315</v>
      </c>
      <c r="T836" s="301" t="s">
        <v>315</v>
      </c>
      <c r="U836" s="301" t="s">
        <v>315</v>
      </c>
      <c r="V836" s="301" t="s">
        <v>4492</v>
      </c>
      <c r="W836" s="298" t="s">
        <v>536</v>
      </c>
      <c r="X836" s="298" t="s">
        <v>306</v>
      </c>
    </row>
    <row r="837">
      <c r="A837" s="295" t="s">
        <v>4493</v>
      </c>
      <c r="B837" s="298">
        <v>10.0</v>
      </c>
      <c r="C837" s="298" t="s">
        <v>288</v>
      </c>
      <c r="D837" s="298" t="s">
        <v>310</v>
      </c>
      <c r="E837" s="298" t="s">
        <v>311</v>
      </c>
      <c r="F837" s="298" t="str">
        <f>'Character Sheet'!$E$9</f>
        <v/>
      </c>
      <c r="G837" s="298" t="s">
        <v>674</v>
      </c>
      <c r="H837" s="298" t="s">
        <v>352</v>
      </c>
      <c r="I837" s="298" t="s">
        <v>4494</v>
      </c>
      <c r="J837" s="298" t="s">
        <v>315</v>
      </c>
      <c r="K837" s="298" t="s">
        <v>632</v>
      </c>
      <c r="L837" s="298" t="s">
        <v>493</v>
      </c>
      <c r="M837" s="301" t="s">
        <v>315</v>
      </c>
      <c r="N837" s="301" t="s">
        <v>315</v>
      </c>
      <c r="O837" s="301" t="s">
        <v>315</v>
      </c>
      <c r="P837" s="301" t="s">
        <v>315</v>
      </c>
      <c r="Q837" s="301" t="s">
        <v>315</v>
      </c>
      <c r="R837" s="482"/>
      <c r="S837" s="301" t="s">
        <v>315</v>
      </c>
      <c r="T837" s="301" t="s">
        <v>315</v>
      </c>
      <c r="U837" s="301" t="s">
        <v>315</v>
      </c>
      <c r="V837" s="301" t="s">
        <v>4495</v>
      </c>
      <c r="W837" s="298" t="s">
        <v>317</v>
      </c>
      <c r="X837" s="298" t="s">
        <v>318</v>
      </c>
    </row>
    <row r="838">
      <c r="A838" s="295" t="s">
        <v>4496</v>
      </c>
      <c r="B838" s="298">
        <v>10.0</v>
      </c>
      <c r="C838" s="298" t="s">
        <v>522</v>
      </c>
      <c r="D838" s="298" t="s">
        <v>151</v>
      </c>
      <c r="E838" s="298" t="s">
        <v>311</v>
      </c>
      <c r="F838" s="298" t="str">
        <f>'Character Sheet'!$C$9</f>
        <v/>
      </c>
      <c r="G838" s="298" t="s">
        <v>294</v>
      </c>
      <c r="H838" s="298" t="s">
        <v>352</v>
      </c>
      <c r="I838" s="298" t="s">
        <v>315</v>
      </c>
      <c r="J838" s="298" t="s">
        <v>315</v>
      </c>
      <c r="K838" s="298" t="s">
        <v>424</v>
      </c>
      <c r="L838" s="298" t="s">
        <v>493</v>
      </c>
      <c r="M838" s="301" t="s">
        <v>315</v>
      </c>
      <c r="N838" s="301" t="s">
        <v>315</v>
      </c>
      <c r="O838" s="301" t="s">
        <v>315</v>
      </c>
      <c r="P838" s="301" t="s">
        <v>315</v>
      </c>
      <c r="Q838" s="301" t="s">
        <v>315</v>
      </c>
      <c r="R838" s="482"/>
      <c r="S838" s="301" t="s">
        <v>315</v>
      </c>
      <c r="T838" s="301" t="s">
        <v>315</v>
      </c>
      <c r="U838" s="301" t="s">
        <v>315</v>
      </c>
      <c r="V838" s="301" t="s">
        <v>4497</v>
      </c>
      <c r="W838" s="298" t="s">
        <v>331</v>
      </c>
      <c r="X838" s="298" t="s">
        <v>306</v>
      </c>
    </row>
    <row r="839">
      <c r="A839" s="295" t="s">
        <v>4498</v>
      </c>
      <c r="B839" s="298">
        <v>10.0</v>
      </c>
      <c r="C839" s="298" t="s">
        <v>288</v>
      </c>
      <c r="D839" s="298" t="s">
        <v>421</v>
      </c>
      <c r="E839" s="298" t="s">
        <v>311</v>
      </c>
      <c r="F839" s="298" t="str">
        <f>'Character Sheet'!$C$9</f>
        <v/>
      </c>
      <c r="G839" s="298" t="s">
        <v>294</v>
      </c>
      <c r="H839" s="298" t="s">
        <v>324</v>
      </c>
      <c r="I839" s="298" t="s">
        <v>324</v>
      </c>
      <c r="J839" s="298" t="s">
        <v>315</v>
      </c>
      <c r="K839" s="298" t="s">
        <v>478</v>
      </c>
      <c r="L839" s="298" t="s">
        <v>493</v>
      </c>
      <c r="M839" s="301" t="s">
        <v>315</v>
      </c>
      <c r="N839" s="301" t="s">
        <v>315</v>
      </c>
      <c r="O839" s="301" t="s">
        <v>315</v>
      </c>
      <c r="P839" s="301" t="s">
        <v>315</v>
      </c>
      <c r="Q839" s="301" t="s">
        <v>315</v>
      </c>
      <c r="R839" s="482"/>
      <c r="S839" s="301" t="s">
        <v>315</v>
      </c>
      <c r="T839" s="301" t="s">
        <v>315</v>
      </c>
      <c r="U839" s="301" t="s">
        <v>315</v>
      </c>
      <c r="V839" s="301" t="s">
        <v>4499</v>
      </c>
      <c r="W839" s="298" t="s">
        <v>317</v>
      </c>
      <c r="X839" s="298" t="s">
        <v>678</v>
      </c>
    </row>
    <row r="840">
      <c r="A840" s="295" t="s">
        <v>4500</v>
      </c>
      <c r="B840" s="298">
        <v>10.0</v>
      </c>
      <c r="C840" s="298" t="s">
        <v>288</v>
      </c>
      <c r="D840" s="298" t="s">
        <v>310</v>
      </c>
      <c r="E840" s="298" t="s">
        <v>311</v>
      </c>
      <c r="F840" s="298" t="str">
        <f>'Character Sheet'!$E$9</f>
        <v/>
      </c>
      <c r="G840" s="298" t="s">
        <v>674</v>
      </c>
      <c r="H840" s="298" t="s">
        <v>324</v>
      </c>
      <c r="I840" s="298" t="s">
        <v>315</v>
      </c>
      <c r="J840" s="298" t="s">
        <v>315</v>
      </c>
      <c r="K840" s="298" t="s">
        <v>298</v>
      </c>
      <c r="L840" s="298" t="s">
        <v>493</v>
      </c>
      <c r="M840" s="301" t="s">
        <v>315</v>
      </c>
      <c r="N840" s="301" t="s">
        <v>315</v>
      </c>
      <c r="O840" s="301" t="s">
        <v>315</v>
      </c>
      <c r="P840" s="301" t="s">
        <v>315</v>
      </c>
      <c r="Q840" s="301" t="s">
        <v>315</v>
      </c>
      <c r="R840" s="482"/>
      <c r="S840" s="301" t="s">
        <v>315</v>
      </c>
      <c r="T840" s="301" t="s">
        <v>315</v>
      </c>
      <c r="U840" s="301" t="s">
        <v>315</v>
      </c>
      <c r="V840" s="301" t="s">
        <v>4501</v>
      </c>
      <c r="W840" s="298" t="s">
        <v>404</v>
      </c>
      <c r="X840" s="298" t="s">
        <v>306</v>
      </c>
    </row>
    <row r="841">
      <c r="A841" s="295" t="s">
        <v>4502</v>
      </c>
      <c r="B841" s="298">
        <v>10.0</v>
      </c>
      <c r="C841" s="298" t="s">
        <v>288</v>
      </c>
      <c r="D841" s="298" t="s">
        <v>462</v>
      </c>
      <c r="E841" s="298" t="s">
        <v>311</v>
      </c>
      <c r="F841" s="298" t="str">
        <f>'Character Sheet'!$C$9</f>
        <v/>
      </c>
      <c r="G841" s="298" t="s">
        <v>294</v>
      </c>
      <c r="H841" s="298" t="s">
        <v>324</v>
      </c>
      <c r="I841" s="298" t="s">
        <v>324</v>
      </c>
      <c r="J841" s="298" t="s">
        <v>315</v>
      </c>
      <c r="K841" s="298" t="s">
        <v>632</v>
      </c>
      <c r="L841" s="298" t="s">
        <v>493</v>
      </c>
      <c r="M841" s="301" t="s">
        <v>315</v>
      </c>
      <c r="N841" s="301" t="s">
        <v>315</v>
      </c>
      <c r="O841" s="301" t="s">
        <v>315</v>
      </c>
      <c r="P841" s="301" t="s">
        <v>315</v>
      </c>
      <c r="Q841" s="301" t="s">
        <v>315</v>
      </c>
      <c r="R841" s="482"/>
      <c r="S841" s="301" t="s">
        <v>315</v>
      </c>
      <c r="T841" s="301" t="s">
        <v>315</v>
      </c>
      <c r="U841" s="301" t="s">
        <v>315</v>
      </c>
      <c r="V841" s="301" t="s">
        <v>4503</v>
      </c>
      <c r="W841" s="298" t="s">
        <v>499</v>
      </c>
      <c r="X841" s="298" t="s">
        <v>306</v>
      </c>
    </row>
    <row r="842">
      <c r="A842" s="295" t="s">
        <v>4504</v>
      </c>
      <c r="B842" s="298">
        <v>10.0</v>
      </c>
      <c r="C842" s="298" t="s">
        <v>288</v>
      </c>
      <c r="D842" s="298" t="s">
        <v>421</v>
      </c>
      <c r="E842" s="298" t="s">
        <v>311</v>
      </c>
      <c r="F842" s="298" t="str">
        <f>'Character Sheet'!$K$9</f>
        <v/>
      </c>
      <c r="G842" s="298" t="s">
        <v>294</v>
      </c>
      <c r="H842" s="298" t="s">
        <v>352</v>
      </c>
      <c r="I842" s="298" t="s">
        <v>4505</v>
      </c>
      <c r="J842" s="298" t="s">
        <v>315</v>
      </c>
      <c r="K842" s="298" t="s">
        <v>298</v>
      </c>
      <c r="L842" s="298" t="s">
        <v>493</v>
      </c>
      <c r="M842" s="301" t="s">
        <v>315</v>
      </c>
      <c r="N842" s="301" t="s">
        <v>315</v>
      </c>
      <c r="O842" s="301" t="s">
        <v>315</v>
      </c>
      <c r="P842" s="301" t="s">
        <v>315</v>
      </c>
      <c r="Q842" s="301" t="s">
        <v>315</v>
      </c>
      <c r="R842" s="482"/>
      <c r="S842" s="301" t="s">
        <v>315</v>
      </c>
      <c r="T842" s="301" t="s">
        <v>315</v>
      </c>
      <c r="U842" s="301" t="s">
        <v>315</v>
      </c>
      <c r="V842" s="301" t="s">
        <v>4506</v>
      </c>
      <c r="W842" s="298" t="s">
        <v>317</v>
      </c>
      <c r="X842" s="298" t="s">
        <v>318</v>
      </c>
    </row>
    <row r="843">
      <c r="A843" s="295" t="s">
        <v>4507</v>
      </c>
      <c r="B843" s="298">
        <v>10.0</v>
      </c>
      <c r="C843" s="298" t="s">
        <v>288</v>
      </c>
      <c r="D843" s="298" t="s">
        <v>462</v>
      </c>
      <c r="E843" s="298" t="s">
        <v>311</v>
      </c>
      <c r="F843" s="298" t="str">
        <f>'Character Sheet'!$C$9</f>
        <v/>
      </c>
      <c r="G843" s="298" t="s">
        <v>294</v>
      </c>
      <c r="H843" s="298" t="s">
        <v>295</v>
      </c>
      <c r="I843" s="298" t="s">
        <v>3076</v>
      </c>
      <c r="J843" s="298" t="s">
        <v>315</v>
      </c>
      <c r="K843" s="298" t="s">
        <v>632</v>
      </c>
      <c r="L843" s="298" t="s">
        <v>493</v>
      </c>
      <c r="M843" s="301" t="s">
        <v>315</v>
      </c>
      <c r="N843" s="301" t="s">
        <v>315</v>
      </c>
      <c r="O843" s="301" t="s">
        <v>315</v>
      </c>
      <c r="P843" s="301" t="s">
        <v>315</v>
      </c>
      <c r="Q843" s="301" t="s">
        <v>315</v>
      </c>
      <c r="R843" s="482"/>
      <c r="S843" s="301" t="s">
        <v>315</v>
      </c>
      <c r="T843" s="301" t="s">
        <v>315</v>
      </c>
      <c r="U843" s="301" t="s">
        <v>315</v>
      </c>
      <c r="V843" s="301" t="s">
        <v>4508</v>
      </c>
      <c r="W843" s="298" t="s">
        <v>499</v>
      </c>
      <c r="X843" s="298" t="s">
        <v>306</v>
      </c>
    </row>
    <row r="844">
      <c r="A844" s="295" t="s">
        <v>4509</v>
      </c>
      <c r="B844" s="298">
        <v>10.0</v>
      </c>
      <c r="C844" s="298" t="s">
        <v>288</v>
      </c>
      <c r="D844" s="298" t="s">
        <v>310</v>
      </c>
      <c r="E844" s="298" t="s">
        <v>311</v>
      </c>
      <c r="F844" s="298" t="str">
        <f>'Character Sheet'!$E$9</f>
        <v/>
      </c>
      <c r="G844" s="298" t="s">
        <v>674</v>
      </c>
      <c r="H844" s="298" t="s">
        <v>324</v>
      </c>
      <c r="I844" s="298" t="s">
        <v>315</v>
      </c>
      <c r="J844" s="298" t="s">
        <v>315</v>
      </c>
      <c r="K844" s="298" t="s">
        <v>298</v>
      </c>
      <c r="L844" s="298" t="s">
        <v>493</v>
      </c>
      <c r="M844" s="301" t="s">
        <v>315</v>
      </c>
      <c r="N844" s="301" t="s">
        <v>315</v>
      </c>
      <c r="O844" s="301" t="s">
        <v>315</v>
      </c>
      <c r="P844" s="301" t="s">
        <v>315</v>
      </c>
      <c r="Q844" s="301" t="s">
        <v>315</v>
      </c>
      <c r="R844" s="482"/>
      <c r="S844" s="301" t="s">
        <v>315</v>
      </c>
      <c r="T844" s="301" t="s">
        <v>315</v>
      </c>
      <c r="U844" s="301" t="s">
        <v>315</v>
      </c>
      <c r="V844" s="301" t="s">
        <v>4510</v>
      </c>
      <c r="W844" s="298" t="s">
        <v>499</v>
      </c>
      <c r="X844" s="298" t="s">
        <v>306</v>
      </c>
    </row>
    <row r="845">
      <c r="A845" s="295" t="s">
        <v>4511</v>
      </c>
      <c r="B845" s="298">
        <v>10.0</v>
      </c>
      <c r="C845" s="298" t="s">
        <v>522</v>
      </c>
      <c r="D845" s="298" t="s">
        <v>151</v>
      </c>
      <c r="E845" s="298" t="s">
        <v>311</v>
      </c>
      <c r="F845" s="298" t="s">
        <v>675</v>
      </c>
      <c r="G845" s="298" t="s">
        <v>674</v>
      </c>
      <c r="H845" s="298" t="s">
        <v>494</v>
      </c>
      <c r="I845" s="298" t="s">
        <v>315</v>
      </c>
      <c r="J845" s="298" t="s">
        <v>315</v>
      </c>
      <c r="K845" s="298" t="s">
        <v>298</v>
      </c>
      <c r="L845" s="298" t="s">
        <v>493</v>
      </c>
      <c r="M845" s="301" t="s">
        <v>315</v>
      </c>
      <c r="N845" s="301" t="s">
        <v>315</v>
      </c>
      <c r="O845" s="301" t="s">
        <v>315</v>
      </c>
      <c r="P845" s="301" t="s">
        <v>315</v>
      </c>
      <c r="Q845" s="301" t="s">
        <v>315</v>
      </c>
      <c r="R845" s="482"/>
      <c r="S845" s="301" t="s">
        <v>315</v>
      </c>
      <c r="T845" s="301" t="s">
        <v>315</v>
      </c>
      <c r="U845" s="301" t="s">
        <v>315</v>
      </c>
      <c r="V845" s="301" t="s">
        <v>4512</v>
      </c>
      <c r="W845" s="298" t="s">
        <v>317</v>
      </c>
      <c r="X845" s="298" t="s">
        <v>306</v>
      </c>
    </row>
    <row r="846">
      <c r="A846" s="295" t="s">
        <v>4513</v>
      </c>
      <c r="B846" s="298">
        <v>10.0</v>
      </c>
      <c r="C846" s="298" t="s">
        <v>288</v>
      </c>
      <c r="D846" s="298" t="s">
        <v>334</v>
      </c>
      <c r="E846" s="298" t="s">
        <v>311</v>
      </c>
      <c r="F846" s="298" t="str">
        <f>'Character Sheet'!$C$9</f>
        <v/>
      </c>
      <c r="G846" s="298" t="s">
        <v>294</v>
      </c>
      <c r="H846" s="298" t="s">
        <v>295</v>
      </c>
      <c r="I846" s="298" t="s">
        <v>4478</v>
      </c>
      <c r="J846" s="298" t="s">
        <v>315</v>
      </c>
      <c r="K846" s="298" t="s">
        <v>424</v>
      </c>
      <c r="L846" s="298" t="s">
        <v>493</v>
      </c>
      <c r="M846" s="301" t="s">
        <v>315</v>
      </c>
      <c r="N846" s="301" t="s">
        <v>315</v>
      </c>
      <c r="O846" s="301" t="s">
        <v>315</v>
      </c>
      <c r="P846" s="301" t="s">
        <v>315</v>
      </c>
      <c r="Q846" s="301" t="s">
        <v>315</v>
      </c>
      <c r="R846" s="482"/>
      <c r="S846" s="301" t="s">
        <v>315</v>
      </c>
      <c r="T846" s="301" t="s">
        <v>315</v>
      </c>
      <c r="U846" s="301" t="s">
        <v>315</v>
      </c>
      <c r="V846" s="301" t="s">
        <v>4514</v>
      </c>
      <c r="W846" s="298" t="s">
        <v>389</v>
      </c>
      <c r="X846" s="298" t="s">
        <v>306</v>
      </c>
    </row>
    <row r="847">
      <c r="A847" s="295" t="s">
        <v>4515</v>
      </c>
      <c r="B847" s="298">
        <v>10.0</v>
      </c>
      <c r="C847" s="298" t="s">
        <v>288</v>
      </c>
      <c r="D847" s="298" t="s">
        <v>321</v>
      </c>
      <c r="E847" s="298" t="s">
        <v>311</v>
      </c>
      <c r="F847" s="298" t="str">
        <f>'Character Sheet'!$E$9</f>
        <v/>
      </c>
      <c r="G847" s="298" t="s">
        <v>674</v>
      </c>
      <c r="H847" s="298" t="s">
        <v>1278</v>
      </c>
      <c r="I847" s="298" t="s">
        <v>3245</v>
      </c>
      <c r="J847" s="298" t="s">
        <v>192</v>
      </c>
      <c r="K847" s="298" t="s">
        <v>632</v>
      </c>
      <c r="L847" s="298" t="s">
        <v>493</v>
      </c>
      <c r="M847" s="301" t="s">
        <v>315</v>
      </c>
      <c r="N847" s="301" t="s">
        <v>315</v>
      </c>
      <c r="O847" s="301" t="s">
        <v>315</v>
      </c>
      <c r="P847" s="301" t="s">
        <v>315</v>
      </c>
      <c r="Q847" s="301" t="s">
        <v>315</v>
      </c>
      <c r="R847" s="482"/>
      <c r="S847" s="301" t="s">
        <v>315</v>
      </c>
      <c r="T847" s="301" t="s">
        <v>315</v>
      </c>
      <c r="U847" s="301" t="s">
        <v>315</v>
      </c>
      <c r="V847" s="301" t="s">
        <v>4516</v>
      </c>
      <c r="W847" s="298" t="s">
        <v>460</v>
      </c>
      <c r="X847" s="298" t="s">
        <v>318</v>
      </c>
    </row>
    <row r="848">
      <c r="A848" s="295" t="s">
        <v>4517</v>
      </c>
      <c r="B848" s="298">
        <v>10.0</v>
      </c>
      <c r="C848" s="298" t="s">
        <v>432</v>
      </c>
      <c r="D848" s="298" t="s">
        <v>151</v>
      </c>
      <c r="E848" s="298" t="s">
        <v>311</v>
      </c>
      <c r="F848" s="298" t="str">
        <f>'Character Sheet'!$E$9</f>
        <v/>
      </c>
      <c r="G848" s="298" t="s">
        <v>674</v>
      </c>
      <c r="H848" s="298" t="s">
        <v>1278</v>
      </c>
      <c r="I848" s="298" t="s">
        <v>315</v>
      </c>
      <c r="J848" s="298" t="s">
        <v>315</v>
      </c>
      <c r="K848" s="298" t="s">
        <v>478</v>
      </c>
      <c r="L848" s="298" t="s">
        <v>493</v>
      </c>
      <c r="M848" s="301" t="s">
        <v>315</v>
      </c>
      <c r="N848" s="301" t="s">
        <v>315</v>
      </c>
      <c r="O848" s="301" t="s">
        <v>315</v>
      </c>
      <c r="P848" s="301" t="s">
        <v>315</v>
      </c>
      <c r="Q848" s="301" t="s">
        <v>315</v>
      </c>
      <c r="R848" s="482"/>
      <c r="S848" s="301" t="s">
        <v>315</v>
      </c>
      <c r="T848" s="301" t="s">
        <v>315</v>
      </c>
      <c r="U848" s="301" t="s">
        <v>315</v>
      </c>
      <c r="V848" s="301" t="s">
        <v>4518</v>
      </c>
      <c r="W848" s="298" t="s">
        <v>499</v>
      </c>
      <c r="X848" s="298" t="s">
        <v>318</v>
      </c>
    </row>
    <row r="849">
      <c r="A849" s="295" t="s">
        <v>4519</v>
      </c>
      <c r="B849" s="298">
        <v>10.0</v>
      </c>
      <c r="C849" s="298" t="s">
        <v>288</v>
      </c>
      <c r="D849" s="298" t="s">
        <v>462</v>
      </c>
      <c r="E849" s="298" t="s">
        <v>311</v>
      </c>
      <c r="F849" s="298" t="str">
        <f>'Character Sheet'!$E$9</f>
        <v/>
      </c>
      <c r="G849" s="298" t="s">
        <v>674</v>
      </c>
      <c r="H849" s="298" t="s">
        <v>324</v>
      </c>
      <c r="I849" s="298" t="s">
        <v>324</v>
      </c>
      <c r="J849" s="298" t="s">
        <v>315</v>
      </c>
      <c r="K849" s="298" t="s">
        <v>298</v>
      </c>
      <c r="L849" s="298" t="s">
        <v>493</v>
      </c>
      <c r="M849" s="301" t="s">
        <v>315</v>
      </c>
      <c r="N849" s="301" t="s">
        <v>315</v>
      </c>
      <c r="O849" s="301" t="s">
        <v>315</v>
      </c>
      <c r="P849" s="301" t="s">
        <v>315</v>
      </c>
      <c r="Q849" s="301" t="s">
        <v>315</v>
      </c>
      <c r="R849" s="482"/>
      <c r="S849" s="301" t="s">
        <v>315</v>
      </c>
      <c r="T849" s="301" t="s">
        <v>315</v>
      </c>
      <c r="U849" s="301" t="s">
        <v>315</v>
      </c>
      <c r="V849" s="301" t="s">
        <v>4520</v>
      </c>
      <c r="W849" s="298" t="s">
        <v>460</v>
      </c>
      <c r="X849" s="298" t="s">
        <v>306</v>
      </c>
    </row>
    <row r="850">
      <c r="A850" s="341" t="s">
        <v>4521</v>
      </c>
      <c r="B850" s="343">
        <v>10.0</v>
      </c>
      <c r="C850" s="343" t="s">
        <v>288</v>
      </c>
      <c r="D850" s="343" t="s">
        <v>310</v>
      </c>
      <c r="E850" s="343" t="s">
        <v>311</v>
      </c>
      <c r="F850" s="343" t="str">
        <f>'Character Sheet'!$E$9</f>
        <v/>
      </c>
      <c r="G850" s="343" t="s">
        <v>674</v>
      </c>
      <c r="H850" s="343" t="s">
        <v>324</v>
      </c>
      <c r="I850" s="343" t="s">
        <v>315</v>
      </c>
      <c r="J850" s="343" t="s">
        <v>315</v>
      </c>
      <c r="K850" s="343" t="s">
        <v>298</v>
      </c>
      <c r="L850" s="343" t="s">
        <v>493</v>
      </c>
      <c r="M850" s="344" t="s">
        <v>315</v>
      </c>
      <c r="N850" s="344" t="s">
        <v>315</v>
      </c>
      <c r="O850" s="344" t="s">
        <v>315</v>
      </c>
      <c r="P850" s="344" t="s">
        <v>315</v>
      </c>
      <c r="Q850" s="344" t="s">
        <v>315</v>
      </c>
      <c r="R850" s="483"/>
      <c r="S850" s="344" t="s">
        <v>315</v>
      </c>
      <c r="T850" s="344" t="s">
        <v>315</v>
      </c>
      <c r="U850" s="344" t="s">
        <v>315</v>
      </c>
      <c r="V850" s="344" t="s">
        <v>4522</v>
      </c>
      <c r="W850" s="343" t="s">
        <v>442</v>
      </c>
      <c r="X850" s="343" t="s">
        <v>306</v>
      </c>
    </row>
    <row r="851">
      <c r="A851" s="295" t="s">
        <v>4523</v>
      </c>
      <c r="B851" s="298">
        <v>1.0</v>
      </c>
      <c r="C851" s="298" t="s">
        <v>288</v>
      </c>
      <c r="D851" s="298" t="s">
        <v>462</v>
      </c>
      <c r="E851" s="298" t="s">
        <v>290</v>
      </c>
      <c r="F851" s="484" t="str">
        <f>'Character Sheet'!$C$9</f>
        <v/>
      </c>
      <c r="G851" s="298" t="s">
        <v>294</v>
      </c>
      <c r="H851" s="298" t="s">
        <v>324</v>
      </c>
      <c r="I851" s="298" t="s">
        <v>324</v>
      </c>
      <c r="J851" s="298" t="s">
        <v>315</v>
      </c>
      <c r="K851" s="298" t="s">
        <v>632</v>
      </c>
      <c r="L851" s="298" t="s">
        <v>4524</v>
      </c>
      <c r="M851" s="301" t="s">
        <v>4525</v>
      </c>
      <c r="N851" s="301" t="s">
        <v>4525</v>
      </c>
      <c r="O851" s="301" t="s">
        <v>4525</v>
      </c>
      <c r="P851" s="301" t="s">
        <v>4525</v>
      </c>
      <c r="Q851" s="301" t="s">
        <v>4525</v>
      </c>
      <c r="R851" s="301" t="s">
        <v>4525</v>
      </c>
      <c r="S851" s="301" t="s">
        <v>4525</v>
      </c>
      <c r="T851" s="301" t="s">
        <v>4525</v>
      </c>
      <c r="U851" s="301" t="s">
        <v>4525</v>
      </c>
      <c r="V851" s="301" t="s">
        <v>4525</v>
      </c>
      <c r="W851" s="298" t="s">
        <v>315</v>
      </c>
      <c r="X851" s="298" t="s">
        <v>966</v>
      </c>
    </row>
    <row r="852">
      <c r="A852" s="295" t="s">
        <v>4526</v>
      </c>
      <c r="B852" s="298">
        <v>1.0</v>
      </c>
      <c r="C852" s="298" t="s">
        <v>522</v>
      </c>
      <c r="D852" s="298" t="s">
        <v>462</v>
      </c>
      <c r="E852" s="298" t="s">
        <v>311</v>
      </c>
      <c r="F852" s="484" t="str">
        <f>'Character Sheet'!$B$9</f>
        <v/>
      </c>
      <c r="G852" s="298" t="s">
        <v>493</v>
      </c>
      <c r="H852" s="298" t="s">
        <v>324</v>
      </c>
      <c r="I852" s="298" t="s">
        <v>324</v>
      </c>
      <c r="J852" s="298" t="s">
        <v>315</v>
      </c>
      <c r="K852" s="298" t="s">
        <v>4260</v>
      </c>
      <c r="L852" s="298" t="s">
        <v>4524</v>
      </c>
      <c r="M852" s="301" t="s">
        <v>4527</v>
      </c>
      <c r="N852" s="301" t="s">
        <v>4527</v>
      </c>
      <c r="O852" s="301" t="s">
        <v>4527</v>
      </c>
      <c r="P852" s="301" t="s">
        <v>4527</v>
      </c>
      <c r="Q852" s="301" t="s">
        <v>4527</v>
      </c>
      <c r="R852" s="301" t="s">
        <v>4527</v>
      </c>
      <c r="S852" s="301" t="s">
        <v>4527</v>
      </c>
      <c r="T852" s="301" t="s">
        <v>4527</v>
      </c>
      <c r="U852" s="301" t="s">
        <v>4527</v>
      </c>
      <c r="V852" s="301" t="s">
        <v>4527</v>
      </c>
      <c r="W852" s="298" t="s">
        <v>315</v>
      </c>
      <c r="X852" s="298" t="s">
        <v>306</v>
      </c>
    </row>
    <row r="853">
      <c r="A853" s="295" t="s">
        <v>4528</v>
      </c>
      <c r="B853" s="298">
        <v>1.0</v>
      </c>
      <c r="C853" s="298" t="s">
        <v>522</v>
      </c>
      <c r="D853" s="298" t="s">
        <v>310</v>
      </c>
      <c r="E853" s="298" t="s">
        <v>290</v>
      </c>
      <c r="F853" s="484" t="str">
        <f>'Character Sheet'!$B$9</f>
        <v/>
      </c>
      <c r="G853" s="298" t="s">
        <v>477</v>
      </c>
      <c r="H853" s="298" t="s">
        <v>324</v>
      </c>
      <c r="I853" s="298" t="s">
        <v>324</v>
      </c>
      <c r="J853" s="298" t="s">
        <v>315</v>
      </c>
      <c r="K853" s="298" t="s">
        <v>632</v>
      </c>
      <c r="L853" s="298" t="s">
        <v>4524</v>
      </c>
      <c r="M853" s="301" t="s">
        <v>4529</v>
      </c>
      <c r="N853" s="301" t="s">
        <v>4529</v>
      </c>
      <c r="O853" s="301" t="s">
        <v>4529</v>
      </c>
      <c r="P853" s="301" t="s">
        <v>4529</v>
      </c>
      <c r="Q853" s="301" t="s">
        <v>4529</v>
      </c>
      <c r="R853" s="301" t="s">
        <v>4530</v>
      </c>
      <c r="S853" s="301" t="s">
        <v>4530</v>
      </c>
      <c r="T853" s="301" t="s">
        <v>4530</v>
      </c>
      <c r="U853" s="301" t="s">
        <v>4530</v>
      </c>
      <c r="V853" s="301" t="s">
        <v>4530</v>
      </c>
      <c r="W853" s="298" t="s">
        <v>315</v>
      </c>
      <c r="X853" s="298" t="s">
        <v>306</v>
      </c>
    </row>
    <row r="854">
      <c r="A854" s="295" t="s">
        <v>4531</v>
      </c>
      <c r="B854" s="298">
        <v>1.0</v>
      </c>
      <c r="C854" s="298" t="s">
        <v>522</v>
      </c>
      <c r="D854" s="298" t="s">
        <v>359</v>
      </c>
      <c r="E854" s="298" t="s">
        <v>290</v>
      </c>
      <c r="F854" s="484" t="str">
        <f>'Character Sheet'!$B$9</f>
        <v/>
      </c>
      <c r="G854" s="298" t="s">
        <v>493</v>
      </c>
      <c r="H854" s="298" t="s">
        <v>335</v>
      </c>
      <c r="I854" s="298" t="s">
        <v>2038</v>
      </c>
      <c r="J854" s="298" t="s">
        <v>192</v>
      </c>
      <c r="K854" s="298" t="s">
        <v>298</v>
      </c>
      <c r="L854" s="298" t="s">
        <v>4524</v>
      </c>
      <c r="M854" s="301" t="s">
        <v>4532</v>
      </c>
      <c r="N854" s="301" t="s">
        <v>4533</v>
      </c>
      <c r="O854" s="301" t="s">
        <v>4534</v>
      </c>
      <c r="P854" s="301" t="s">
        <v>4535</v>
      </c>
      <c r="Q854" s="301" t="s">
        <v>4536</v>
      </c>
      <c r="R854" s="301" t="s">
        <v>4537</v>
      </c>
      <c r="S854" s="301" t="s">
        <v>4538</v>
      </c>
      <c r="T854" s="301" t="s">
        <v>4539</v>
      </c>
      <c r="U854" s="301" t="s">
        <v>4540</v>
      </c>
      <c r="V854" s="301" t="s">
        <v>4541</v>
      </c>
      <c r="W854" s="298" t="s">
        <v>315</v>
      </c>
      <c r="X854" s="298" t="s">
        <v>678</v>
      </c>
    </row>
    <row r="855">
      <c r="A855" s="295" t="s">
        <v>4542</v>
      </c>
      <c r="B855" s="298">
        <v>1.0</v>
      </c>
      <c r="C855" s="298" t="s">
        <v>522</v>
      </c>
      <c r="D855" s="298" t="s">
        <v>421</v>
      </c>
      <c r="E855" s="298" t="s">
        <v>311</v>
      </c>
      <c r="F855" s="484" t="str">
        <f>'Character Sheet'!$B$9</f>
        <v/>
      </c>
      <c r="G855" s="298" t="s">
        <v>477</v>
      </c>
      <c r="H855" s="298" t="s">
        <v>324</v>
      </c>
      <c r="I855" s="298" t="s">
        <v>2763</v>
      </c>
      <c r="J855" s="298" t="s">
        <v>315</v>
      </c>
      <c r="K855" s="298" t="s">
        <v>632</v>
      </c>
      <c r="L855" s="298" t="s">
        <v>4524</v>
      </c>
      <c r="M855" s="301" t="s">
        <v>4543</v>
      </c>
      <c r="N855" s="301" t="s">
        <v>4543</v>
      </c>
      <c r="O855" s="301" t="s">
        <v>4543</v>
      </c>
      <c r="P855" s="301" t="s">
        <v>4543</v>
      </c>
      <c r="Q855" s="301" t="s">
        <v>4543</v>
      </c>
      <c r="R855" s="301" t="s">
        <v>4543</v>
      </c>
      <c r="S855" s="301" t="s">
        <v>4543</v>
      </c>
      <c r="T855" s="301" t="s">
        <v>4543</v>
      </c>
      <c r="U855" s="301" t="s">
        <v>4543</v>
      </c>
      <c r="V855" s="301" t="s">
        <v>4543</v>
      </c>
      <c r="W855" s="298" t="s">
        <v>315</v>
      </c>
      <c r="X855" s="298" t="s">
        <v>306</v>
      </c>
    </row>
    <row r="856">
      <c r="A856" s="295" t="s">
        <v>4544</v>
      </c>
      <c r="B856" s="298">
        <v>1.0</v>
      </c>
      <c r="C856" s="298" t="s">
        <v>522</v>
      </c>
      <c r="D856" s="298" t="s">
        <v>321</v>
      </c>
      <c r="E856" s="298" t="s">
        <v>311</v>
      </c>
      <c r="F856" s="484" t="str">
        <f>'Character Sheet'!$C$9</f>
        <v/>
      </c>
      <c r="G856" s="298" t="s">
        <v>4545</v>
      </c>
      <c r="H856" s="298" t="s">
        <v>295</v>
      </c>
      <c r="I856" s="298" t="s">
        <v>955</v>
      </c>
      <c r="J856" s="298" t="s">
        <v>192</v>
      </c>
      <c r="K856" s="298" t="s">
        <v>424</v>
      </c>
      <c r="L856" s="298" t="s">
        <v>4524</v>
      </c>
      <c r="M856" s="301" t="s">
        <v>4546</v>
      </c>
      <c r="N856" s="301" t="s">
        <v>4546</v>
      </c>
      <c r="O856" s="301" t="s">
        <v>4546</v>
      </c>
      <c r="P856" s="301" t="s">
        <v>4546</v>
      </c>
      <c r="Q856" s="301" t="s">
        <v>4546</v>
      </c>
      <c r="R856" s="301" t="s">
        <v>4546</v>
      </c>
      <c r="S856" s="301" t="s">
        <v>4546</v>
      </c>
      <c r="T856" s="301" t="s">
        <v>4546</v>
      </c>
      <c r="U856" s="301" t="s">
        <v>4546</v>
      </c>
      <c r="V856" s="301" t="s">
        <v>4546</v>
      </c>
      <c r="W856" s="298" t="s">
        <v>315</v>
      </c>
      <c r="X856" s="298" t="s">
        <v>306</v>
      </c>
    </row>
    <row r="857">
      <c r="A857" s="295" t="s">
        <v>4547</v>
      </c>
      <c r="B857" s="298">
        <v>1.0</v>
      </c>
      <c r="C857" s="298" t="s">
        <v>522</v>
      </c>
      <c r="D857" s="298" t="s">
        <v>151</v>
      </c>
      <c r="E857" s="298" t="s">
        <v>311</v>
      </c>
      <c r="F857" s="484" t="str">
        <f>'Character Sheet'!$C$9</f>
        <v/>
      </c>
      <c r="G857" s="298" t="s">
        <v>294</v>
      </c>
      <c r="H857" s="298" t="s">
        <v>352</v>
      </c>
      <c r="I857" s="298" t="s">
        <v>1413</v>
      </c>
      <c r="J857" s="298" t="s">
        <v>173</v>
      </c>
      <c r="K857" s="298" t="s">
        <v>298</v>
      </c>
      <c r="L857" s="298" t="s">
        <v>4524</v>
      </c>
      <c r="M857" s="301" t="s">
        <v>4548</v>
      </c>
      <c r="N857" s="301" t="s">
        <v>4548</v>
      </c>
      <c r="O857" s="301" t="s">
        <v>4548</v>
      </c>
      <c r="P857" s="301" t="s">
        <v>4548</v>
      </c>
      <c r="Q857" s="301" t="s">
        <v>4548</v>
      </c>
      <c r="R857" s="301" t="s">
        <v>4548</v>
      </c>
      <c r="S857" s="301" t="s">
        <v>4548</v>
      </c>
      <c r="T857" s="301" t="s">
        <v>4548</v>
      </c>
      <c r="U857" s="301" t="s">
        <v>4548</v>
      </c>
      <c r="V857" s="301" t="s">
        <v>4548</v>
      </c>
      <c r="W857" s="298" t="s">
        <v>315</v>
      </c>
      <c r="X857" s="298" t="s">
        <v>3701</v>
      </c>
    </row>
    <row r="858">
      <c r="A858" s="295" t="s">
        <v>4549</v>
      </c>
      <c r="B858" s="298">
        <v>1.0</v>
      </c>
      <c r="C858" s="298" t="s">
        <v>522</v>
      </c>
      <c r="D858" s="298" t="s">
        <v>462</v>
      </c>
      <c r="E858" s="298" t="s">
        <v>311</v>
      </c>
      <c r="F858" s="484" t="str">
        <f>'Character Sheet'!$B$9</f>
        <v/>
      </c>
      <c r="G858" s="298" t="s">
        <v>493</v>
      </c>
      <c r="H858" s="298" t="s">
        <v>324</v>
      </c>
      <c r="I858" s="298" t="s">
        <v>324</v>
      </c>
      <c r="J858" s="298" t="s">
        <v>315</v>
      </c>
      <c r="K858" s="298" t="s">
        <v>478</v>
      </c>
      <c r="L858" s="298" t="s">
        <v>4524</v>
      </c>
      <c r="M858" s="301" t="s">
        <v>4550</v>
      </c>
      <c r="N858" s="301" t="s">
        <v>4550</v>
      </c>
      <c r="O858" s="301" t="s">
        <v>4550</v>
      </c>
      <c r="P858" s="301" t="s">
        <v>4550</v>
      </c>
      <c r="Q858" s="301" t="s">
        <v>4550</v>
      </c>
      <c r="R858" s="301" t="s">
        <v>4550</v>
      </c>
      <c r="S858" s="301" t="s">
        <v>4550</v>
      </c>
      <c r="T858" s="301" t="s">
        <v>4550</v>
      </c>
      <c r="U858" s="301" t="s">
        <v>4550</v>
      </c>
      <c r="V858" s="301" t="s">
        <v>4550</v>
      </c>
      <c r="W858" s="298" t="s">
        <v>315</v>
      </c>
      <c r="X858" s="298" t="s">
        <v>306</v>
      </c>
    </row>
    <row r="859">
      <c r="A859" s="295" t="s">
        <v>4551</v>
      </c>
      <c r="B859" s="298">
        <v>1.0</v>
      </c>
      <c r="C859" s="298" t="s">
        <v>522</v>
      </c>
      <c r="D859" s="298" t="s">
        <v>151</v>
      </c>
      <c r="E859" s="298" t="s">
        <v>311</v>
      </c>
      <c r="F859" s="484" t="str">
        <f>'Character Sheet'!$B$9</f>
        <v/>
      </c>
      <c r="G859" s="298" t="s">
        <v>477</v>
      </c>
      <c r="H859" s="298" t="s">
        <v>295</v>
      </c>
      <c r="I859" s="298" t="s">
        <v>4552</v>
      </c>
      <c r="J859" s="298" t="s">
        <v>315</v>
      </c>
      <c r="K859" s="298" t="s">
        <v>298</v>
      </c>
      <c r="L859" s="298" t="s">
        <v>4524</v>
      </c>
      <c r="M859" s="301" t="s">
        <v>4553</v>
      </c>
      <c r="N859" s="301" t="s">
        <v>4553</v>
      </c>
      <c r="O859" s="301" t="s">
        <v>4553</v>
      </c>
      <c r="P859" s="301" t="s">
        <v>4553</v>
      </c>
      <c r="Q859" s="301" t="s">
        <v>4553</v>
      </c>
      <c r="R859" s="301" t="s">
        <v>4553</v>
      </c>
      <c r="S859" s="301" t="s">
        <v>4553</v>
      </c>
      <c r="T859" s="301" t="s">
        <v>4553</v>
      </c>
      <c r="U859" s="301" t="s">
        <v>4553</v>
      </c>
      <c r="V859" s="301" t="s">
        <v>4553</v>
      </c>
      <c r="W859" s="298" t="s">
        <v>315</v>
      </c>
      <c r="X859" s="298" t="s">
        <v>306</v>
      </c>
    </row>
    <row r="860">
      <c r="A860" s="295" t="s">
        <v>4554</v>
      </c>
      <c r="B860" s="298">
        <v>1.0</v>
      </c>
      <c r="C860" s="298" t="s">
        <v>522</v>
      </c>
      <c r="D860" s="298" t="s">
        <v>310</v>
      </c>
      <c r="E860" s="298" t="s">
        <v>311</v>
      </c>
      <c r="F860" s="484" t="str">
        <f>'Character Sheet'!$C$9</f>
        <v/>
      </c>
      <c r="G860" s="298" t="s">
        <v>294</v>
      </c>
      <c r="H860" s="298" t="s">
        <v>295</v>
      </c>
      <c r="I860" s="298" t="s">
        <v>952</v>
      </c>
      <c r="J860" s="298" t="s">
        <v>315</v>
      </c>
      <c r="K860" s="298" t="s">
        <v>632</v>
      </c>
      <c r="L860" s="298" t="s">
        <v>4524</v>
      </c>
      <c r="M860" s="301" t="s">
        <v>4555</v>
      </c>
      <c r="N860" s="301" t="s">
        <v>4555</v>
      </c>
      <c r="O860" s="301" t="s">
        <v>4555</v>
      </c>
      <c r="P860" s="301" t="s">
        <v>4555</v>
      </c>
      <c r="Q860" s="301" t="s">
        <v>4555</v>
      </c>
      <c r="R860" s="301" t="s">
        <v>4555</v>
      </c>
      <c r="S860" s="301" t="s">
        <v>4555</v>
      </c>
      <c r="T860" s="301" t="s">
        <v>4555</v>
      </c>
      <c r="U860" s="301" t="s">
        <v>4555</v>
      </c>
      <c r="V860" s="301" t="s">
        <v>4555</v>
      </c>
      <c r="W860" s="298" t="s">
        <v>315</v>
      </c>
      <c r="X860" s="298" t="s">
        <v>306</v>
      </c>
    </row>
    <row r="861">
      <c r="A861" s="295" t="s">
        <v>4556</v>
      </c>
      <c r="B861" s="298">
        <v>1.0</v>
      </c>
      <c r="C861" s="298" t="s">
        <v>522</v>
      </c>
      <c r="D861" s="298" t="s">
        <v>359</v>
      </c>
      <c r="E861" s="298" t="s">
        <v>311</v>
      </c>
      <c r="F861" s="484" t="str">
        <f>'Character Sheet'!$C$9</f>
        <v/>
      </c>
      <c r="G861" s="298" t="s">
        <v>294</v>
      </c>
      <c r="H861" s="298" t="s">
        <v>360</v>
      </c>
      <c r="I861" s="298" t="s">
        <v>296</v>
      </c>
      <c r="J861" s="298" t="s">
        <v>192</v>
      </c>
      <c r="K861" s="298" t="s">
        <v>325</v>
      </c>
      <c r="L861" s="298" t="s">
        <v>4524</v>
      </c>
      <c r="M861" s="301" t="s">
        <v>4557</v>
      </c>
      <c r="N861" s="301" t="s">
        <v>4557</v>
      </c>
      <c r="O861" s="301" t="s">
        <v>4557</v>
      </c>
      <c r="P861" s="301" t="s">
        <v>4557</v>
      </c>
      <c r="Q861" s="301" t="s">
        <v>4557</v>
      </c>
      <c r="R861" s="301" t="s">
        <v>4557</v>
      </c>
      <c r="S861" s="301" t="s">
        <v>4557</v>
      </c>
      <c r="T861" s="301" t="s">
        <v>4557</v>
      </c>
      <c r="U861" s="301" t="s">
        <v>4557</v>
      </c>
      <c r="V861" s="301" t="s">
        <v>4557</v>
      </c>
      <c r="W861" s="298" t="s">
        <v>315</v>
      </c>
      <c r="X861" s="298" t="s">
        <v>306</v>
      </c>
    </row>
    <row r="862">
      <c r="A862" s="295" t="s">
        <v>4558</v>
      </c>
      <c r="B862" s="298">
        <v>1.0</v>
      </c>
      <c r="C862" s="298" t="s">
        <v>522</v>
      </c>
      <c r="D862" s="298" t="s">
        <v>421</v>
      </c>
      <c r="E862" s="298" t="s">
        <v>290</v>
      </c>
      <c r="F862" s="484" t="str">
        <f>'Character Sheet'!$B$9</f>
        <v/>
      </c>
      <c r="G862" s="298" t="s">
        <v>493</v>
      </c>
      <c r="H862" s="298" t="s">
        <v>295</v>
      </c>
      <c r="I862" s="298" t="s">
        <v>296</v>
      </c>
      <c r="J862" s="298" t="s">
        <v>315</v>
      </c>
      <c r="K862" s="298" t="s">
        <v>424</v>
      </c>
      <c r="L862" s="298" t="s">
        <v>4524</v>
      </c>
      <c r="M862" s="301" t="s">
        <v>4559</v>
      </c>
      <c r="N862" s="301" t="s">
        <v>4559</v>
      </c>
      <c r="O862" s="301" t="s">
        <v>4559</v>
      </c>
      <c r="P862" s="301" t="s">
        <v>4559</v>
      </c>
      <c r="Q862" s="301" t="s">
        <v>4560</v>
      </c>
      <c r="R862" s="301" t="s">
        <v>4560</v>
      </c>
      <c r="S862" s="301" t="s">
        <v>4560</v>
      </c>
      <c r="T862" s="301" t="s">
        <v>4560</v>
      </c>
      <c r="U862" s="301" t="s">
        <v>4560</v>
      </c>
      <c r="V862" s="301" t="s">
        <v>4560</v>
      </c>
      <c r="W862" s="298" t="s">
        <v>315</v>
      </c>
      <c r="X862" s="298" t="s">
        <v>678</v>
      </c>
    </row>
    <row r="863">
      <c r="A863" s="295" t="s">
        <v>4561</v>
      </c>
      <c r="B863" s="298">
        <v>1.0</v>
      </c>
      <c r="C863" s="298" t="s">
        <v>522</v>
      </c>
      <c r="D863" s="298" t="s">
        <v>359</v>
      </c>
      <c r="E863" s="298" t="s">
        <v>290</v>
      </c>
      <c r="F863" s="484" t="str">
        <f>'Character Sheet'!$C$9</f>
        <v/>
      </c>
      <c r="G863" s="298" t="s">
        <v>2188</v>
      </c>
      <c r="H863" s="298" t="s">
        <v>295</v>
      </c>
      <c r="I863" s="298" t="s">
        <v>296</v>
      </c>
      <c r="J863" s="298" t="s">
        <v>746</v>
      </c>
      <c r="K863" s="298" t="s">
        <v>298</v>
      </c>
      <c r="L863" s="298" t="s">
        <v>4524</v>
      </c>
      <c r="M863" s="301" t="s">
        <v>4562</v>
      </c>
      <c r="N863" s="301" t="s">
        <v>4563</v>
      </c>
      <c r="O863" s="301" t="s">
        <v>4564</v>
      </c>
      <c r="P863" s="301" t="s">
        <v>4565</v>
      </c>
      <c r="Q863" s="301" t="s">
        <v>4566</v>
      </c>
      <c r="R863" s="301" t="s">
        <v>4567</v>
      </c>
      <c r="S863" s="301" t="s">
        <v>4568</v>
      </c>
      <c r="T863" s="301" t="s">
        <v>4569</v>
      </c>
      <c r="U863" s="301" t="s">
        <v>4570</v>
      </c>
      <c r="V863" s="301" t="s">
        <v>4571</v>
      </c>
      <c r="W863" s="298" t="s">
        <v>315</v>
      </c>
      <c r="X863" s="298" t="s">
        <v>678</v>
      </c>
    </row>
    <row r="864">
      <c r="A864" s="295" t="s">
        <v>4572</v>
      </c>
      <c r="B864" s="298">
        <v>1.0</v>
      </c>
      <c r="C864" s="298" t="s">
        <v>522</v>
      </c>
      <c r="D864" s="298" t="s">
        <v>359</v>
      </c>
      <c r="E864" s="298" t="s">
        <v>311</v>
      </c>
      <c r="F864" s="484" t="str">
        <f>'Character Sheet'!$H$9</f>
        <v/>
      </c>
      <c r="G864" s="298" t="s">
        <v>477</v>
      </c>
      <c r="H864" s="298" t="s">
        <v>324</v>
      </c>
      <c r="I864" s="298" t="s">
        <v>324</v>
      </c>
      <c r="J864" s="298" t="s">
        <v>315</v>
      </c>
      <c r="K864" s="298" t="s">
        <v>298</v>
      </c>
      <c r="L864" s="298" t="s">
        <v>4524</v>
      </c>
      <c r="M864" s="301" t="s">
        <v>4573</v>
      </c>
      <c r="N864" s="301" t="s">
        <v>4573</v>
      </c>
      <c r="O864" s="301" t="s">
        <v>4573</v>
      </c>
      <c r="P864" s="301" t="s">
        <v>4573</v>
      </c>
      <c r="Q864" s="301" t="s">
        <v>4573</v>
      </c>
      <c r="R864" s="301" t="s">
        <v>4573</v>
      </c>
      <c r="S864" s="301" t="s">
        <v>4573</v>
      </c>
      <c r="T864" s="301" t="s">
        <v>4573</v>
      </c>
      <c r="U864" s="301" t="s">
        <v>4573</v>
      </c>
      <c r="V864" s="301" t="s">
        <v>4573</v>
      </c>
      <c r="W864" s="298" t="s">
        <v>315</v>
      </c>
      <c r="X864" s="298" t="s">
        <v>678</v>
      </c>
    </row>
    <row r="865">
      <c r="A865" s="295" t="s">
        <v>4574</v>
      </c>
      <c r="B865" s="298">
        <v>1.0</v>
      </c>
      <c r="C865" s="298" t="s">
        <v>522</v>
      </c>
      <c r="D865" s="298" t="s">
        <v>334</v>
      </c>
      <c r="E865" s="298" t="s">
        <v>311</v>
      </c>
      <c r="F865" s="484" t="str">
        <f>'Character Sheet'!$C$9</f>
        <v/>
      </c>
      <c r="G865" s="298" t="s">
        <v>294</v>
      </c>
      <c r="H865" s="298" t="s">
        <v>295</v>
      </c>
      <c r="I865" s="298" t="s">
        <v>2038</v>
      </c>
      <c r="J865" s="298" t="s">
        <v>203</v>
      </c>
      <c r="K865" s="298" t="s">
        <v>298</v>
      </c>
      <c r="L865" s="298" t="s">
        <v>4524</v>
      </c>
      <c r="M865" s="301" t="s">
        <v>4575</v>
      </c>
      <c r="N865" s="301" t="s">
        <v>4575</v>
      </c>
      <c r="O865" s="301" t="s">
        <v>4575</v>
      </c>
      <c r="P865" s="301" t="s">
        <v>4575</v>
      </c>
      <c r="Q865" s="301" t="s">
        <v>4575</v>
      </c>
      <c r="R865" s="301" t="s">
        <v>4575</v>
      </c>
      <c r="S865" s="301" t="s">
        <v>4575</v>
      </c>
      <c r="T865" s="301" t="s">
        <v>4575</v>
      </c>
      <c r="U865" s="301" t="s">
        <v>4575</v>
      </c>
      <c r="V865" s="301" t="s">
        <v>4575</v>
      </c>
      <c r="W865" s="298" t="s">
        <v>315</v>
      </c>
      <c r="X865" s="298" t="s">
        <v>306</v>
      </c>
    </row>
    <row r="866">
      <c r="A866" s="295" t="s">
        <v>4576</v>
      </c>
      <c r="B866" s="298">
        <v>1.0</v>
      </c>
      <c r="C866" s="298" t="s">
        <v>522</v>
      </c>
      <c r="D866" s="298" t="s">
        <v>359</v>
      </c>
      <c r="E866" s="298" t="s">
        <v>290</v>
      </c>
      <c r="F866" s="484" t="str">
        <f>'Character Sheet'!$K$9</f>
        <v/>
      </c>
      <c r="G866" s="298" t="s">
        <v>477</v>
      </c>
      <c r="H866" s="298" t="s">
        <v>324</v>
      </c>
      <c r="I866" s="298" t="s">
        <v>3354</v>
      </c>
      <c r="J866" s="298" t="s">
        <v>315</v>
      </c>
      <c r="K866" s="298" t="s">
        <v>632</v>
      </c>
      <c r="L866" s="298" t="s">
        <v>4524</v>
      </c>
      <c r="M866" s="301" t="s">
        <v>4577</v>
      </c>
      <c r="N866" s="301" t="s">
        <v>4577</v>
      </c>
      <c r="O866" s="301" t="s">
        <v>4577</v>
      </c>
      <c r="P866" s="301" t="s">
        <v>4577</v>
      </c>
      <c r="Q866" s="301" t="s">
        <v>4577</v>
      </c>
      <c r="R866" s="301" t="s">
        <v>4578</v>
      </c>
      <c r="S866" s="301" t="s">
        <v>4578</v>
      </c>
      <c r="T866" s="301" t="s">
        <v>4578</v>
      </c>
      <c r="U866" s="301" t="s">
        <v>4579</v>
      </c>
      <c r="V866" s="301" t="s">
        <v>4579</v>
      </c>
      <c r="W866" s="298" t="s">
        <v>315</v>
      </c>
      <c r="X866" s="298" t="s">
        <v>678</v>
      </c>
    </row>
    <row r="867">
      <c r="A867" s="295" t="s">
        <v>4580</v>
      </c>
      <c r="B867" s="298">
        <v>1.0</v>
      </c>
      <c r="C867" s="298" t="s">
        <v>288</v>
      </c>
      <c r="D867" s="298" t="s">
        <v>289</v>
      </c>
      <c r="E867" s="298" t="s">
        <v>290</v>
      </c>
      <c r="F867" s="484" t="str">
        <f>'Character Sheet'!$C$9</f>
        <v/>
      </c>
      <c r="G867" s="298" t="s">
        <v>294</v>
      </c>
      <c r="H867" s="298" t="s">
        <v>360</v>
      </c>
      <c r="I867" s="298" t="s">
        <v>296</v>
      </c>
      <c r="J867" s="298" t="s">
        <v>203</v>
      </c>
      <c r="K867" s="298" t="s">
        <v>298</v>
      </c>
      <c r="L867" s="298" t="s">
        <v>4524</v>
      </c>
      <c r="M867" s="301" t="s">
        <v>4581</v>
      </c>
      <c r="N867" s="301" t="s">
        <v>4582</v>
      </c>
      <c r="O867" s="301" t="s">
        <v>4583</v>
      </c>
      <c r="P867" s="301" t="s">
        <v>4584</v>
      </c>
      <c r="Q867" s="301" t="s">
        <v>4585</v>
      </c>
      <c r="R867" s="301" t="s">
        <v>4586</v>
      </c>
      <c r="S867" s="301" t="s">
        <v>4587</v>
      </c>
      <c r="T867" s="301" t="s">
        <v>4588</v>
      </c>
      <c r="U867" s="301" t="s">
        <v>4589</v>
      </c>
      <c r="V867" s="301" t="s">
        <v>4590</v>
      </c>
      <c r="W867" s="298" t="s">
        <v>315</v>
      </c>
      <c r="X867" s="298" t="s">
        <v>966</v>
      </c>
    </row>
    <row r="868">
      <c r="A868" s="295" t="s">
        <v>4591</v>
      </c>
      <c r="B868" s="298">
        <v>1.0</v>
      </c>
      <c r="C868" s="298" t="s">
        <v>522</v>
      </c>
      <c r="D868" s="298" t="s">
        <v>359</v>
      </c>
      <c r="E868" s="298" t="s">
        <v>290</v>
      </c>
      <c r="F868" s="484" t="str">
        <f>'Character Sheet'!$B$9</f>
        <v/>
      </c>
      <c r="G868" s="298" t="s">
        <v>493</v>
      </c>
      <c r="H868" s="298" t="s">
        <v>335</v>
      </c>
      <c r="I868" s="298" t="s">
        <v>296</v>
      </c>
      <c r="J868" s="298" t="s">
        <v>192</v>
      </c>
      <c r="K868" s="298" t="s">
        <v>325</v>
      </c>
      <c r="L868" s="298" t="s">
        <v>4524</v>
      </c>
      <c r="M868" s="301" t="s">
        <v>4592</v>
      </c>
      <c r="N868" s="301" t="s">
        <v>4592</v>
      </c>
      <c r="O868" s="301" t="s">
        <v>4592</v>
      </c>
      <c r="P868" s="301" t="s">
        <v>4592</v>
      </c>
      <c r="Q868" s="301" t="s">
        <v>4592</v>
      </c>
      <c r="R868" s="301" t="s">
        <v>4592</v>
      </c>
      <c r="S868" s="301" t="s">
        <v>4592</v>
      </c>
      <c r="T868" s="301" t="s">
        <v>4592</v>
      </c>
      <c r="U868" s="301" t="s">
        <v>4592</v>
      </c>
      <c r="V868" s="301" t="s">
        <v>4592</v>
      </c>
      <c r="W868" s="298" t="s">
        <v>315</v>
      </c>
      <c r="X868" s="298" t="s">
        <v>306</v>
      </c>
    </row>
    <row r="869">
      <c r="A869" s="295" t="s">
        <v>4593</v>
      </c>
      <c r="B869" s="298">
        <v>1.0</v>
      </c>
      <c r="C869" s="298" t="s">
        <v>522</v>
      </c>
      <c r="D869" s="298" t="s">
        <v>359</v>
      </c>
      <c r="E869" s="298" t="s">
        <v>311</v>
      </c>
      <c r="F869" s="484" t="str">
        <f>'Character Sheet'!$B$9</f>
        <v/>
      </c>
      <c r="G869" s="298" t="s">
        <v>477</v>
      </c>
      <c r="H869" s="298" t="s">
        <v>295</v>
      </c>
      <c r="I869" s="298" t="s">
        <v>296</v>
      </c>
      <c r="J869" s="298" t="s">
        <v>192</v>
      </c>
      <c r="K869" s="298" t="s">
        <v>478</v>
      </c>
      <c r="L869" s="298" t="s">
        <v>4524</v>
      </c>
      <c r="M869" s="301" t="s">
        <v>4594</v>
      </c>
      <c r="N869" s="301" t="s">
        <v>4594</v>
      </c>
      <c r="O869" s="301" t="s">
        <v>4594</v>
      </c>
      <c r="P869" s="301" t="s">
        <v>4594</v>
      </c>
      <c r="Q869" s="301" t="s">
        <v>4594</v>
      </c>
      <c r="R869" s="301" t="s">
        <v>4594</v>
      </c>
      <c r="S869" s="301" t="s">
        <v>4594</v>
      </c>
      <c r="T869" s="301" t="s">
        <v>4594</v>
      </c>
      <c r="U869" s="301" t="s">
        <v>4594</v>
      </c>
      <c r="V869" s="301" t="s">
        <v>4594</v>
      </c>
      <c r="W869" s="298" t="s">
        <v>315</v>
      </c>
      <c r="X869" s="298" t="s">
        <v>306</v>
      </c>
    </row>
    <row r="870">
      <c r="A870" s="295" t="s">
        <v>4595</v>
      </c>
      <c r="B870" s="298">
        <v>1.0</v>
      </c>
      <c r="C870" s="298" t="s">
        <v>432</v>
      </c>
      <c r="D870" s="298" t="s">
        <v>310</v>
      </c>
      <c r="E870" s="298" t="s">
        <v>290</v>
      </c>
      <c r="F870" s="298" t="s">
        <v>625</v>
      </c>
      <c r="G870" s="298" t="s">
        <v>674</v>
      </c>
      <c r="H870" s="298" t="s">
        <v>324</v>
      </c>
      <c r="I870" s="298" t="s">
        <v>324</v>
      </c>
      <c r="J870" s="298" t="s">
        <v>315</v>
      </c>
      <c r="K870" s="298" t="s">
        <v>298</v>
      </c>
      <c r="L870" s="298" t="s">
        <v>4524</v>
      </c>
      <c r="M870" s="301" t="s">
        <v>4596</v>
      </c>
      <c r="N870" s="301" t="s">
        <v>4597</v>
      </c>
      <c r="O870" s="301" t="s">
        <v>4598</v>
      </c>
      <c r="P870" s="301" t="s">
        <v>4599</v>
      </c>
      <c r="Q870" s="301" t="s">
        <v>4600</v>
      </c>
      <c r="R870" s="301" t="s">
        <v>4601</v>
      </c>
      <c r="S870" s="301" t="s">
        <v>4602</v>
      </c>
      <c r="T870" s="301" t="s">
        <v>4603</v>
      </c>
      <c r="U870" s="301" t="s">
        <v>4604</v>
      </c>
      <c r="V870" s="301" t="s">
        <v>4605</v>
      </c>
      <c r="W870" s="298" t="s">
        <v>315</v>
      </c>
      <c r="X870" s="298" t="s">
        <v>569</v>
      </c>
    </row>
    <row r="871">
      <c r="A871" s="295" t="s">
        <v>4606</v>
      </c>
      <c r="B871" s="298">
        <v>1.0</v>
      </c>
      <c r="C871" s="298" t="s">
        <v>522</v>
      </c>
      <c r="D871" s="298" t="s">
        <v>289</v>
      </c>
      <c r="E871" s="298" t="s">
        <v>311</v>
      </c>
      <c r="F871" s="484" t="str">
        <f>'Character Sheet'!$B$9</f>
        <v/>
      </c>
      <c r="G871" s="298" t="s">
        <v>493</v>
      </c>
      <c r="H871" s="298" t="s">
        <v>335</v>
      </c>
      <c r="I871" s="298" t="s">
        <v>952</v>
      </c>
      <c r="J871" s="298" t="s">
        <v>315</v>
      </c>
      <c r="K871" s="298" t="s">
        <v>632</v>
      </c>
      <c r="L871" s="298" t="s">
        <v>4524</v>
      </c>
      <c r="M871" s="301" t="s">
        <v>4607</v>
      </c>
      <c r="N871" s="301" t="s">
        <v>4607</v>
      </c>
      <c r="O871" s="301" t="s">
        <v>4607</v>
      </c>
      <c r="P871" s="301" t="s">
        <v>4607</v>
      </c>
      <c r="Q871" s="301" t="s">
        <v>4607</v>
      </c>
      <c r="R871" s="301" t="s">
        <v>4607</v>
      </c>
      <c r="S871" s="301" t="s">
        <v>4607</v>
      </c>
      <c r="T871" s="301" t="s">
        <v>4607</v>
      </c>
      <c r="U871" s="301" t="s">
        <v>4607</v>
      </c>
      <c r="V871" s="301" t="s">
        <v>4607</v>
      </c>
      <c r="W871" s="298" t="s">
        <v>315</v>
      </c>
      <c r="X871" s="298" t="s">
        <v>306</v>
      </c>
    </row>
    <row r="872">
      <c r="A872" s="295" t="s">
        <v>4608</v>
      </c>
      <c r="B872" s="298">
        <v>1.0</v>
      </c>
      <c r="C872" s="298" t="s">
        <v>522</v>
      </c>
      <c r="D872" s="298" t="s">
        <v>359</v>
      </c>
      <c r="E872" s="298" t="s">
        <v>311</v>
      </c>
      <c r="F872" s="484" t="str">
        <f>'Character Sheet'!$K$9</f>
        <v/>
      </c>
      <c r="G872" s="298" t="s">
        <v>294</v>
      </c>
      <c r="H872" s="298" t="s">
        <v>324</v>
      </c>
      <c r="I872" s="298" t="s">
        <v>783</v>
      </c>
      <c r="J872" s="298" t="s">
        <v>315</v>
      </c>
      <c r="K872" s="298" t="s">
        <v>298</v>
      </c>
      <c r="L872" s="298" t="s">
        <v>4524</v>
      </c>
      <c r="M872" s="301" t="s">
        <v>4609</v>
      </c>
      <c r="N872" s="301" t="s">
        <v>4609</v>
      </c>
      <c r="O872" s="301" t="s">
        <v>4609</v>
      </c>
      <c r="P872" s="301" t="s">
        <v>4609</v>
      </c>
      <c r="Q872" s="301" t="s">
        <v>4609</v>
      </c>
      <c r="R872" s="301" t="s">
        <v>4609</v>
      </c>
      <c r="S872" s="301" t="s">
        <v>4609</v>
      </c>
      <c r="T872" s="301" t="s">
        <v>4609</v>
      </c>
      <c r="U872" s="301" t="s">
        <v>4609</v>
      </c>
      <c r="V872" s="301" t="s">
        <v>4609</v>
      </c>
      <c r="W872" s="298" t="s">
        <v>315</v>
      </c>
      <c r="X872" s="298" t="s">
        <v>306</v>
      </c>
    </row>
    <row r="873">
      <c r="A873" s="295" t="s">
        <v>4610</v>
      </c>
      <c r="B873" s="298">
        <v>1.0</v>
      </c>
      <c r="C873" s="298" t="s">
        <v>522</v>
      </c>
      <c r="D873" s="298" t="s">
        <v>462</v>
      </c>
      <c r="E873" s="298" t="s">
        <v>290</v>
      </c>
      <c r="F873" s="484" t="str">
        <f>'Character Sheet'!$C$9</f>
        <v/>
      </c>
      <c r="G873" s="298" t="s">
        <v>294</v>
      </c>
      <c r="H873" s="298" t="s">
        <v>360</v>
      </c>
      <c r="I873" s="298" t="s">
        <v>296</v>
      </c>
      <c r="J873" s="298" t="s">
        <v>180</v>
      </c>
      <c r="K873" s="298" t="s">
        <v>478</v>
      </c>
      <c r="L873" s="298" t="s">
        <v>4524</v>
      </c>
      <c r="M873" s="301" t="s">
        <v>4611</v>
      </c>
      <c r="N873" s="301" t="s">
        <v>4612</v>
      </c>
      <c r="O873" s="301" t="s">
        <v>4613</v>
      </c>
      <c r="P873" s="301" t="s">
        <v>4614</v>
      </c>
      <c r="Q873" s="301" t="s">
        <v>4615</v>
      </c>
      <c r="R873" s="301" t="s">
        <v>4616</v>
      </c>
      <c r="S873" s="301" t="s">
        <v>4617</v>
      </c>
      <c r="T873" s="301" t="s">
        <v>4618</v>
      </c>
      <c r="U873" s="301" t="s">
        <v>4619</v>
      </c>
      <c r="V873" s="301" t="s">
        <v>4620</v>
      </c>
      <c r="W873" s="298" t="s">
        <v>315</v>
      </c>
      <c r="X873" s="298" t="s">
        <v>318</v>
      </c>
    </row>
    <row r="874">
      <c r="A874" s="295" t="s">
        <v>4621</v>
      </c>
      <c r="B874" s="298">
        <v>1.0</v>
      </c>
      <c r="C874" s="298" t="s">
        <v>522</v>
      </c>
      <c r="D874" s="298" t="s">
        <v>289</v>
      </c>
      <c r="E874" s="298" t="s">
        <v>290</v>
      </c>
      <c r="F874" s="484" t="str">
        <f>'Character Sheet'!$C$9</f>
        <v/>
      </c>
      <c r="G874" s="298" t="s">
        <v>294</v>
      </c>
      <c r="H874" s="298" t="s">
        <v>324</v>
      </c>
      <c r="I874" s="298" t="s">
        <v>884</v>
      </c>
      <c r="J874" s="298" t="s">
        <v>336</v>
      </c>
      <c r="K874" s="298" t="s">
        <v>298</v>
      </c>
      <c r="L874" s="298" t="s">
        <v>4524</v>
      </c>
      <c r="M874" s="301" t="s">
        <v>4622</v>
      </c>
      <c r="N874" s="301" t="s">
        <v>4623</v>
      </c>
      <c r="O874" s="301" t="s">
        <v>4624</v>
      </c>
      <c r="P874" s="301" t="s">
        <v>4625</v>
      </c>
      <c r="Q874" s="301" t="s">
        <v>4626</v>
      </c>
      <c r="R874" s="301" t="s">
        <v>4627</v>
      </c>
      <c r="S874" s="301" t="s">
        <v>4628</v>
      </c>
      <c r="T874" s="301" t="s">
        <v>4629</v>
      </c>
      <c r="U874" s="301" t="s">
        <v>4630</v>
      </c>
      <c r="V874" s="301" t="s">
        <v>4631</v>
      </c>
      <c r="W874" s="298" t="s">
        <v>315</v>
      </c>
      <c r="X874" s="298" t="s">
        <v>306</v>
      </c>
    </row>
    <row r="875">
      <c r="A875" s="295" t="s">
        <v>4632</v>
      </c>
      <c r="B875" s="298">
        <v>1.0</v>
      </c>
      <c r="C875" s="298" t="s">
        <v>522</v>
      </c>
      <c r="D875" s="298" t="s">
        <v>289</v>
      </c>
      <c r="E875" s="298" t="s">
        <v>290</v>
      </c>
      <c r="F875" s="484" t="str">
        <f>'Character Sheet'!$C$9</f>
        <v/>
      </c>
      <c r="G875" s="298" t="s">
        <v>4545</v>
      </c>
      <c r="H875" s="298" t="s">
        <v>324</v>
      </c>
      <c r="I875" s="298" t="s">
        <v>884</v>
      </c>
      <c r="J875" s="298" t="s">
        <v>173</v>
      </c>
      <c r="K875" s="298" t="s">
        <v>298</v>
      </c>
      <c r="L875" s="298" t="s">
        <v>4524</v>
      </c>
      <c r="M875" s="301" t="s">
        <v>4633</v>
      </c>
      <c r="N875" s="301" t="s">
        <v>4633</v>
      </c>
      <c r="O875" s="301" t="s">
        <v>4634</v>
      </c>
      <c r="P875" s="301" t="s">
        <v>4634</v>
      </c>
      <c r="Q875" s="301" t="s">
        <v>4634</v>
      </c>
      <c r="R875" s="301" t="s">
        <v>4634</v>
      </c>
      <c r="S875" s="301" t="s">
        <v>4634</v>
      </c>
      <c r="T875" s="301" t="s">
        <v>4634</v>
      </c>
      <c r="U875" s="301" t="s">
        <v>4634</v>
      </c>
      <c r="V875" s="301" t="s">
        <v>4634</v>
      </c>
      <c r="W875" s="298" t="s">
        <v>315</v>
      </c>
      <c r="X875" s="298" t="s">
        <v>306</v>
      </c>
    </row>
    <row r="876">
      <c r="A876" s="295" t="s">
        <v>4635</v>
      </c>
      <c r="B876" s="298">
        <v>1.0</v>
      </c>
      <c r="C876" s="298" t="s">
        <v>522</v>
      </c>
      <c r="D876" s="298" t="s">
        <v>334</v>
      </c>
      <c r="E876" s="298" t="s">
        <v>311</v>
      </c>
      <c r="F876" s="484" t="str">
        <f>'Character Sheet'!$K$9</f>
        <v/>
      </c>
      <c r="G876" s="298" t="s">
        <v>477</v>
      </c>
      <c r="H876" s="298" t="s">
        <v>2993</v>
      </c>
      <c r="I876" s="298" t="s">
        <v>4039</v>
      </c>
      <c r="J876" s="298" t="s">
        <v>315</v>
      </c>
      <c r="K876" s="298" t="s">
        <v>632</v>
      </c>
      <c r="L876" s="298" t="s">
        <v>4524</v>
      </c>
      <c r="M876" s="301" t="s">
        <v>4636</v>
      </c>
      <c r="N876" s="301" t="s">
        <v>4636</v>
      </c>
      <c r="O876" s="301" t="s">
        <v>4636</v>
      </c>
      <c r="P876" s="301" t="s">
        <v>4636</v>
      </c>
      <c r="Q876" s="301" t="s">
        <v>4636</v>
      </c>
      <c r="R876" s="301" t="s">
        <v>4636</v>
      </c>
      <c r="S876" s="301" t="s">
        <v>4636</v>
      </c>
      <c r="T876" s="301" t="s">
        <v>4636</v>
      </c>
      <c r="U876" s="301" t="s">
        <v>4636</v>
      </c>
      <c r="V876" s="301" t="s">
        <v>4636</v>
      </c>
      <c r="W876" s="298" t="s">
        <v>315</v>
      </c>
      <c r="X876" s="298" t="s">
        <v>306</v>
      </c>
    </row>
    <row r="877">
      <c r="A877" s="295" t="s">
        <v>4637</v>
      </c>
      <c r="B877" s="298">
        <v>1.0</v>
      </c>
      <c r="C877" s="298" t="s">
        <v>288</v>
      </c>
      <c r="D877" s="298" t="s">
        <v>421</v>
      </c>
      <c r="E877" s="298" t="s">
        <v>311</v>
      </c>
      <c r="F877" s="484" t="str">
        <f>'Character Sheet'!$K$9</f>
        <v/>
      </c>
      <c r="G877" s="298" t="s">
        <v>493</v>
      </c>
      <c r="H877" s="298" t="s">
        <v>295</v>
      </c>
      <c r="I877" s="298" t="s">
        <v>296</v>
      </c>
      <c r="J877" s="298" t="s">
        <v>315</v>
      </c>
      <c r="K877" s="298" t="s">
        <v>478</v>
      </c>
      <c r="L877" s="298" t="s">
        <v>4524</v>
      </c>
      <c r="M877" s="301" t="s">
        <v>4638</v>
      </c>
      <c r="N877" s="301" t="s">
        <v>4638</v>
      </c>
      <c r="O877" s="301" t="s">
        <v>4638</v>
      </c>
      <c r="P877" s="301" t="s">
        <v>4638</v>
      </c>
      <c r="Q877" s="301" t="s">
        <v>4638</v>
      </c>
      <c r="R877" s="301" t="s">
        <v>4638</v>
      </c>
      <c r="S877" s="301" t="s">
        <v>4638</v>
      </c>
      <c r="T877" s="301" t="s">
        <v>4638</v>
      </c>
      <c r="U877" s="301" t="s">
        <v>4638</v>
      </c>
      <c r="V877" s="301" t="s">
        <v>4638</v>
      </c>
      <c r="W877" s="298" t="s">
        <v>315</v>
      </c>
      <c r="X877" s="298" t="s">
        <v>966</v>
      </c>
    </row>
    <row r="878">
      <c r="A878" s="295" t="s">
        <v>4640</v>
      </c>
      <c r="B878" s="298">
        <v>1.0</v>
      </c>
      <c r="C878" s="298" t="s">
        <v>522</v>
      </c>
      <c r="D878" s="298" t="s">
        <v>359</v>
      </c>
      <c r="E878" s="298" t="s">
        <v>311</v>
      </c>
      <c r="F878" s="484" t="str">
        <f>'Character Sheet'!$B$9</f>
        <v/>
      </c>
      <c r="G878" s="298" t="s">
        <v>477</v>
      </c>
      <c r="H878" s="298" t="s">
        <v>295</v>
      </c>
      <c r="I878" s="298" t="s">
        <v>4641</v>
      </c>
      <c r="J878" s="298" t="s">
        <v>315</v>
      </c>
      <c r="K878" s="298" t="s">
        <v>478</v>
      </c>
      <c r="L878" s="298" t="s">
        <v>4524</v>
      </c>
      <c r="M878" s="301" t="s">
        <v>4642</v>
      </c>
      <c r="N878" s="301" t="s">
        <v>4642</v>
      </c>
      <c r="O878" s="301" t="s">
        <v>4642</v>
      </c>
      <c r="P878" s="301" t="s">
        <v>4642</v>
      </c>
      <c r="Q878" s="301" t="s">
        <v>4642</v>
      </c>
      <c r="R878" s="301" t="s">
        <v>4642</v>
      </c>
      <c r="S878" s="301" t="s">
        <v>4642</v>
      </c>
      <c r="T878" s="301" t="s">
        <v>4642</v>
      </c>
      <c r="U878" s="301" t="s">
        <v>4642</v>
      </c>
      <c r="V878" s="301" t="s">
        <v>4642</v>
      </c>
      <c r="W878" s="298" t="s">
        <v>315</v>
      </c>
      <c r="X878" s="298" t="s">
        <v>306</v>
      </c>
    </row>
    <row r="879">
      <c r="A879" s="295" t="s">
        <v>4643</v>
      </c>
      <c r="B879" s="298">
        <v>1.0</v>
      </c>
      <c r="C879" s="298" t="s">
        <v>522</v>
      </c>
      <c r="D879" s="298" t="s">
        <v>289</v>
      </c>
      <c r="E879" s="298" t="s">
        <v>290</v>
      </c>
      <c r="F879" s="484" t="str">
        <f>'Character Sheet'!$K$9</f>
        <v/>
      </c>
      <c r="G879" s="298" t="s">
        <v>493</v>
      </c>
      <c r="H879" s="298" t="s">
        <v>324</v>
      </c>
      <c r="I879" s="298" t="s">
        <v>315</v>
      </c>
      <c r="J879" s="298" t="s">
        <v>315</v>
      </c>
      <c r="K879" s="298" t="s">
        <v>298</v>
      </c>
      <c r="L879" s="298" t="s">
        <v>4524</v>
      </c>
      <c r="M879" s="301" t="s">
        <v>4644</v>
      </c>
      <c r="N879" s="301" t="s">
        <v>4644</v>
      </c>
      <c r="O879" s="301" t="s">
        <v>4644</v>
      </c>
      <c r="P879" s="301" t="s">
        <v>4644</v>
      </c>
      <c r="Q879" s="301" t="s">
        <v>4644</v>
      </c>
      <c r="R879" s="301" t="s">
        <v>4644</v>
      </c>
      <c r="S879" s="301" t="s">
        <v>4644</v>
      </c>
      <c r="T879" s="301" t="s">
        <v>4644</v>
      </c>
      <c r="U879" s="301" t="s">
        <v>4644</v>
      </c>
      <c r="V879" s="301" t="s">
        <v>4644</v>
      </c>
      <c r="W879" s="298" t="s">
        <v>315</v>
      </c>
      <c r="X879" s="298" t="s">
        <v>678</v>
      </c>
    </row>
    <row r="880">
      <c r="A880" s="295" t="s">
        <v>4645</v>
      </c>
      <c r="B880" s="298">
        <v>1.0</v>
      </c>
      <c r="C880" s="298" t="s">
        <v>522</v>
      </c>
      <c r="D880" s="298" t="s">
        <v>151</v>
      </c>
      <c r="E880" s="298" t="s">
        <v>311</v>
      </c>
      <c r="F880" s="484" t="str">
        <f>'Character Sheet'!$B$9</f>
        <v/>
      </c>
      <c r="G880" s="298" t="s">
        <v>477</v>
      </c>
      <c r="H880" s="298" t="s">
        <v>324</v>
      </c>
      <c r="I880" s="298" t="s">
        <v>324</v>
      </c>
      <c r="J880" s="298" t="s">
        <v>315</v>
      </c>
      <c r="K880" s="298" t="s">
        <v>298</v>
      </c>
      <c r="L880" s="298" t="s">
        <v>4524</v>
      </c>
      <c r="M880" s="301" t="s">
        <v>4647</v>
      </c>
      <c r="N880" s="301" t="s">
        <v>4647</v>
      </c>
      <c r="O880" s="301" t="s">
        <v>4647</v>
      </c>
      <c r="P880" s="301" t="s">
        <v>4647</v>
      </c>
      <c r="Q880" s="301" t="s">
        <v>4647</v>
      </c>
      <c r="R880" s="301" t="s">
        <v>4647</v>
      </c>
      <c r="S880" s="301" t="s">
        <v>4647</v>
      </c>
      <c r="T880" s="301" t="s">
        <v>4647</v>
      </c>
      <c r="U880" s="301" t="s">
        <v>4647</v>
      </c>
      <c r="V880" s="301" t="s">
        <v>4647</v>
      </c>
      <c r="W880" s="298" t="s">
        <v>315</v>
      </c>
      <c r="X880" s="298" t="s">
        <v>318</v>
      </c>
    </row>
    <row r="881">
      <c r="A881" s="295" t="s">
        <v>4648</v>
      </c>
      <c r="B881" s="298">
        <v>1.0</v>
      </c>
      <c r="C881" s="298" t="s">
        <v>288</v>
      </c>
      <c r="D881" s="298" t="s">
        <v>334</v>
      </c>
      <c r="E881" s="298" t="s">
        <v>290</v>
      </c>
      <c r="F881" s="484" t="str">
        <f>'Character Sheet'!$C$9</f>
        <v/>
      </c>
      <c r="G881" s="298" t="s">
        <v>294</v>
      </c>
      <c r="H881" s="298" t="s">
        <v>3579</v>
      </c>
      <c r="I881" s="298" t="s">
        <v>296</v>
      </c>
      <c r="J881" s="298" t="s">
        <v>173</v>
      </c>
      <c r="K881" s="298" t="s">
        <v>298</v>
      </c>
      <c r="L881" s="298" t="s">
        <v>4524</v>
      </c>
      <c r="M881" s="301" t="s">
        <v>4649</v>
      </c>
      <c r="N881" s="301" t="s">
        <v>4649</v>
      </c>
      <c r="O881" s="301" t="s">
        <v>4649</v>
      </c>
      <c r="P881" s="301" t="s">
        <v>4649</v>
      </c>
      <c r="Q881" s="301" t="s">
        <v>4650</v>
      </c>
      <c r="R881" s="301" t="s">
        <v>4650</v>
      </c>
      <c r="S881" s="301" t="s">
        <v>4650</v>
      </c>
      <c r="T881" s="301" t="s">
        <v>4650</v>
      </c>
      <c r="U881" s="301" t="s">
        <v>4650</v>
      </c>
      <c r="V881" s="301" t="s">
        <v>4650</v>
      </c>
      <c r="W881" s="298" t="s">
        <v>315</v>
      </c>
      <c r="X881" s="298" t="s">
        <v>966</v>
      </c>
    </row>
    <row r="882">
      <c r="A882" s="295" t="s">
        <v>4651</v>
      </c>
      <c r="B882" s="298">
        <v>1.0</v>
      </c>
      <c r="C882" s="298" t="s">
        <v>522</v>
      </c>
      <c r="D882" s="298" t="s">
        <v>310</v>
      </c>
      <c r="E882" s="298" t="s">
        <v>311</v>
      </c>
      <c r="F882" s="484" t="str">
        <f>'Character Sheet'!$B$9</f>
        <v/>
      </c>
      <c r="G882" s="298" t="s">
        <v>477</v>
      </c>
      <c r="H882" s="298" t="s">
        <v>295</v>
      </c>
      <c r="I882" s="298" t="s">
        <v>4641</v>
      </c>
      <c r="J882" s="298" t="s">
        <v>315</v>
      </c>
      <c r="K882" s="298" t="s">
        <v>478</v>
      </c>
      <c r="L882" s="298" t="s">
        <v>4524</v>
      </c>
      <c r="M882" s="301" t="s">
        <v>4652</v>
      </c>
      <c r="N882" s="301" t="s">
        <v>4652</v>
      </c>
      <c r="O882" s="301" t="s">
        <v>4652</v>
      </c>
      <c r="P882" s="301" t="s">
        <v>4652</v>
      </c>
      <c r="Q882" s="301" t="s">
        <v>4652</v>
      </c>
      <c r="R882" s="301" t="s">
        <v>4652</v>
      </c>
      <c r="S882" s="301" t="s">
        <v>4652</v>
      </c>
      <c r="T882" s="301" t="s">
        <v>4652</v>
      </c>
      <c r="U882" s="301" t="s">
        <v>4652</v>
      </c>
      <c r="V882" s="301" t="s">
        <v>4652</v>
      </c>
      <c r="W882" s="298" t="s">
        <v>315</v>
      </c>
      <c r="X882" s="298" t="s">
        <v>306</v>
      </c>
    </row>
    <row r="883">
      <c r="A883" s="295" t="s">
        <v>4653</v>
      </c>
      <c r="B883" s="298">
        <v>1.0</v>
      </c>
      <c r="C883" s="298" t="s">
        <v>288</v>
      </c>
      <c r="D883" s="298" t="s">
        <v>289</v>
      </c>
      <c r="E883" s="298" t="s">
        <v>290</v>
      </c>
      <c r="F883" s="484" t="str">
        <f>'Character Sheet'!$C$9</f>
        <v/>
      </c>
      <c r="G883" s="298" t="s">
        <v>294</v>
      </c>
      <c r="H883" s="298" t="s">
        <v>324</v>
      </c>
      <c r="I883" s="298" t="s">
        <v>315</v>
      </c>
      <c r="J883" s="298" t="s">
        <v>203</v>
      </c>
      <c r="K883" s="298" t="s">
        <v>632</v>
      </c>
      <c r="L883" s="298" t="s">
        <v>4524</v>
      </c>
      <c r="M883" s="301" t="s">
        <v>4654</v>
      </c>
      <c r="N883" s="301" t="s">
        <v>4655</v>
      </c>
      <c r="O883" s="301" t="s">
        <v>4656</v>
      </c>
      <c r="P883" s="301" t="s">
        <v>4657</v>
      </c>
      <c r="Q883" s="301" t="s">
        <v>4658</v>
      </c>
      <c r="R883" s="301" t="s">
        <v>4659</v>
      </c>
      <c r="S883" s="301" t="s">
        <v>4660</v>
      </c>
      <c r="T883" s="301" t="s">
        <v>4661</v>
      </c>
      <c r="U883" s="301" t="s">
        <v>4662</v>
      </c>
      <c r="V883" s="301" t="s">
        <v>4663</v>
      </c>
      <c r="W883" s="298" t="s">
        <v>315</v>
      </c>
      <c r="X883" s="298" t="s">
        <v>966</v>
      </c>
    </row>
    <row r="884">
      <c r="A884" s="295" t="s">
        <v>4664</v>
      </c>
      <c r="B884" s="298">
        <v>1.0</v>
      </c>
      <c r="C884" s="298" t="s">
        <v>522</v>
      </c>
      <c r="D884" s="298" t="s">
        <v>462</v>
      </c>
      <c r="E884" s="298" t="s">
        <v>290</v>
      </c>
      <c r="F884" s="484" t="str">
        <f>'Character Sheet'!$B$9</f>
        <v/>
      </c>
      <c r="G884" s="298" t="s">
        <v>477</v>
      </c>
      <c r="H884" s="298" t="s">
        <v>324</v>
      </c>
      <c r="I884" s="298" t="s">
        <v>324</v>
      </c>
      <c r="J884" s="298" t="s">
        <v>315</v>
      </c>
      <c r="K884" s="298" t="s">
        <v>632</v>
      </c>
      <c r="L884" s="298" t="s">
        <v>4524</v>
      </c>
      <c r="M884" s="301" t="s">
        <v>4665</v>
      </c>
      <c r="N884" s="301" t="s">
        <v>4665</v>
      </c>
      <c r="O884" s="301" t="s">
        <v>4665</v>
      </c>
      <c r="P884" s="301" t="s">
        <v>4665</v>
      </c>
      <c r="Q884" s="301" t="s">
        <v>4666</v>
      </c>
      <c r="R884" s="301" t="s">
        <v>4666</v>
      </c>
      <c r="S884" s="301" t="s">
        <v>4666</v>
      </c>
      <c r="T884" s="301" t="s">
        <v>4666</v>
      </c>
      <c r="U884" s="301" t="s">
        <v>4667</v>
      </c>
      <c r="V884" s="301" t="s">
        <v>4667</v>
      </c>
      <c r="W884" s="298" t="s">
        <v>315</v>
      </c>
      <c r="X884" s="298" t="s">
        <v>306</v>
      </c>
    </row>
    <row r="885">
      <c r="A885" s="295" t="s">
        <v>4668</v>
      </c>
      <c r="B885" s="298">
        <v>1.0</v>
      </c>
      <c r="C885" s="298" t="s">
        <v>522</v>
      </c>
      <c r="D885" s="298" t="s">
        <v>151</v>
      </c>
      <c r="E885" s="298" t="s">
        <v>290</v>
      </c>
      <c r="F885" s="484" t="str">
        <f>'Character Sheet'!$B$9</f>
        <v/>
      </c>
      <c r="G885" s="298" t="s">
        <v>477</v>
      </c>
      <c r="H885" s="298" t="s">
        <v>360</v>
      </c>
      <c r="I885" s="298" t="s">
        <v>435</v>
      </c>
      <c r="J885" s="298" t="s">
        <v>315</v>
      </c>
      <c r="K885" s="298" t="s">
        <v>298</v>
      </c>
      <c r="L885" s="298" t="s">
        <v>4524</v>
      </c>
      <c r="M885" s="301" t="s">
        <v>4669</v>
      </c>
      <c r="N885" s="301" t="s">
        <v>4669</v>
      </c>
      <c r="O885" s="301" t="s">
        <v>4670</v>
      </c>
      <c r="P885" s="301" t="s">
        <v>4670</v>
      </c>
      <c r="Q885" s="301" t="s">
        <v>4671</v>
      </c>
      <c r="R885" s="301" t="s">
        <v>4671</v>
      </c>
      <c r="S885" s="301" t="s">
        <v>4672</v>
      </c>
      <c r="T885" s="301" t="s">
        <v>4672</v>
      </c>
      <c r="U885" s="301" t="s">
        <v>4672</v>
      </c>
      <c r="V885" s="301" t="s">
        <v>4672</v>
      </c>
      <c r="W885" s="298" t="s">
        <v>315</v>
      </c>
      <c r="X885" s="298" t="s">
        <v>318</v>
      </c>
    </row>
    <row r="886">
      <c r="A886" s="295" t="s">
        <v>4673</v>
      </c>
      <c r="B886" s="298">
        <v>1.0</v>
      </c>
      <c r="C886" s="298" t="s">
        <v>288</v>
      </c>
      <c r="D886" s="298" t="s">
        <v>334</v>
      </c>
      <c r="E886" s="298" t="s">
        <v>290</v>
      </c>
      <c r="F886" s="484" t="str">
        <f>'Character Sheet'!$C$9</f>
        <v/>
      </c>
      <c r="G886" s="298" t="s">
        <v>294</v>
      </c>
      <c r="H886" s="298" t="s">
        <v>335</v>
      </c>
      <c r="I886" s="298" t="s">
        <v>2038</v>
      </c>
      <c r="J886" s="298" t="s">
        <v>173</v>
      </c>
      <c r="K886" s="298" t="s">
        <v>298</v>
      </c>
      <c r="L886" s="298" t="s">
        <v>4524</v>
      </c>
      <c r="M886" s="301" t="s">
        <v>4674</v>
      </c>
      <c r="N886" s="301" t="s">
        <v>4674</v>
      </c>
      <c r="O886" s="301" t="s">
        <v>4674</v>
      </c>
      <c r="P886" s="301" t="s">
        <v>4675</v>
      </c>
      <c r="Q886" s="301" t="s">
        <v>4675</v>
      </c>
      <c r="R886" s="301" t="s">
        <v>4675</v>
      </c>
      <c r="S886" s="301" t="s">
        <v>4676</v>
      </c>
      <c r="T886" s="301" t="s">
        <v>4676</v>
      </c>
      <c r="U886" s="301" t="s">
        <v>4676</v>
      </c>
      <c r="V886" s="301" t="s">
        <v>4677</v>
      </c>
      <c r="W886" s="298" t="s">
        <v>315</v>
      </c>
      <c r="X886" s="298" t="s">
        <v>966</v>
      </c>
    </row>
    <row r="887">
      <c r="A887" s="295" t="s">
        <v>4678</v>
      </c>
      <c r="B887" s="298">
        <v>1.0</v>
      </c>
      <c r="C887" s="298" t="s">
        <v>522</v>
      </c>
      <c r="D887" s="298" t="s">
        <v>289</v>
      </c>
      <c r="E887" s="298" t="s">
        <v>290</v>
      </c>
      <c r="F887" s="484" t="str">
        <f>'Character Sheet'!$B$9</f>
        <v/>
      </c>
      <c r="G887" s="298" t="s">
        <v>477</v>
      </c>
      <c r="H887" s="298" t="s">
        <v>295</v>
      </c>
      <c r="I887" s="298" t="s">
        <v>296</v>
      </c>
      <c r="J887" s="298" t="s">
        <v>315</v>
      </c>
      <c r="K887" s="298" t="s">
        <v>424</v>
      </c>
      <c r="L887" s="298" t="s">
        <v>4524</v>
      </c>
      <c r="M887" s="301" t="s">
        <v>4679</v>
      </c>
      <c r="N887" s="301" t="s">
        <v>4679</v>
      </c>
      <c r="O887" s="301" t="s">
        <v>4680</v>
      </c>
      <c r="P887" s="301" t="s">
        <v>4680</v>
      </c>
      <c r="Q887" s="301" t="s">
        <v>4681</v>
      </c>
      <c r="R887" s="301" t="s">
        <v>4681</v>
      </c>
      <c r="S887" s="301" t="s">
        <v>4682</v>
      </c>
      <c r="T887" s="301" t="s">
        <v>4682</v>
      </c>
      <c r="U887" s="301" t="s">
        <v>4683</v>
      </c>
      <c r="V887" s="301" t="s">
        <v>4683</v>
      </c>
      <c r="W887" s="298" t="s">
        <v>315</v>
      </c>
      <c r="X887" s="298" t="s">
        <v>678</v>
      </c>
    </row>
    <row r="888">
      <c r="A888" s="295" t="s">
        <v>4684</v>
      </c>
      <c r="B888" s="298">
        <v>1.0</v>
      </c>
      <c r="C888" s="298" t="s">
        <v>522</v>
      </c>
      <c r="D888" s="298" t="s">
        <v>289</v>
      </c>
      <c r="E888" s="298" t="s">
        <v>290</v>
      </c>
      <c r="F888" s="484" t="str">
        <f>'Character Sheet'!$B$9</f>
        <v/>
      </c>
      <c r="G888" s="298" t="s">
        <v>493</v>
      </c>
      <c r="H888" s="298" t="s">
        <v>295</v>
      </c>
      <c r="I888" s="298" t="s">
        <v>296</v>
      </c>
      <c r="J888" s="298" t="s">
        <v>203</v>
      </c>
      <c r="K888" s="298" t="s">
        <v>298</v>
      </c>
      <c r="L888" s="298" t="s">
        <v>4524</v>
      </c>
      <c r="M888" s="301" t="s">
        <v>4685</v>
      </c>
      <c r="N888" s="301" t="s">
        <v>4686</v>
      </c>
      <c r="O888" s="301" t="s">
        <v>4687</v>
      </c>
      <c r="P888" s="301" t="s">
        <v>4688</v>
      </c>
      <c r="Q888" s="301" t="s">
        <v>4689</v>
      </c>
      <c r="R888" s="301" t="s">
        <v>4690</v>
      </c>
      <c r="S888" s="301" t="s">
        <v>4691</v>
      </c>
      <c r="T888" s="301" t="s">
        <v>4692</v>
      </c>
      <c r="U888" s="301" t="s">
        <v>4693</v>
      </c>
      <c r="V888" s="301" t="s">
        <v>4694</v>
      </c>
      <c r="W888" s="298" t="s">
        <v>315</v>
      </c>
      <c r="X888" s="298" t="s">
        <v>306</v>
      </c>
    </row>
    <row r="889">
      <c r="A889" s="295" t="s">
        <v>4695</v>
      </c>
      <c r="B889" s="298">
        <v>1.0</v>
      </c>
      <c r="C889" s="298" t="s">
        <v>288</v>
      </c>
      <c r="D889" s="298" t="s">
        <v>421</v>
      </c>
      <c r="E889" s="298" t="s">
        <v>290</v>
      </c>
      <c r="F889" s="484" t="str">
        <f>'Character Sheet'!$B$9</f>
        <v/>
      </c>
      <c r="G889" s="298" t="s">
        <v>477</v>
      </c>
      <c r="H889" s="298" t="s">
        <v>324</v>
      </c>
      <c r="I889" s="298" t="s">
        <v>324</v>
      </c>
      <c r="J889" s="298" t="s">
        <v>315</v>
      </c>
      <c r="K889" s="298" t="s">
        <v>298</v>
      </c>
      <c r="L889" s="298" t="s">
        <v>4524</v>
      </c>
      <c r="M889" s="301" t="s">
        <v>4696</v>
      </c>
      <c r="N889" s="301" t="s">
        <v>4696</v>
      </c>
      <c r="O889" s="301" t="s">
        <v>4696</v>
      </c>
      <c r="P889" s="301" t="s">
        <v>4696</v>
      </c>
      <c r="Q889" s="301" t="s">
        <v>4697</v>
      </c>
      <c r="R889" s="301" t="s">
        <v>4697</v>
      </c>
      <c r="S889" s="301" t="s">
        <v>4697</v>
      </c>
      <c r="T889" s="301" t="s">
        <v>4697</v>
      </c>
      <c r="U889" s="301" t="s">
        <v>4697</v>
      </c>
      <c r="V889" s="301" t="s">
        <v>4697</v>
      </c>
      <c r="W889" s="298" t="s">
        <v>315</v>
      </c>
      <c r="X889" s="298" t="s">
        <v>966</v>
      </c>
    </row>
    <row r="890">
      <c r="A890" s="295" t="s">
        <v>4698</v>
      </c>
      <c r="B890" s="298">
        <v>1.0</v>
      </c>
      <c r="C890" s="298" t="s">
        <v>522</v>
      </c>
      <c r="D890" s="298" t="s">
        <v>462</v>
      </c>
      <c r="E890" s="298" t="s">
        <v>290</v>
      </c>
      <c r="F890" s="484" t="str">
        <f>'Character Sheet'!$C$9</f>
        <v/>
      </c>
      <c r="G890" s="298" t="s">
        <v>294</v>
      </c>
      <c r="H890" s="298" t="s">
        <v>708</v>
      </c>
      <c r="I890" s="298" t="s">
        <v>709</v>
      </c>
      <c r="J890" s="298" t="s">
        <v>315</v>
      </c>
      <c r="K890" s="298" t="s">
        <v>632</v>
      </c>
      <c r="L890" s="298" t="s">
        <v>4524</v>
      </c>
      <c r="M890" s="301" t="s">
        <v>4699</v>
      </c>
      <c r="N890" s="301" t="s">
        <v>4699</v>
      </c>
      <c r="O890" s="301" t="s">
        <v>4700</v>
      </c>
      <c r="P890" s="301" t="s">
        <v>4700</v>
      </c>
      <c r="Q890" s="301" t="s">
        <v>4701</v>
      </c>
      <c r="R890" s="301" t="s">
        <v>4701</v>
      </c>
      <c r="S890" s="301" t="s">
        <v>4701</v>
      </c>
      <c r="T890" s="301" t="s">
        <v>4701</v>
      </c>
      <c r="U890" s="301" t="s">
        <v>4701</v>
      </c>
      <c r="V890" s="301" t="s">
        <v>4701</v>
      </c>
      <c r="W890" s="298" t="s">
        <v>315</v>
      </c>
      <c r="X890" s="298" t="s">
        <v>318</v>
      </c>
    </row>
    <row r="891">
      <c r="A891" s="295" t="s">
        <v>4702</v>
      </c>
      <c r="B891" s="298">
        <v>1.0</v>
      </c>
      <c r="C891" s="298" t="s">
        <v>522</v>
      </c>
      <c r="D891" s="298" t="s">
        <v>310</v>
      </c>
      <c r="E891" s="298" t="s">
        <v>311</v>
      </c>
      <c r="F891" s="484" t="str">
        <f>'Character Sheet'!$H$9</f>
        <v/>
      </c>
      <c r="G891" s="298" t="s">
        <v>477</v>
      </c>
      <c r="H891" s="298" t="s">
        <v>324</v>
      </c>
      <c r="I891" s="298" t="s">
        <v>324</v>
      </c>
      <c r="J891" s="298" t="s">
        <v>315</v>
      </c>
      <c r="K891" s="298" t="s">
        <v>298</v>
      </c>
      <c r="L891" s="298" t="s">
        <v>4524</v>
      </c>
      <c r="M891" s="301" t="s">
        <v>4703</v>
      </c>
      <c r="N891" s="301" t="s">
        <v>4703</v>
      </c>
      <c r="O891" s="301" t="s">
        <v>4703</v>
      </c>
      <c r="P891" s="301" t="s">
        <v>4703</v>
      </c>
      <c r="Q891" s="301" t="s">
        <v>4703</v>
      </c>
      <c r="R891" s="301" t="s">
        <v>4703</v>
      </c>
      <c r="S891" s="301" t="s">
        <v>4703</v>
      </c>
      <c r="T891" s="301" t="s">
        <v>4703</v>
      </c>
      <c r="U891" s="301" t="s">
        <v>4703</v>
      </c>
      <c r="V891" s="301" t="s">
        <v>4703</v>
      </c>
      <c r="W891" s="298" t="s">
        <v>315</v>
      </c>
      <c r="X891" s="298" t="s">
        <v>318</v>
      </c>
    </row>
    <row r="892">
      <c r="A892" s="295" t="s">
        <v>4704</v>
      </c>
      <c r="B892" s="298">
        <v>1.0</v>
      </c>
      <c r="C892" s="298" t="s">
        <v>522</v>
      </c>
      <c r="D892" s="298" t="s">
        <v>321</v>
      </c>
      <c r="E892" s="298" t="s">
        <v>290</v>
      </c>
      <c r="F892" s="484" t="str">
        <f>'Character Sheet'!$B$9</f>
        <v/>
      </c>
      <c r="G892" s="298" t="s">
        <v>493</v>
      </c>
      <c r="H892" s="298" t="s">
        <v>324</v>
      </c>
      <c r="I892" s="298" t="s">
        <v>324</v>
      </c>
      <c r="J892" s="298" t="s">
        <v>315</v>
      </c>
      <c r="K892" s="298" t="s">
        <v>632</v>
      </c>
      <c r="L892" s="298" t="s">
        <v>4524</v>
      </c>
      <c r="M892" s="301" t="s">
        <v>4705</v>
      </c>
      <c r="N892" s="301" t="s">
        <v>4705</v>
      </c>
      <c r="O892" s="301" t="s">
        <v>4706</v>
      </c>
      <c r="P892" s="301" t="s">
        <v>4706</v>
      </c>
      <c r="Q892" s="301" t="s">
        <v>4706</v>
      </c>
      <c r="R892" s="301" t="s">
        <v>4706</v>
      </c>
      <c r="S892" s="301" t="s">
        <v>4706</v>
      </c>
      <c r="T892" s="301" t="s">
        <v>4706</v>
      </c>
      <c r="U892" s="301" t="s">
        <v>4706</v>
      </c>
      <c r="V892" s="301" t="s">
        <v>4706</v>
      </c>
      <c r="W892" s="298" t="s">
        <v>315</v>
      </c>
      <c r="X892" s="298" t="s">
        <v>306</v>
      </c>
    </row>
    <row r="893">
      <c r="A893" s="295" t="s">
        <v>4707</v>
      </c>
      <c r="B893" s="298">
        <v>1.0</v>
      </c>
      <c r="C893" s="298" t="s">
        <v>522</v>
      </c>
      <c r="D893" s="298" t="s">
        <v>359</v>
      </c>
      <c r="E893" s="298" t="s">
        <v>290</v>
      </c>
      <c r="F893" s="484" t="str">
        <f>'Character Sheet'!$N$9</f>
        <v/>
      </c>
      <c r="G893" s="298" t="s">
        <v>294</v>
      </c>
      <c r="H893" s="298" t="s">
        <v>295</v>
      </c>
      <c r="I893" s="298" t="s">
        <v>955</v>
      </c>
      <c r="J893" s="298" t="s">
        <v>192</v>
      </c>
      <c r="K893" s="298" t="s">
        <v>478</v>
      </c>
      <c r="L893" s="298" t="s">
        <v>4524</v>
      </c>
      <c r="M893" s="301" t="s">
        <v>4708</v>
      </c>
      <c r="N893" s="301" t="s">
        <v>4708</v>
      </c>
      <c r="O893" s="301" t="s">
        <v>4708</v>
      </c>
      <c r="P893" s="301" t="s">
        <v>4709</v>
      </c>
      <c r="Q893" s="301" t="s">
        <v>4709</v>
      </c>
      <c r="R893" s="301" t="s">
        <v>4709</v>
      </c>
      <c r="S893" s="301" t="s">
        <v>4710</v>
      </c>
      <c r="T893" s="301" t="s">
        <v>4710</v>
      </c>
      <c r="U893" s="301" t="s">
        <v>4710</v>
      </c>
      <c r="V893" s="301" t="s">
        <v>4711</v>
      </c>
      <c r="W893" s="298" t="s">
        <v>315</v>
      </c>
      <c r="X893" s="298" t="s">
        <v>306</v>
      </c>
    </row>
    <row r="894">
      <c r="A894" s="295" t="s">
        <v>4712</v>
      </c>
      <c r="B894" s="298">
        <v>1.0</v>
      </c>
      <c r="C894" s="298" t="s">
        <v>522</v>
      </c>
      <c r="D894" s="298" t="s">
        <v>289</v>
      </c>
      <c r="E894" s="298" t="s">
        <v>290</v>
      </c>
      <c r="F894" s="484" t="str">
        <f>'Character Sheet'!$C$9</f>
        <v/>
      </c>
      <c r="G894" s="298" t="s">
        <v>294</v>
      </c>
      <c r="H894" s="298" t="s">
        <v>360</v>
      </c>
      <c r="I894" s="298" t="s">
        <v>296</v>
      </c>
      <c r="J894" s="298" t="s">
        <v>203</v>
      </c>
      <c r="K894" s="298" t="s">
        <v>298</v>
      </c>
      <c r="L894" s="298" t="s">
        <v>4524</v>
      </c>
      <c r="M894" s="301" t="s">
        <v>4713</v>
      </c>
      <c r="N894" s="301" t="s">
        <v>4714</v>
      </c>
      <c r="O894" s="301" t="s">
        <v>4715</v>
      </c>
      <c r="P894" s="301" t="s">
        <v>4716</v>
      </c>
      <c r="Q894" s="301" t="s">
        <v>4717</v>
      </c>
      <c r="R894" s="301" t="s">
        <v>4718</v>
      </c>
      <c r="S894" s="301" t="s">
        <v>4719</v>
      </c>
      <c r="T894" s="301" t="s">
        <v>4720</v>
      </c>
      <c r="U894" s="301" t="s">
        <v>4721</v>
      </c>
      <c r="V894" s="301" t="s">
        <v>4722</v>
      </c>
      <c r="W894" s="298" t="s">
        <v>315</v>
      </c>
      <c r="X894" s="298" t="s">
        <v>306</v>
      </c>
    </row>
    <row r="895">
      <c r="A895" s="295" t="s">
        <v>4723</v>
      </c>
      <c r="B895" s="298">
        <v>1.0</v>
      </c>
      <c r="C895" s="298" t="s">
        <v>522</v>
      </c>
      <c r="D895" s="298" t="s">
        <v>289</v>
      </c>
      <c r="E895" s="298" t="s">
        <v>290</v>
      </c>
      <c r="F895" s="484" t="str">
        <f>'Character Sheet'!$B$9</f>
        <v/>
      </c>
      <c r="G895" s="298" t="s">
        <v>493</v>
      </c>
      <c r="H895" s="298" t="s">
        <v>295</v>
      </c>
      <c r="I895" s="298" t="s">
        <v>296</v>
      </c>
      <c r="J895" s="298" t="s">
        <v>315</v>
      </c>
      <c r="K895" s="298" t="s">
        <v>298</v>
      </c>
      <c r="L895" s="298" t="s">
        <v>4524</v>
      </c>
      <c r="M895" s="301" t="s">
        <v>4724</v>
      </c>
      <c r="N895" s="301" t="s">
        <v>4725</v>
      </c>
      <c r="O895" s="301" t="s">
        <v>4726</v>
      </c>
      <c r="P895" s="301" t="s">
        <v>4727</v>
      </c>
      <c r="Q895" s="301" t="s">
        <v>4728</v>
      </c>
      <c r="R895" s="301" t="s">
        <v>4729</v>
      </c>
      <c r="S895" s="301" t="s">
        <v>4730</v>
      </c>
      <c r="T895" s="301" t="s">
        <v>4731</v>
      </c>
      <c r="U895" s="301" t="s">
        <v>4732</v>
      </c>
      <c r="V895" s="301" t="s">
        <v>4733</v>
      </c>
      <c r="W895" s="298" t="s">
        <v>315</v>
      </c>
      <c r="X895" s="298" t="s">
        <v>306</v>
      </c>
    </row>
    <row r="896">
      <c r="A896" s="295" t="s">
        <v>4734</v>
      </c>
      <c r="B896" s="298">
        <v>1.0</v>
      </c>
      <c r="C896" s="298" t="s">
        <v>522</v>
      </c>
      <c r="D896" s="298" t="s">
        <v>289</v>
      </c>
      <c r="E896" s="298" t="s">
        <v>290</v>
      </c>
      <c r="F896" s="484" t="str">
        <f>'Character Sheet'!$B$9</f>
        <v/>
      </c>
      <c r="G896" s="298" t="s">
        <v>493</v>
      </c>
      <c r="H896" s="298" t="s">
        <v>324</v>
      </c>
      <c r="I896" s="298" t="s">
        <v>296</v>
      </c>
      <c r="J896" s="298" t="s">
        <v>315</v>
      </c>
      <c r="K896" s="298" t="s">
        <v>298</v>
      </c>
      <c r="L896" s="298" t="s">
        <v>4524</v>
      </c>
      <c r="M896" s="301" t="s">
        <v>4735</v>
      </c>
      <c r="N896" s="301" t="s">
        <v>4736</v>
      </c>
      <c r="O896" s="301" t="s">
        <v>4737</v>
      </c>
      <c r="P896" s="301" t="s">
        <v>4738</v>
      </c>
      <c r="Q896" s="301" t="s">
        <v>4739</v>
      </c>
      <c r="R896" s="301" t="s">
        <v>4740</v>
      </c>
      <c r="S896" s="301" t="s">
        <v>4741</v>
      </c>
      <c r="T896" s="301" t="s">
        <v>4742</v>
      </c>
      <c r="U896" s="301" t="s">
        <v>4743</v>
      </c>
      <c r="V896" s="301" t="s">
        <v>4744</v>
      </c>
      <c r="W896" s="298" t="s">
        <v>315</v>
      </c>
      <c r="X896" s="298" t="s">
        <v>318</v>
      </c>
    </row>
    <row r="897">
      <c r="A897" s="295" t="s">
        <v>4745</v>
      </c>
      <c r="B897" s="298">
        <v>1.0</v>
      </c>
      <c r="C897" s="298" t="s">
        <v>522</v>
      </c>
      <c r="D897" s="298" t="s">
        <v>421</v>
      </c>
      <c r="E897" s="298" t="s">
        <v>311</v>
      </c>
      <c r="F897" s="484" t="str">
        <f>'Character Sheet'!$C$9</f>
        <v/>
      </c>
      <c r="G897" s="298" t="s">
        <v>2188</v>
      </c>
      <c r="H897" s="298" t="s">
        <v>295</v>
      </c>
      <c r="I897" s="298" t="s">
        <v>296</v>
      </c>
      <c r="J897" s="298" t="s">
        <v>173</v>
      </c>
      <c r="K897" s="298" t="s">
        <v>1174</v>
      </c>
      <c r="L897" s="298" t="s">
        <v>4524</v>
      </c>
      <c r="M897" s="301" t="s">
        <v>4746</v>
      </c>
      <c r="N897" s="301" t="s">
        <v>4746</v>
      </c>
      <c r="O897" s="301" t="s">
        <v>4746</v>
      </c>
      <c r="P897" s="301" t="s">
        <v>4746</v>
      </c>
      <c r="Q897" s="301" t="s">
        <v>4746</v>
      </c>
      <c r="R897" s="301" t="s">
        <v>4746</v>
      </c>
      <c r="S897" s="301" t="s">
        <v>4746</v>
      </c>
      <c r="T897" s="301" t="s">
        <v>4746</v>
      </c>
      <c r="U897" s="301" t="s">
        <v>4746</v>
      </c>
      <c r="V897" s="301" t="s">
        <v>4746</v>
      </c>
      <c r="W897" s="298" t="s">
        <v>315</v>
      </c>
      <c r="X897" s="298" t="s">
        <v>306</v>
      </c>
    </row>
    <row r="898">
      <c r="A898" s="295" t="s">
        <v>4747</v>
      </c>
      <c r="B898" s="298">
        <v>1.0</v>
      </c>
      <c r="C898" s="298" t="s">
        <v>432</v>
      </c>
      <c r="D898" s="298" t="s">
        <v>359</v>
      </c>
      <c r="E898" s="298" t="s">
        <v>290</v>
      </c>
      <c r="F898" s="484" t="str">
        <f>'Character Sheet'!$C$9</f>
        <v/>
      </c>
      <c r="G898" s="298" t="s">
        <v>294</v>
      </c>
      <c r="H898" s="298" t="s">
        <v>324</v>
      </c>
      <c r="I898" s="298" t="s">
        <v>2304</v>
      </c>
      <c r="J898" s="298" t="s">
        <v>315</v>
      </c>
      <c r="K898" s="298" t="s">
        <v>632</v>
      </c>
      <c r="L898" s="298" t="s">
        <v>4524</v>
      </c>
      <c r="M898" s="301" t="s">
        <v>4748</v>
      </c>
      <c r="N898" s="301" t="s">
        <v>4748</v>
      </c>
      <c r="O898" s="301" t="s">
        <v>4748</v>
      </c>
      <c r="P898" s="301" t="s">
        <v>4749</v>
      </c>
      <c r="Q898" s="301" t="s">
        <v>4749</v>
      </c>
      <c r="R898" s="301" t="s">
        <v>4749</v>
      </c>
      <c r="S898" s="301" t="s">
        <v>4750</v>
      </c>
      <c r="T898" s="301" t="s">
        <v>4750</v>
      </c>
      <c r="U898" s="301" t="s">
        <v>4750</v>
      </c>
      <c r="V898" s="301" t="s">
        <v>4750</v>
      </c>
      <c r="W898" s="298" t="s">
        <v>315</v>
      </c>
      <c r="X898" s="298" t="s">
        <v>569</v>
      </c>
    </row>
    <row r="899">
      <c r="A899" s="295" t="s">
        <v>4751</v>
      </c>
      <c r="B899" s="298">
        <v>1.0</v>
      </c>
      <c r="C899" s="298" t="s">
        <v>522</v>
      </c>
      <c r="D899" s="298" t="s">
        <v>421</v>
      </c>
      <c r="E899" s="298" t="s">
        <v>311</v>
      </c>
      <c r="F899" s="484" t="str">
        <f>'Character Sheet'!$K$9</f>
        <v/>
      </c>
      <c r="G899" s="298" t="s">
        <v>493</v>
      </c>
      <c r="H899" s="298" t="s">
        <v>295</v>
      </c>
      <c r="I899" s="298" t="s">
        <v>952</v>
      </c>
      <c r="J899" s="298" t="s">
        <v>315</v>
      </c>
      <c r="K899" s="298" t="s">
        <v>298</v>
      </c>
      <c r="L899" s="298" t="s">
        <v>4524</v>
      </c>
      <c r="M899" s="301" t="s">
        <v>4752</v>
      </c>
      <c r="N899" s="301" t="s">
        <v>4752</v>
      </c>
      <c r="O899" s="301" t="s">
        <v>4752</v>
      </c>
      <c r="P899" s="301" t="s">
        <v>4752</v>
      </c>
      <c r="Q899" s="301" t="s">
        <v>4752</v>
      </c>
      <c r="R899" s="301" t="s">
        <v>4752</v>
      </c>
      <c r="S899" s="301" t="s">
        <v>4752</v>
      </c>
      <c r="T899" s="301" t="s">
        <v>4752</v>
      </c>
      <c r="U899" s="301" t="s">
        <v>4752</v>
      </c>
      <c r="V899" s="301" t="s">
        <v>4752</v>
      </c>
      <c r="W899" s="298" t="s">
        <v>315</v>
      </c>
      <c r="X899" s="298" t="s">
        <v>678</v>
      </c>
    </row>
    <row r="900">
      <c r="A900" s="295" t="s">
        <v>4753</v>
      </c>
      <c r="B900" s="298">
        <v>1.0</v>
      </c>
      <c r="C900" s="298" t="s">
        <v>522</v>
      </c>
      <c r="D900" s="298" t="s">
        <v>334</v>
      </c>
      <c r="E900" s="298" t="s">
        <v>290</v>
      </c>
      <c r="F900" s="484" t="str">
        <f>'Character Sheet'!$C$9</f>
        <v/>
      </c>
      <c r="G900" s="298" t="s">
        <v>294</v>
      </c>
      <c r="H900" s="298" t="s">
        <v>324</v>
      </c>
      <c r="I900" s="298" t="s">
        <v>324</v>
      </c>
      <c r="J900" s="298" t="s">
        <v>315</v>
      </c>
      <c r="K900" s="298" t="s">
        <v>632</v>
      </c>
      <c r="L900" s="298" t="s">
        <v>4524</v>
      </c>
      <c r="M900" s="301" t="s">
        <v>4754</v>
      </c>
      <c r="N900" s="301" t="s">
        <v>4754</v>
      </c>
      <c r="O900" s="301" t="s">
        <v>4755</v>
      </c>
      <c r="P900" s="301" t="s">
        <v>4755</v>
      </c>
      <c r="Q900" s="301" t="s">
        <v>4756</v>
      </c>
      <c r="R900" s="301" t="s">
        <v>4756</v>
      </c>
      <c r="S900" s="301" t="s">
        <v>4757</v>
      </c>
      <c r="T900" s="301" t="s">
        <v>4757</v>
      </c>
      <c r="U900" s="301" t="s">
        <v>4758</v>
      </c>
      <c r="V900" s="301" t="s">
        <v>4758</v>
      </c>
      <c r="W900" s="298" t="s">
        <v>315</v>
      </c>
      <c r="X900" s="298" t="s">
        <v>306</v>
      </c>
    </row>
    <row r="901">
      <c r="A901" s="295" t="s">
        <v>4759</v>
      </c>
      <c r="B901" s="298">
        <v>1.0</v>
      </c>
      <c r="C901" s="298" t="s">
        <v>522</v>
      </c>
      <c r="D901" s="298" t="s">
        <v>334</v>
      </c>
      <c r="E901" s="298" t="s">
        <v>290</v>
      </c>
      <c r="F901" s="484" t="str">
        <f>'Character Sheet'!$C$9</f>
        <v/>
      </c>
      <c r="G901" s="298" t="s">
        <v>294</v>
      </c>
      <c r="H901" s="298" t="s">
        <v>335</v>
      </c>
      <c r="I901" s="298" t="s">
        <v>4760</v>
      </c>
      <c r="J901" s="298" t="s">
        <v>315</v>
      </c>
      <c r="K901" s="298" t="s">
        <v>325</v>
      </c>
      <c r="L901" s="298" t="s">
        <v>4524</v>
      </c>
      <c r="M901" s="301" t="s">
        <v>4761</v>
      </c>
      <c r="N901" s="301" t="s">
        <v>4762</v>
      </c>
      <c r="O901" s="301" t="s">
        <v>4763</v>
      </c>
      <c r="P901" s="301" t="s">
        <v>4764</v>
      </c>
      <c r="Q901" s="301" t="s">
        <v>4765</v>
      </c>
      <c r="R901" s="301" t="s">
        <v>4766</v>
      </c>
      <c r="S901" s="301" t="s">
        <v>4767</v>
      </c>
      <c r="T901" s="301" t="s">
        <v>4768</v>
      </c>
      <c r="U901" s="301" t="s">
        <v>4769</v>
      </c>
      <c r="V901" s="301" t="s">
        <v>4770</v>
      </c>
      <c r="W901" s="298" t="s">
        <v>315</v>
      </c>
      <c r="X901" s="298" t="s">
        <v>306</v>
      </c>
    </row>
    <row r="902">
      <c r="A902" s="295" t="s">
        <v>4771</v>
      </c>
      <c r="B902" s="298">
        <v>1.0</v>
      </c>
      <c r="C902" s="298" t="s">
        <v>522</v>
      </c>
      <c r="D902" s="298" t="s">
        <v>289</v>
      </c>
      <c r="E902" s="298" t="s">
        <v>311</v>
      </c>
      <c r="F902" s="484" t="str">
        <f>'Character Sheet'!$B$9</f>
        <v/>
      </c>
      <c r="G902" s="298" t="s">
        <v>493</v>
      </c>
      <c r="H902" s="298" t="s">
        <v>324</v>
      </c>
      <c r="I902" s="298" t="s">
        <v>324</v>
      </c>
      <c r="J902" s="298" t="s">
        <v>315</v>
      </c>
      <c r="K902" s="298" t="s">
        <v>632</v>
      </c>
      <c r="L902" s="298" t="s">
        <v>4524</v>
      </c>
      <c r="M902" s="301" t="s">
        <v>4772</v>
      </c>
      <c r="N902" s="301" t="s">
        <v>4772</v>
      </c>
      <c r="O902" s="301" t="s">
        <v>4772</v>
      </c>
      <c r="P902" s="301" t="s">
        <v>4772</v>
      </c>
      <c r="Q902" s="301" t="s">
        <v>4772</v>
      </c>
      <c r="R902" s="301" t="s">
        <v>4772</v>
      </c>
      <c r="S902" s="301" t="s">
        <v>4772</v>
      </c>
      <c r="T902" s="301" t="s">
        <v>4772</v>
      </c>
      <c r="U902" s="301" t="s">
        <v>4772</v>
      </c>
      <c r="V902" s="301" t="s">
        <v>4772</v>
      </c>
      <c r="W902" s="298" t="s">
        <v>315</v>
      </c>
      <c r="X902" s="298" t="s">
        <v>678</v>
      </c>
    </row>
    <row r="903">
      <c r="A903" s="295" t="s">
        <v>4773</v>
      </c>
      <c r="B903" s="298">
        <v>1.0</v>
      </c>
      <c r="C903" s="298" t="s">
        <v>522</v>
      </c>
      <c r="D903" s="298" t="s">
        <v>421</v>
      </c>
      <c r="E903" s="298" t="s">
        <v>290</v>
      </c>
      <c r="F903" s="484" t="str">
        <f>'Character Sheet'!$C$9</f>
        <v/>
      </c>
      <c r="G903" s="298" t="s">
        <v>294</v>
      </c>
      <c r="H903" s="298" t="s">
        <v>295</v>
      </c>
      <c r="I903" s="298" t="s">
        <v>952</v>
      </c>
      <c r="J903" s="298" t="s">
        <v>315</v>
      </c>
      <c r="K903" s="298" t="s">
        <v>632</v>
      </c>
      <c r="L903" s="298" t="s">
        <v>4524</v>
      </c>
      <c r="M903" s="301" t="s">
        <v>4774</v>
      </c>
      <c r="N903" s="301" t="s">
        <v>4774</v>
      </c>
      <c r="O903" s="301" t="s">
        <v>4774</v>
      </c>
      <c r="P903" s="301" t="s">
        <v>4775</v>
      </c>
      <c r="Q903" s="301" t="s">
        <v>4775</v>
      </c>
      <c r="R903" s="301" t="s">
        <v>4775</v>
      </c>
      <c r="S903" s="301" t="s">
        <v>4776</v>
      </c>
      <c r="T903" s="301" t="s">
        <v>4776</v>
      </c>
      <c r="U903" s="301" t="s">
        <v>4776</v>
      </c>
      <c r="V903" s="301" t="s">
        <v>4777</v>
      </c>
      <c r="W903" s="298" t="s">
        <v>315</v>
      </c>
      <c r="X903" s="298" t="s">
        <v>4778</v>
      </c>
    </row>
    <row r="904">
      <c r="A904" s="295" t="s">
        <v>4779</v>
      </c>
      <c r="B904" s="298">
        <v>1.0</v>
      </c>
      <c r="C904" s="298" t="s">
        <v>522</v>
      </c>
      <c r="D904" s="298" t="s">
        <v>334</v>
      </c>
      <c r="E904" s="298" t="s">
        <v>290</v>
      </c>
      <c r="F904" s="484" t="str">
        <f>'Character Sheet'!$C$9</f>
        <v/>
      </c>
      <c r="G904" s="298" t="s">
        <v>294</v>
      </c>
      <c r="H904" s="298" t="s">
        <v>360</v>
      </c>
      <c r="I904" s="298" t="s">
        <v>1413</v>
      </c>
      <c r="J904" s="298" t="s">
        <v>336</v>
      </c>
      <c r="K904" s="298" t="s">
        <v>632</v>
      </c>
      <c r="L904" s="298" t="s">
        <v>4524</v>
      </c>
      <c r="M904" s="301" t="s">
        <v>4780</v>
      </c>
      <c r="N904" s="301" t="s">
        <v>4780</v>
      </c>
      <c r="O904" s="301" t="s">
        <v>4781</v>
      </c>
      <c r="P904" s="301" t="s">
        <v>4781</v>
      </c>
      <c r="Q904" s="301" t="s">
        <v>4782</v>
      </c>
      <c r="R904" s="301" t="s">
        <v>4782</v>
      </c>
      <c r="S904" s="301" t="s">
        <v>4783</v>
      </c>
      <c r="T904" s="301" t="s">
        <v>4783</v>
      </c>
      <c r="U904" s="301" t="s">
        <v>4784</v>
      </c>
      <c r="V904" s="301" t="s">
        <v>4784</v>
      </c>
      <c r="W904" s="298" t="s">
        <v>315</v>
      </c>
      <c r="X904" s="298" t="s">
        <v>4785</v>
      </c>
    </row>
    <row r="905">
      <c r="A905" s="295" t="s">
        <v>4786</v>
      </c>
      <c r="B905" s="298">
        <v>1.0</v>
      </c>
      <c r="C905" s="298" t="s">
        <v>522</v>
      </c>
      <c r="D905" s="298" t="s">
        <v>289</v>
      </c>
      <c r="E905" s="298" t="s">
        <v>311</v>
      </c>
      <c r="F905" s="484" t="str">
        <f>'Character Sheet'!$B$9</f>
        <v/>
      </c>
      <c r="G905" s="298" t="s">
        <v>493</v>
      </c>
      <c r="H905" s="298" t="s">
        <v>1278</v>
      </c>
      <c r="I905" s="298" t="s">
        <v>296</v>
      </c>
      <c r="J905" s="298" t="s">
        <v>203</v>
      </c>
      <c r="K905" s="298" t="s">
        <v>298</v>
      </c>
      <c r="L905" s="298" t="s">
        <v>4524</v>
      </c>
      <c r="M905" s="301" t="s">
        <v>4787</v>
      </c>
      <c r="N905" s="301" t="s">
        <v>4787</v>
      </c>
      <c r="O905" s="301" t="s">
        <v>4787</v>
      </c>
      <c r="P905" s="301" t="s">
        <v>4787</v>
      </c>
      <c r="Q905" s="301" t="s">
        <v>4787</v>
      </c>
      <c r="R905" s="301" t="s">
        <v>4787</v>
      </c>
      <c r="S905" s="301" t="s">
        <v>4787</v>
      </c>
      <c r="T905" s="301" t="s">
        <v>4787</v>
      </c>
      <c r="U905" s="301" t="s">
        <v>4787</v>
      </c>
      <c r="V905" s="301" t="s">
        <v>4787</v>
      </c>
      <c r="W905" s="298" t="s">
        <v>315</v>
      </c>
      <c r="X905" s="298" t="s">
        <v>306</v>
      </c>
    </row>
    <row r="906">
      <c r="A906" s="295" t="s">
        <v>4788</v>
      </c>
      <c r="B906" s="298">
        <v>1.0</v>
      </c>
      <c r="C906" s="298" t="s">
        <v>522</v>
      </c>
      <c r="D906" s="298" t="s">
        <v>334</v>
      </c>
      <c r="E906" s="298" t="s">
        <v>290</v>
      </c>
      <c r="F906" s="484" t="str">
        <f>'Character Sheet'!$B$9</f>
        <v/>
      </c>
      <c r="G906" s="298" t="s">
        <v>493</v>
      </c>
      <c r="H906" s="298" t="s">
        <v>335</v>
      </c>
      <c r="I906" s="298" t="s">
        <v>4789</v>
      </c>
      <c r="J906" s="298" t="s">
        <v>315</v>
      </c>
      <c r="K906" s="298" t="s">
        <v>298</v>
      </c>
      <c r="L906" s="298" t="s">
        <v>4524</v>
      </c>
      <c r="M906" s="301" t="s">
        <v>4790</v>
      </c>
      <c r="N906" s="301" t="s">
        <v>4791</v>
      </c>
      <c r="O906" s="301" t="s">
        <v>4792</v>
      </c>
      <c r="P906" s="301" t="s">
        <v>4793</v>
      </c>
      <c r="Q906" s="301" t="s">
        <v>4794</v>
      </c>
      <c r="R906" s="301" t="s">
        <v>4795</v>
      </c>
      <c r="S906" s="301" t="s">
        <v>4796</v>
      </c>
      <c r="T906" s="301" t="s">
        <v>4797</v>
      </c>
      <c r="U906" s="301" t="s">
        <v>4798</v>
      </c>
      <c r="V906" s="301" t="s">
        <v>4799</v>
      </c>
      <c r="W906" s="298" t="s">
        <v>315</v>
      </c>
      <c r="X906" s="298" t="s">
        <v>306</v>
      </c>
    </row>
    <row r="907">
      <c r="A907" s="295" t="s">
        <v>4800</v>
      </c>
      <c r="B907" s="298">
        <v>1.0</v>
      </c>
      <c r="C907" s="298" t="s">
        <v>522</v>
      </c>
      <c r="D907" s="298" t="s">
        <v>334</v>
      </c>
      <c r="E907" s="298" t="s">
        <v>290</v>
      </c>
      <c r="F907" s="484" t="str">
        <f>'Character Sheet'!$B$9</f>
        <v/>
      </c>
      <c r="G907" s="298" t="s">
        <v>493</v>
      </c>
      <c r="H907" s="298" t="s">
        <v>335</v>
      </c>
      <c r="I907" s="298" t="s">
        <v>4801</v>
      </c>
      <c r="J907" s="298" t="s">
        <v>315</v>
      </c>
      <c r="K907" s="298" t="s">
        <v>298</v>
      </c>
      <c r="L907" s="298" t="s">
        <v>4524</v>
      </c>
      <c r="M907" s="301" t="s">
        <v>4802</v>
      </c>
      <c r="N907" s="301" t="s">
        <v>4803</v>
      </c>
      <c r="O907" s="301" t="s">
        <v>4804</v>
      </c>
      <c r="P907" s="301" t="s">
        <v>4805</v>
      </c>
      <c r="Q907" s="301" t="s">
        <v>4806</v>
      </c>
      <c r="R907" s="301" t="s">
        <v>4807</v>
      </c>
      <c r="S907" s="301" t="s">
        <v>4808</v>
      </c>
      <c r="T907" s="301" t="s">
        <v>4809</v>
      </c>
      <c r="U907" s="301" t="s">
        <v>4810</v>
      </c>
      <c r="V907" s="301" t="s">
        <v>4811</v>
      </c>
      <c r="W907" s="298" t="s">
        <v>315</v>
      </c>
      <c r="X907" s="298" t="s">
        <v>678</v>
      </c>
    </row>
    <row r="908">
      <c r="A908" s="295" t="s">
        <v>4812</v>
      </c>
      <c r="B908" s="298">
        <v>1.0</v>
      </c>
      <c r="C908" s="298" t="s">
        <v>522</v>
      </c>
      <c r="D908" s="298" t="s">
        <v>334</v>
      </c>
      <c r="E908" s="298" t="s">
        <v>290</v>
      </c>
      <c r="F908" s="484" t="str">
        <f>'Character Sheet'!$B$9</f>
        <v/>
      </c>
      <c r="G908" s="298" t="s">
        <v>477</v>
      </c>
      <c r="H908" s="298" t="s">
        <v>295</v>
      </c>
      <c r="I908" s="298" t="s">
        <v>4641</v>
      </c>
      <c r="J908" s="298" t="s">
        <v>315</v>
      </c>
      <c r="K908" s="298" t="s">
        <v>632</v>
      </c>
      <c r="L908" s="298" t="s">
        <v>4524</v>
      </c>
      <c r="M908" s="301" t="s">
        <v>4813</v>
      </c>
      <c r="N908" s="301" t="s">
        <v>4814</v>
      </c>
      <c r="O908" s="301" t="s">
        <v>4815</v>
      </c>
      <c r="P908" s="301" t="s">
        <v>4816</v>
      </c>
      <c r="Q908" s="301" t="s">
        <v>4817</v>
      </c>
      <c r="R908" s="301" t="s">
        <v>4818</v>
      </c>
      <c r="S908" s="301" t="s">
        <v>4819</v>
      </c>
      <c r="T908" s="301" t="s">
        <v>4820</v>
      </c>
      <c r="U908" s="301" t="s">
        <v>4821</v>
      </c>
      <c r="V908" s="301" t="s">
        <v>4822</v>
      </c>
      <c r="W908" s="298" t="s">
        <v>315</v>
      </c>
      <c r="X908" s="298" t="s">
        <v>306</v>
      </c>
    </row>
    <row r="909">
      <c r="A909" s="295" t="s">
        <v>4823</v>
      </c>
      <c r="B909" s="298">
        <v>1.0</v>
      </c>
      <c r="C909" s="298" t="s">
        <v>432</v>
      </c>
      <c r="D909" s="298" t="s">
        <v>359</v>
      </c>
      <c r="E909" s="298" t="s">
        <v>311</v>
      </c>
      <c r="F909" s="484" t="str">
        <f>'Character Sheet'!$C$9</f>
        <v/>
      </c>
      <c r="G909" s="298" t="s">
        <v>294</v>
      </c>
      <c r="H909" s="298" t="s">
        <v>295</v>
      </c>
      <c r="I909" s="298" t="s">
        <v>296</v>
      </c>
      <c r="J909" s="298" t="s">
        <v>192</v>
      </c>
      <c r="K909" s="298" t="s">
        <v>1174</v>
      </c>
      <c r="L909" s="298" t="s">
        <v>4524</v>
      </c>
      <c r="M909" s="301" t="s">
        <v>4824</v>
      </c>
      <c r="N909" s="301" t="s">
        <v>4824</v>
      </c>
      <c r="O909" s="301" t="s">
        <v>4824</v>
      </c>
      <c r="P909" s="301" t="s">
        <v>4824</v>
      </c>
      <c r="Q909" s="301" t="s">
        <v>4824</v>
      </c>
      <c r="R909" s="301" t="s">
        <v>4824</v>
      </c>
      <c r="S909" s="301" t="s">
        <v>4824</v>
      </c>
      <c r="T909" s="301" t="s">
        <v>4824</v>
      </c>
      <c r="U909" s="301" t="s">
        <v>4824</v>
      </c>
      <c r="V909" s="301" t="s">
        <v>4824</v>
      </c>
      <c r="W909" s="298" t="s">
        <v>315</v>
      </c>
      <c r="X909" s="298" t="s">
        <v>569</v>
      </c>
    </row>
    <row r="910">
      <c r="A910" s="295" t="s">
        <v>4825</v>
      </c>
      <c r="B910" s="298">
        <v>1.0</v>
      </c>
      <c r="C910" s="298" t="s">
        <v>522</v>
      </c>
      <c r="D910" s="298" t="s">
        <v>289</v>
      </c>
      <c r="E910" s="298" t="s">
        <v>290</v>
      </c>
      <c r="F910" s="484" t="str">
        <f>'Character Sheet'!$B$9</f>
        <v/>
      </c>
      <c r="G910" s="298" t="s">
        <v>493</v>
      </c>
      <c r="H910" s="298" t="s">
        <v>360</v>
      </c>
      <c r="I910" s="298" t="s">
        <v>296</v>
      </c>
      <c r="J910" s="298" t="s">
        <v>203</v>
      </c>
      <c r="K910" s="298" t="s">
        <v>298</v>
      </c>
      <c r="L910" s="298" t="s">
        <v>4524</v>
      </c>
      <c r="M910" s="301" t="s">
        <v>4826</v>
      </c>
      <c r="N910" s="301" t="s">
        <v>4827</v>
      </c>
      <c r="O910" s="301" t="s">
        <v>4828</v>
      </c>
      <c r="P910" s="301" t="s">
        <v>4829</v>
      </c>
      <c r="Q910" s="301" t="s">
        <v>4830</v>
      </c>
      <c r="R910" s="301" t="s">
        <v>4831</v>
      </c>
      <c r="S910" s="301" t="s">
        <v>4832</v>
      </c>
      <c r="T910" s="301" t="s">
        <v>4833</v>
      </c>
      <c r="U910" s="301" t="s">
        <v>4834</v>
      </c>
      <c r="V910" s="301" t="s">
        <v>4835</v>
      </c>
      <c r="W910" s="298" t="s">
        <v>315</v>
      </c>
      <c r="X910" s="298" t="s">
        <v>306</v>
      </c>
    </row>
    <row r="911">
      <c r="A911" s="295" t="s">
        <v>4836</v>
      </c>
      <c r="B911" s="298">
        <v>1.0</v>
      </c>
      <c r="C911" s="298" t="s">
        <v>522</v>
      </c>
      <c r="D911" s="298" t="s">
        <v>334</v>
      </c>
      <c r="E911" s="298" t="s">
        <v>290</v>
      </c>
      <c r="F911" s="484" t="str">
        <f>'Character Sheet'!$C$9</f>
        <v/>
      </c>
      <c r="G911" s="298" t="s">
        <v>294</v>
      </c>
      <c r="H911" s="298" t="s">
        <v>295</v>
      </c>
      <c r="I911" s="298" t="s">
        <v>4837</v>
      </c>
      <c r="J911" s="298" t="s">
        <v>315</v>
      </c>
      <c r="K911" s="298" t="s">
        <v>4838</v>
      </c>
      <c r="L911" s="298" t="s">
        <v>4524</v>
      </c>
      <c r="M911" s="301" t="s">
        <v>4839</v>
      </c>
      <c r="N911" s="301" t="s">
        <v>4840</v>
      </c>
      <c r="O911" s="301" t="s">
        <v>4841</v>
      </c>
      <c r="P911" s="301" t="s">
        <v>4842</v>
      </c>
      <c r="Q911" s="301" t="s">
        <v>4843</v>
      </c>
      <c r="R911" s="301" t="s">
        <v>4844</v>
      </c>
      <c r="S911" s="301" t="s">
        <v>4845</v>
      </c>
      <c r="T911" s="301" t="s">
        <v>4846</v>
      </c>
      <c r="U911" s="301" t="s">
        <v>4847</v>
      </c>
      <c r="V911" s="301" t="s">
        <v>4848</v>
      </c>
      <c r="W911" s="298" t="s">
        <v>315</v>
      </c>
      <c r="X911" s="298" t="s">
        <v>678</v>
      </c>
    </row>
    <row r="912">
      <c r="A912" s="295" t="s">
        <v>4849</v>
      </c>
      <c r="B912" s="298">
        <v>1.0</v>
      </c>
      <c r="C912" s="298" t="s">
        <v>288</v>
      </c>
      <c r="D912" s="298" t="s">
        <v>310</v>
      </c>
      <c r="E912" s="298" t="s">
        <v>290</v>
      </c>
      <c r="F912" s="484" t="str">
        <f>'Character Sheet'!$C$9</f>
        <v/>
      </c>
      <c r="G912" s="298" t="s">
        <v>294</v>
      </c>
      <c r="H912" s="298" t="s">
        <v>295</v>
      </c>
      <c r="I912" s="298" t="s">
        <v>296</v>
      </c>
      <c r="J912" s="298" t="s">
        <v>192</v>
      </c>
      <c r="K912" s="298" t="s">
        <v>1174</v>
      </c>
      <c r="L912" s="298" t="s">
        <v>4524</v>
      </c>
      <c r="M912" s="301" t="s">
        <v>4850</v>
      </c>
      <c r="N912" s="301" t="s">
        <v>4850</v>
      </c>
      <c r="O912" s="301" t="s">
        <v>4851</v>
      </c>
      <c r="P912" s="301" t="s">
        <v>4851</v>
      </c>
      <c r="Q912" s="301" t="s">
        <v>4851</v>
      </c>
      <c r="R912" s="301" t="s">
        <v>4852</v>
      </c>
      <c r="S912" s="301" t="s">
        <v>4852</v>
      </c>
      <c r="T912" s="301" t="s">
        <v>4852</v>
      </c>
      <c r="U912" s="301" t="s">
        <v>4852</v>
      </c>
      <c r="V912" s="301" t="s">
        <v>4852</v>
      </c>
      <c r="W912" s="298" t="s">
        <v>315</v>
      </c>
      <c r="X912" s="298" t="s">
        <v>966</v>
      </c>
    </row>
    <row r="913">
      <c r="A913" s="295" t="s">
        <v>4853</v>
      </c>
      <c r="B913" s="298">
        <v>1.0</v>
      </c>
      <c r="C913" s="298" t="s">
        <v>522</v>
      </c>
      <c r="D913" s="298" t="s">
        <v>289</v>
      </c>
      <c r="E913" s="298" t="s">
        <v>290</v>
      </c>
      <c r="F913" s="484" t="str">
        <f>'Character Sheet'!$C$9</f>
        <v/>
      </c>
      <c r="G913" s="298" t="s">
        <v>294</v>
      </c>
      <c r="H913" s="298" t="s">
        <v>324</v>
      </c>
      <c r="I913" s="298" t="s">
        <v>2607</v>
      </c>
      <c r="J913" s="298" t="s">
        <v>315</v>
      </c>
      <c r="K913" s="298" t="s">
        <v>632</v>
      </c>
      <c r="L913" s="298" t="s">
        <v>4524</v>
      </c>
      <c r="M913" s="301" t="s">
        <v>4854</v>
      </c>
      <c r="N913" s="301" t="s">
        <v>4854</v>
      </c>
      <c r="O913" s="301" t="s">
        <v>4855</v>
      </c>
      <c r="P913" s="301" t="s">
        <v>4855</v>
      </c>
      <c r="Q913" s="301" t="s">
        <v>4856</v>
      </c>
      <c r="R913" s="301" t="s">
        <v>4856</v>
      </c>
      <c r="S913" s="301" t="s">
        <v>4857</v>
      </c>
      <c r="T913" s="301" t="s">
        <v>4857</v>
      </c>
      <c r="U913" s="301" t="s">
        <v>4858</v>
      </c>
      <c r="V913" s="301" t="s">
        <v>4858</v>
      </c>
      <c r="W913" s="298" t="s">
        <v>315</v>
      </c>
      <c r="X913" s="298" t="s">
        <v>678</v>
      </c>
    </row>
    <row r="914">
      <c r="A914" s="295" t="s">
        <v>4859</v>
      </c>
      <c r="B914" s="298">
        <v>1.0</v>
      </c>
      <c r="C914" s="298" t="s">
        <v>522</v>
      </c>
      <c r="D914" s="298" t="s">
        <v>334</v>
      </c>
      <c r="E914" s="298" t="s">
        <v>311</v>
      </c>
      <c r="F914" s="484" t="str">
        <f>'Character Sheet'!$B$9</f>
        <v/>
      </c>
      <c r="G914" s="298" t="s">
        <v>477</v>
      </c>
      <c r="H914" s="298" t="s">
        <v>295</v>
      </c>
      <c r="I914" s="298" t="s">
        <v>296</v>
      </c>
      <c r="J914" s="298" t="s">
        <v>192</v>
      </c>
      <c r="K914" s="298" t="s">
        <v>632</v>
      </c>
      <c r="L914" s="298" t="s">
        <v>4524</v>
      </c>
      <c r="M914" s="301" t="s">
        <v>4860</v>
      </c>
      <c r="N914" s="301" t="s">
        <v>4860</v>
      </c>
      <c r="O914" s="301" t="s">
        <v>4860</v>
      </c>
      <c r="P914" s="301" t="s">
        <v>4860</v>
      </c>
      <c r="Q914" s="301" t="s">
        <v>4860</v>
      </c>
      <c r="R914" s="301" t="s">
        <v>4860</v>
      </c>
      <c r="S914" s="301" t="s">
        <v>4860</v>
      </c>
      <c r="T914" s="301" t="s">
        <v>4860</v>
      </c>
      <c r="U914" s="301" t="s">
        <v>4860</v>
      </c>
      <c r="V914" s="301" t="s">
        <v>4860</v>
      </c>
      <c r="W914" s="298" t="s">
        <v>315</v>
      </c>
      <c r="X914" s="298" t="s">
        <v>306</v>
      </c>
    </row>
    <row r="915">
      <c r="A915" s="295" t="s">
        <v>4861</v>
      </c>
      <c r="B915" s="298">
        <v>1.0</v>
      </c>
      <c r="C915" s="298" t="s">
        <v>522</v>
      </c>
      <c r="D915" s="298" t="s">
        <v>462</v>
      </c>
      <c r="E915" s="298" t="s">
        <v>311</v>
      </c>
      <c r="F915" s="484" t="str">
        <f>'Character Sheet'!$B$9</f>
        <v/>
      </c>
      <c r="G915" s="298" t="s">
        <v>477</v>
      </c>
      <c r="H915" s="298" t="s">
        <v>324</v>
      </c>
      <c r="I915" s="298" t="s">
        <v>324</v>
      </c>
      <c r="J915" s="298" t="s">
        <v>315</v>
      </c>
      <c r="K915" s="298" t="s">
        <v>298</v>
      </c>
      <c r="L915" s="298" t="s">
        <v>4524</v>
      </c>
      <c r="M915" s="301" t="s">
        <v>4862</v>
      </c>
      <c r="N915" s="301" t="s">
        <v>4862</v>
      </c>
      <c r="O915" s="301" t="s">
        <v>4862</v>
      </c>
      <c r="P915" s="301" t="s">
        <v>4862</v>
      </c>
      <c r="Q915" s="301" t="s">
        <v>4862</v>
      </c>
      <c r="R915" s="301" t="s">
        <v>4862</v>
      </c>
      <c r="S915" s="301" t="s">
        <v>4862</v>
      </c>
      <c r="T915" s="301" t="s">
        <v>4862</v>
      </c>
      <c r="U915" s="301" t="s">
        <v>4862</v>
      </c>
      <c r="V915" s="301" t="s">
        <v>4862</v>
      </c>
      <c r="W915" s="298" t="s">
        <v>315</v>
      </c>
      <c r="X915" s="298" t="s">
        <v>306</v>
      </c>
    </row>
    <row r="916">
      <c r="A916" s="295" t="s">
        <v>4863</v>
      </c>
      <c r="B916" s="298">
        <v>1.0</v>
      </c>
      <c r="C916" s="298" t="s">
        <v>522</v>
      </c>
      <c r="D916" s="298" t="s">
        <v>462</v>
      </c>
      <c r="E916" s="298" t="s">
        <v>290</v>
      </c>
      <c r="F916" s="484" t="str">
        <f>'Character Sheet'!$B$9</f>
        <v/>
      </c>
      <c r="G916" s="298" t="s">
        <v>477</v>
      </c>
      <c r="H916" s="298" t="s">
        <v>324</v>
      </c>
      <c r="I916" s="298" t="s">
        <v>324</v>
      </c>
      <c r="J916" s="298" t="s">
        <v>315</v>
      </c>
      <c r="K916" s="298" t="s">
        <v>298</v>
      </c>
      <c r="L916" s="298" t="s">
        <v>4524</v>
      </c>
      <c r="M916" s="301" t="s">
        <v>4864</v>
      </c>
      <c r="N916" s="301" t="s">
        <v>4864</v>
      </c>
      <c r="O916" s="301" t="s">
        <v>4864</v>
      </c>
      <c r="P916" s="301" t="s">
        <v>4864</v>
      </c>
      <c r="Q916" s="301" t="s">
        <v>4865</v>
      </c>
      <c r="R916" s="301" t="s">
        <v>4865</v>
      </c>
      <c r="S916" s="301" t="s">
        <v>4865</v>
      </c>
      <c r="T916" s="301" t="s">
        <v>4865</v>
      </c>
      <c r="U916" s="301" t="s">
        <v>4866</v>
      </c>
      <c r="V916" s="301" t="s">
        <v>4866</v>
      </c>
      <c r="W916" s="298" t="s">
        <v>315</v>
      </c>
      <c r="X916" s="298" t="s">
        <v>306</v>
      </c>
    </row>
    <row r="917">
      <c r="A917" s="295" t="s">
        <v>4867</v>
      </c>
      <c r="B917" s="298">
        <v>1.0</v>
      </c>
      <c r="C917" s="298" t="s">
        <v>288</v>
      </c>
      <c r="D917" s="298" t="s">
        <v>359</v>
      </c>
      <c r="E917" s="298" t="s">
        <v>290</v>
      </c>
      <c r="F917" s="484" t="str">
        <f>'Character Sheet'!$C$9</f>
        <v/>
      </c>
      <c r="G917" s="298" t="s">
        <v>294</v>
      </c>
      <c r="H917" s="298" t="s">
        <v>324</v>
      </c>
      <c r="I917" s="298" t="s">
        <v>2051</v>
      </c>
      <c r="J917" s="298" t="s">
        <v>746</v>
      </c>
      <c r="K917" s="298" t="s">
        <v>298</v>
      </c>
      <c r="L917" s="298" t="s">
        <v>4524</v>
      </c>
      <c r="M917" s="301" t="s">
        <v>4868</v>
      </c>
      <c r="N917" s="301" t="s">
        <v>4869</v>
      </c>
      <c r="O917" s="301" t="s">
        <v>4870</v>
      </c>
      <c r="P917" s="301" t="s">
        <v>4871</v>
      </c>
      <c r="Q917" s="301" t="s">
        <v>4872</v>
      </c>
      <c r="R917" s="301" t="s">
        <v>4873</v>
      </c>
      <c r="S917" s="301" t="s">
        <v>4874</v>
      </c>
      <c r="T917" s="301" t="s">
        <v>4875</v>
      </c>
      <c r="U917" s="301" t="s">
        <v>4876</v>
      </c>
      <c r="V917" s="301" t="s">
        <v>4877</v>
      </c>
      <c r="W917" s="298" t="s">
        <v>315</v>
      </c>
      <c r="X917" s="298" t="s">
        <v>966</v>
      </c>
    </row>
    <row r="918">
      <c r="A918" s="295" t="s">
        <v>4878</v>
      </c>
      <c r="B918" s="298">
        <v>1.0</v>
      </c>
      <c r="C918" s="298" t="s">
        <v>522</v>
      </c>
      <c r="D918" s="298" t="s">
        <v>334</v>
      </c>
      <c r="E918" s="298" t="s">
        <v>290</v>
      </c>
      <c r="F918" s="484" t="str">
        <f>'Character Sheet'!$B$9</f>
        <v/>
      </c>
      <c r="G918" s="298" t="s">
        <v>493</v>
      </c>
      <c r="H918" s="298" t="s">
        <v>335</v>
      </c>
      <c r="I918" s="298" t="s">
        <v>296</v>
      </c>
      <c r="J918" s="298" t="s">
        <v>315</v>
      </c>
      <c r="K918" s="298" t="s">
        <v>298</v>
      </c>
      <c r="L918" s="298" t="s">
        <v>4524</v>
      </c>
      <c r="M918" s="301" t="s">
        <v>4879</v>
      </c>
      <c r="N918" s="301" t="s">
        <v>4880</v>
      </c>
      <c r="O918" s="301" t="s">
        <v>4881</v>
      </c>
      <c r="P918" s="301" t="s">
        <v>4882</v>
      </c>
      <c r="Q918" s="301" t="s">
        <v>4883</v>
      </c>
      <c r="R918" s="301" t="s">
        <v>4884</v>
      </c>
      <c r="S918" s="301" t="s">
        <v>4885</v>
      </c>
      <c r="T918" s="301" t="s">
        <v>4886</v>
      </c>
      <c r="U918" s="301" t="s">
        <v>4887</v>
      </c>
      <c r="V918" s="301" t="s">
        <v>4888</v>
      </c>
      <c r="W918" s="298" t="s">
        <v>315</v>
      </c>
      <c r="X918" s="298" t="s">
        <v>306</v>
      </c>
    </row>
    <row r="919">
      <c r="A919" s="295" t="s">
        <v>4889</v>
      </c>
      <c r="B919" s="298">
        <v>1.0</v>
      </c>
      <c r="C919" s="298" t="s">
        <v>522</v>
      </c>
      <c r="D919" s="298" t="s">
        <v>334</v>
      </c>
      <c r="E919" s="298" t="s">
        <v>311</v>
      </c>
      <c r="F919" s="484" t="str">
        <f>'Character Sheet'!$B$9</f>
        <v/>
      </c>
      <c r="G919" s="298" t="s">
        <v>493</v>
      </c>
      <c r="H919" s="298" t="s">
        <v>295</v>
      </c>
      <c r="I919" s="298" t="s">
        <v>296</v>
      </c>
      <c r="J919" s="298" t="s">
        <v>315</v>
      </c>
      <c r="K919" s="298" t="s">
        <v>1649</v>
      </c>
      <c r="L919" s="298" t="s">
        <v>4524</v>
      </c>
      <c r="M919" s="301" t="s">
        <v>4890</v>
      </c>
      <c r="N919" s="301" t="s">
        <v>4890</v>
      </c>
      <c r="O919" s="301" t="s">
        <v>4890</v>
      </c>
      <c r="P919" s="301" t="s">
        <v>4890</v>
      </c>
      <c r="Q919" s="301" t="s">
        <v>4890</v>
      </c>
      <c r="R919" s="301" t="s">
        <v>4890</v>
      </c>
      <c r="S919" s="301" t="s">
        <v>4890</v>
      </c>
      <c r="T919" s="301" t="s">
        <v>4890</v>
      </c>
      <c r="U919" s="301" t="s">
        <v>4890</v>
      </c>
      <c r="V919" s="301" t="s">
        <v>4890</v>
      </c>
      <c r="W919" s="298" t="s">
        <v>315</v>
      </c>
      <c r="X919" s="298" t="s">
        <v>678</v>
      </c>
    </row>
    <row r="920">
      <c r="A920" s="295" t="s">
        <v>4891</v>
      </c>
      <c r="B920" s="298">
        <v>1.0</v>
      </c>
      <c r="C920" s="298" t="s">
        <v>522</v>
      </c>
      <c r="D920" s="298" t="s">
        <v>334</v>
      </c>
      <c r="E920" s="298" t="s">
        <v>290</v>
      </c>
      <c r="F920" s="484" t="str">
        <f>'Character Sheet'!$B$9</f>
        <v/>
      </c>
      <c r="G920" s="298" t="s">
        <v>493</v>
      </c>
      <c r="H920" s="298" t="s">
        <v>295</v>
      </c>
      <c r="I920" s="298" t="s">
        <v>296</v>
      </c>
      <c r="J920" s="298" t="s">
        <v>315</v>
      </c>
      <c r="K920" s="298" t="s">
        <v>632</v>
      </c>
      <c r="L920" s="298" t="s">
        <v>4524</v>
      </c>
      <c r="M920" s="301" t="s">
        <v>4892</v>
      </c>
      <c r="N920" s="301" t="s">
        <v>4892</v>
      </c>
      <c r="O920" s="301" t="s">
        <v>4893</v>
      </c>
      <c r="P920" s="301" t="s">
        <v>4893</v>
      </c>
      <c r="Q920" s="301" t="s">
        <v>4893</v>
      </c>
      <c r="R920" s="301" t="s">
        <v>4894</v>
      </c>
      <c r="S920" s="301" t="s">
        <v>4894</v>
      </c>
      <c r="T920" s="301" t="s">
        <v>4894</v>
      </c>
      <c r="U920" s="301" t="s">
        <v>4895</v>
      </c>
      <c r="V920" s="301" t="s">
        <v>4895</v>
      </c>
      <c r="W920" s="298" t="s">
        <v>315</v>
      </c>
      <c r="X920" s="298" t="s">
        <v>678</v>
      </c>
    </row>
    <row r="921">
      <c r="A921" s="295" t="s">
        <v>4896</v>
      </c>
      <c r="B921" s="298">
        <v>1.0</v>
      </c>
      <c r="C921" s="298" t="s">
        <v>522</v>
      </c>
      <c r="D921" s="298" t="s">
        <v>321</v>
      </c>
      <c r="E921" s="298" t="s">
        <v>290</v>
      </c>
      <c r="F921" s="484" t="str">
        <f>'Character Sheet'!$C$9</f>
        <v/>
      </c>
      <c r="G921" s="298" t="s">
        <v>294</v>
      </c>
      <c r="H921" s="298" t="s">
        <v>324</v>
      </c>
      <c r="I921" s="298" t="s">
        <v>2304</v>
      </c>
      <c r="J921" s="298" t="s">
        <v>192</v>
      </c>
      <c r="K921" s="298" t="s">
        <v>1174</v>
      </c>
      <c r="L921" s="298" t="s">
        <v>4524</v>
      </c>
      <c r="M921" s="301" t="s">
        <v>4897</v>
      </c>
      <c r="N921" s="301" t="s">
        <v>4897</v>
      </c>
      <c r="O921" s="301" t="s">
        <v>4898</v>
      </c>
      <c r="P921" s="301" t="s">
        <v>4898</v>
      </c>
      <c r="Q921" s="301" t="s">
        <v>4899</v>
      </c>
      <c r="R921" s="301" t="s">
        <v>4899</v>
      </c>
      <c r="S921" s="301" t="s">
        <v>4900</v>
      </c>
      <c r="T921" s="301" t="s">
        <v>4900</v>
      </c>
      <c r="U921" s="301" t="s">
        <v>4901</v>
      </c>
      <c r="V921" s="301" t="s">
        <v>4901</v>
      </c>
      <c r="W921" s="298" t="s">
        <v>315</v>
      </c>
      <c r="X921" s="298" t="s">
        <v>3125</v>
      </c>
    </row>
    <row r="922">
      <c r="A922" s="295" t="s">
        <v>4902</v>
      </c>
      <c r="B922" s="298">
        <v>1.0</v>
      </c>
      <c r="C922" s="298" t="s">
        <v>522</v>
      </c>
      <c r="D922" s="298" t="s">
        <v>359</v>
      </c>
      <c r="E922" s="298" t="s">
        <v>311</v>
      </c>
      <c r="F922" s="484" t="str">
        <f>'Character Sheet'!$H$9</f>
        <v/>
      </c>
      <c r="G922" s="298" t="s">
        <v>477</v>
      </c>
      <c r="H922" s="298" t="s">
        <v>324</v>
      </c>
      <c r="I922" s="298" t="s">
        <v>324</v>
      </c>
      <c r="J922" s="298" t="s">
        <v>315</v>
      </c>
      <c r="K922" s="298" t="s">
        <v>298</v>
      </c>
      <c r="L922" s="298" t="s">
        <v>4524</v>
      </c>
      <c r="M922" s="301" t="s">
        <v>4903</v>
      </c>
      <c r="N922" s="301" t="s">
        <v>4903</v>
      </c>
      <c r="O922" s="301" t="s">
        <v>4903</v>
      </c>
      <c r="P922" s="301" t="s">
        <v>4903</v>
      </c>
      <c r="Q922" s="301" t="s">
        <v>4903</v>
      </c>
      <c r="R922" s="301" t="s">
        <v>4903</v>
      </c>
      <c r="S922" s="301" t="s">
        <v>4903</v>
      </c>
      <c r="T922" s="301" t="s">
        <v>4903</v>
      </c>
      <c r="U922" s="301" t="s">
        <v>4903</v>
      </c>
      <c r="V922" s="301" t="s">
        <v>4903</v>
      </c>
      <c r="W922" s="298" t="s">
        <v>315</v>
      </c>
      <c r="X922" s="298" t="s">
        <v>306</v>
      </c>
    </row>
    <row r="923">
      <c r="A923" s="295" t="s">
        <v>4904</v>
      </c>
      <c r="B923" s="298">
        <v>1.0</v>
      </c>
      <c r="C923" s="298" t="s">
        <v>522</v>
      </c>
      <c r="D923" s="298" t="s">
        <v>310</v>
      </c>
      <c r="E923" s="298" t="s">
        <v>311</v>
      </c>
      <c r="F923" s="484" t="str">
        <f>'Character Sheet'!$H$9</f>
        <v/>
      </c>
      <c r="G923" s="298" t="s">
        <v>493</v>
      </c>
      <c r="H923" s="298" t="s">
        <v>295</v>
      </c>
      <c r="I923" s="298" t="s">
        <v>296</v>
      </c>
      <c r="J923" s="298" t="s">
        <v>315</v>
      </c>
      <c r="K923" s="298" t="s">
        <v>298</v>
      </c>
      <c r="L923" s="298" t="s">
        <v>4524</v>
      </c>
      <c r="M923" s="301" t="s">
        <v>4905</v>
      </c>
      <c r="N923" s="301" t="s">
        <v>4905</v>
      </c>
      <c r="O923" s="301" t="s">
        <v>4905</v>
      </c>
      <c r="P923" s="301" t="s">
        <v>4905</v>
      </c>
      <c r="Q923" s="301" t="s">
        <v>4905</v>
      </c>
      <c r="R923" s="301" t="s">
        <v>4905</v>
      </c>
      <c r="S923" s="301" t="s">
        <v>4905</v>
      </c>
      <c r="T923" s="301" t="s">
        <v>4905</v>
      </c>
      <c r="U923" s="301" t="s">
        <v>4905</v>
      </c>
      <c r="V923" s="301" t="s">
        <v>4905</v>
      </c>
      <c r="W923" s="298" t="s">
        <v>315</v>
      </c>
      <c r="X923" s="298" t="s">
        <v>306</v>
      </c>
    </row>
    <row r="924">
      <c r="A924" s="295" t="s">
        <v>4906</v>
      </c>
      <c r="B924" s="298">
        <v>1.0</v>
      </c>
      <c r="C924" s="298" t="s">
        <v>522</v>
      </c>
      <c r="D924" s="298" t="s">
        <v>421</v>
      </c>
      <c r="E924" s="298" t="s">
        <v>311</v>
      </c>
      <c r="F924" s="484" t="str">
        <f>'Character Sheet'!$B$9</f>
        <v/>
      </c>
      <c r="G924" s="298" t="s">
        <v>493</v>
      </c>
      <c r="H924" s="298" t="s">
        <v>295</v>
      </c>
      <c r="I924" s="298" t="s">
        <v>4801</v>
      </c>
      <c r="J924" s="298" t="s">
        <v>315</v>
      </c>
      <c r="K924" s="298" t="s">
        <v>632</v>
      </c>
      <c r="L924" s="298" t="s">
        <v>4524</v>
      </c>
      <c r="M924" s="301" t="s">
        <v>4907</v>
      </c>
      <c r="N924" s="301" t="s">
        <v>4907</v>
      </c>
      <c r="O924" s="301" t="s">
        <v>4907</v>
      </c>
      <c r="P924" s="301" t="s">
        <v>4907</v>
      </c>
      <c r="Q924" s="301" t="s">
        <v>4907</v>
      </c>
      <c r="R924" s="301" t="s">
        <v>4907</v>
      </c>
      <c r="S924" s="301" t="s">
        <v>4907</v>
      </c>
      <c r="T924" s="301" t="s">
        <v>4907</v>
      </c>
      <c r="U924" s="301" t="s">
        <v>4907</v>
      </c>
      <c r="V924" s="301" t="s">
        <v>4907</v>
      </c>
      <c r="W924" s="298" t="s">
        <v>315</v>
      </c>
      <c r="X924" s="298" t="s">
        <v>678</v>
      </c>
    </row>
    <row r="925">
      <c r="A925" s="295" t="s">
        <v>4908</v>
      </c>
      <c r="B925" s="298">
        <v>1.0</v>
      </c>
      <c r="C925" s="298" t="s">
        <v>522</v>
      </c>
      <c r="D925" s="298" t="s">
        <v>359</v>
      </c>
      <c r="E925" s="298" t="s">
        <v>311</v>
      </c>
      <c r="F925" s="484" t="str">
        <f>'Character Sheet'!$B$9</f>
        <v/>
      </c>
      <c r="G925" s="298" t="s">
        <v>493</v>
      </c>
      <c r="H925" s="298" t="s">
        <v>335</v>
      </c>
      <c r="I925" s="298" t="s">
        <v>296</v>
      </c>
      <c r="J925" s="298" t="s">
        <v>315</v>
      </c>
      <c r="K925" s="298" t="s">
        <v>424</v>
      </c>
      <c r="L925" s="298" t="s">
        <v>4524</v>
      </c>
      <c r="M925" s="301" t="s">
        <v>4909</v>
      </c>
      <c r="N925" s="301" t="s">
        <v>4909</v>
      </c>
      <c r="O925" s="301" t="s">
        <v>4909</v>
      </c>
      <c r="P925" s="301" t="s">
        <v>4909</v>
      </c>
      <c r="Q925" s="301" t="s">
        <v>4909</v>
      </c>
      <c r="R925" s="301" t="s">
        <v>4909</v>
      </c>
      <c r="S925" s="301" t="s">
        <v>4909</v>
      </c>
      <c r="T925" s="301" t="s">
        <v>4909</v>
      </c>
      <c r="U925" s="301" t="s">
        <v>4909</v>
      </c>
      <c r="V925" s="301" t="s">
        <v>4909</v>
      </c>
      <c r="W925" s="298" t="s">
        <v>315</v>
      </c>
      <c r="X925" s="298" t="s">
        <v>306</v>
      </c>
    </row>
    <row r="926">
      <c r="A926" s="295" t="s">
        <v>4910</v>
      </c>
      <c r="B926" s="298">
        <v>1.0</v>
      </c>
      <c r="C926" s="298" t="s">
        <v>522</v>
      </c>
      <c r="D926" s="298" t="s">
        <v>289</v>
      </c>
      <c r="E926" s="298" t="s">
        <v>290</v>
      </c>
      <c r="F926" s="484" t="str">
        <f>'Character Sheet'!$C$9</f>
        <v/>
      </c>
      <c r="G926" s="298" t="s">
        <v>294</v>
      </c>
      <c r="H926" s="298" t="s">
        <v>352</v>
      </c>
      <c r="I926" s="298" t="s">
        <v>296</v>
      </c>
      <c r="J926" s="298" t="s">
        <v>203</v>
      </c>
      <c r="K926" s="298" t="s">
        <v>298</v>
      </c>
      <c r="L926" s="298" t="s">
        <v>4524</v>
      </c>
      <c r="M926" s="301" t="s">
        <v>4911</v>
      </c>
      <c r="N926" s="301" t="s">
        <v>4912</v>
      </c>
      <c r="O926" s="301" t="s">
        <v>4913</v>
      </c>
      <c r="P926" s="301" t="s">
        <v>4914</v>
      </c>
      <c r="Q926" s="301" t="s">
        <v>4915</v>
      </c>
      <c r="R926" s="301" t="s">
        <v>4916</v>
      </c>
      <c r="S926" s="301" t="s">
        <v>4917</v>
      </c>
      <c r="T926" s="301" t="s">
        <v>4918</v>
      </c>
      <c r="U926" s="301" t="s">
        <v>4919</v>
      </c>
      <c r="V926" s="301" t="s">
        <v>4920</v>
      </c>
      <c r="W926" s="298" t="s">
        <v>315</v>
      </c>
      <c r="X926" s="298" t="s">
        <v>306</v>
      </c>
    </row>
    <row r="927">
      <c r="A927" s="295" t="s">
        <v>4921</v>
      </c>
      <c r="B927" s="298">
        <v>1.0</v>
      </c>
      <c r="C927" s="298" t="s">
        <v>522</v>
      </c>
      <c r="D927" s="298" t="s">
        <v>359</v>
      </c>
      <c r="E927" s="298" t="s">
        <v>290</v>
      </c>
      <c r="F927" s="484" t="str">
        <f>'Character Sheet'!$B$9</f>
        <v/>
      </c>
      <c r="G927" s="298" t="s">
        <v>493</v>
      </c>
      <c r="H927" s="298" t="s">
        <v>295</v>
      </c>
      <c r="I927" s="298" t="s">
        <v>296</v>
      </c>
      <c r="J927" s="298" t="s">
        <v>746</v>
      </c>
      <c r="K927" s="298" t="s">
        <v>424</v>
      </c>
      <c r="L927" s="298" t="s">
        <v>4524</v>
      </c>
      <c r="M927" s="301" t="s">
        <v>4922</v>
      </c>
      <c r="N927" s="301" t="s">
        <v>4923</v>
      </c>
      <c r="O927" s="301" t="s">
        <v>4924</v>
      </c>
      <c r="P927" s="301" t="s">
        <v>4925</v>
      </c>
      <c r="Q927" s="301" t="s">
        <v>4926</v>
      </c>
      <c r="R927" s="301" t="s">
        <v>4927</v>
      </c>
      <c r="S927" s="301" t="s">
        <v>4928</v>
      </c>
      <c r="T927" s="301" t="s">
        <v>4929</v>
      </c>
      <c r="U927" s="301" t="s">
        <v>4930</v>
      </c>
      <c r="V927" s="301" t="s">
        <v>4931</v>
      </c>
      <c r="W927" s="298" t="s">
        <v>315</v>
      </c>
      <c r="X927" s="298" t="s">
        <v>678</v>
      </c>
    </row>
    <row r="928">
      <c r="A928" s="295" t="s">
        <v>4932</v>
      </c>
      <c r="B928" s="298">
        <v>1.0</v>
      </c>
      <c r="C928" s="298" t="s">
        <v>522</v>
      </c>
      <c r="D928" s="298" t="s">
        <v>359</v>
      </c>
      <c r="E928" s="298" t="s">
        <v>290</v>
      </c>
      <c r="F928" s="484" t="str">
        <f>'Character Sheet'!$C$9</f>
        <v/>
      </c>
      <c r="G928" s="298" t="s">
        <v>294</v>
      </c>
      <c r="H928" s="298" t="s">
        <v>335</v>
      </c>
      <c r="I928" s="298" t="s">
        <v>324</v>
      </c>
      <c r="J928" s="298" t="s">
        <v>315</v>
      </c>
      <c r="K928" s="298" t="s">
        <v>632</v>
      </c>
      <c r="L928" s="298" t="s">
        <v>4524</v>
      </c>
      <c r="M928" s="301" t="s">
        <v>4933</v>
      </c>
      <c r="N928" s="301" t="s">
        <v>4933</v>
      </c>
      <c r="O928" s="301" t="s">
        <v>4933</v>
      </c>
      <c r="P928" s="301" t="s">
        <v>4934</v>
      </c>
      <c r="Q928" s="301" t="s">
        <v>4934</v>
      </c>
      <c r="R928" s="301" t="s">
        <v>4934</v>
      </c>
      <c r="S928" s="301" t="s">
        <v>4934</v>
      </c>
      <c r="T928" s="301" t="s">
        <v>4934</v>
      </c>
      <c r="U928" s="301" t="s">
        <v>4934</v>
      </c>
      <c r="V928" s="301" t="s">
        <v>4934</v>
      </c>
      <c r="W928" s="298" t="s">
        <v>315</v>
      </c>
      <c r="X928" s="298" t="s">
        <v>678</v>
      </c>
    </row>
    <row r="929">
      <c r="A929" s="295" t="s">
        <v>4935</v>
      </c>
      <c r="B929" s="298">
        <v>1.0</v>
      </c>
      <c r="C929" s="298" t="s">
        <v>288</v>
      </c>
      <c r="D929" s="298" t="s">
        <v>151</v>
      </c>
      <c r="E929" s="298" t="s">
        <v>290</v>
      </c>
      <c r="F929" s="484" t="str">
        <f>'Character Sheet'!$H$9</f>
        <v/>
      </c>
      <c r="G929" s="298" t="s">
        <v>477</v>
      </c>
      <c r="H929" s="298" t="s">
        <v>324</v>
      </c>
      <c r="I929" s="298" t="s">
        <v>324</v>
      </c>
      <c r="J929" s="298" t="s">
        <v>315</v>
      </c>
      <c r="K929" s="298" t="s">
        <v>675</v>
      </c>
      <c r="L929" s="298" t="s">
        <v>4524</v>
      </c>
      <c r="M929" s="301" t="s">
        <v>4936</v>
      </c>
      <c r="N929" s="301" t="s">
        <v>4936</v>
      </c>
      <c r="O929" s="301" t="s">
        <v>4937</v>
      </c>
      <c r="P929" s="301" t="s">
        <v>4937</v>
      </c>
      <c r="Q929" s="301" t="s">
        <v>4938</v>
      </c>
      <c r="R929" s="301" t="s">
        <v>4938</v>
      </c>
      <c r="S929" s="301" t="s">
        <v>4939</v>
      </c>
      <c r="T929" s="301" t="s">
        <v>4939</v>
      </c>
      <c r="U929" s="301" t="s">
        <v>4940</v>
      </c>
      <c r="V929" s="301" t="s">
        <v>4940</v>
      </c>
      <c r="W929" s="298" t="s">
        <v>315</v>
      </c>
      <c r="X929" s="298" t="s">
        <v>966</v>
      </c>
    </row>
    <row r="930">
      <c r="A930" s="295" t="s">
        <v>4941</v>
      </c>
      <c r="B930" s="298">
        <v>1.0</v>
      </c>
      <c r="C930" s="298" t="s">
        <v>288</v>
      </c>
      <c r="D930" s="298" t="s">
        <v>310</v>
      </c>
      <c r="E930" s="298" t="s">
        <v>290</v>
      </c>
      <c r="F930" s="484" t="str">
        <f>'Character Sheet'!$C$9</f>
        <v/>
      </c>
      <c r="G930" s="298" t="s">
        <v>294</v>
      </c>
      <c r="H930" s="298" t="s">
        <v>335</v>
      </c>
      <c r="I930" s="298" t="s">
        <v>435</v>
      </c>
      <c r="J930" s="298" t="s">
        <v>315</v>
      </c>
      <c r="K930" s="298" t="s">
        <v>632</v>
      </c>
      <c r="L930" s="298" t="s">
        <v>4524</v>
      </c>
      <c r="M930" s="301" t="s">
        <v>4942</v>
      </c>
      <c r="N930" s="301" t="s">
        <v>4942</v>
      </c>
      <c r="O930" s="301" t="s">
        <v>4942</v>
      </c>
      <c r="P930" s="301" t="s">
        <v>4942</v>
      </c>
      <c r="Q930" s="301" t="s">
        <v>4942</v>
      </c>
      <c r="R930" s="301" t="s">
        <v>4943</v>
      </c>
      <c r="S930" s="301" t="s">
        <v>4943</v>
      </c>
      <c r="T930" s="301" t="s">
        <v>4943</v>
      </c>
      <c r="U930" s="301" t="s">
        <v>4943</v>
      </c>
      <c r="V930" s="301" t="s">
        <v>4943</v>
      </c>
      <c r="W930" s="298" t="s">
        <v>315</v>
      </c>
      <c r="X930" s="298" t="s">
        <v>966</v>
      </c>
    </row>
    <row r="931">
      <c r="A931" s="295" t="s">
        <v>4944</v>
      </c>
      <c r="B931" s="298">
        <v>1.0</v>
      </c>
      <c r="C931" s="298" t="s">
        <v>522</v>
      </c>
      <c r="D931" s="298" t="s">
        <v>462</v>
      </c>
      <c r="E931" s="298" t="s">
        <v>311</v>
      </c>
      <c r="F931" s="484" t="str">
        <f>'Character Sheet'!$C$9</f>
        <v/>
      </c>
      <c r="G931" s="298" t="s">
        <v>294</v>
      </c>
      <c r="H931" s="298" t="s">
        <v>295</v>
      </c>
      <c r="I931" s="298" t="s">
        <v>2038</v>
      </c>
      <c r="J931" s="298" t="s">
        <v>173</v>
      </c>
      <c r="K931" s="298" t="s">
        <v>298</v>
      </c>
      <c r="L931" s="298" t="s">
        <v>4524</v>
      </c>
      <c r="M931" s="301" t="s">
        <v>4945</v>
      </c>
      <c r="N931" s="301" t="s">
        <v>4945</v>
      </c>
      <c r="O931" s="301" t="s">
        <v>4945</v>
      </c>
      <c r="P931" s="301" t="s">
        <v>4945</v>
      </c>
      <c r="Q931" s="301" t="s">
        <v>4945</v>
      </c>
      <c r="R931" s="301" t="s">
        <v>4945</v>
      </c>
      <c r="S931" s="301" t="s">
        <v>4945</v>
      </c>
      <c r="T931" s="301" t="s">
        <v>4945</v>
      </c>
      <c r="U931" s="301" t="s">
        <v>4945</v>
      </c>
      <c r="V931" s="301" t="s">
        <v>4945</v>
      </c>
      <c r="W931" s="298" t="s">
        <v>315</v>
      </c>
      <c r="X931" s="298" t="s">
        <v>306</v>
      </c>
    </row>
    <row r="932">
      <c r="A932" s="295" t="s">
        <v>4946</v>
      </c>
      <c r="B932" s="298">
        <v>1.0</v>
      </c>
      <c r="C932" s="298" t="s">
        <v>522</v>
      </c>
      <c r="D932" s="298" t="s">
        <v>289</v>
      </c>
      <c r="E932" s="298" t="s">
        <v>290</v>
      </c>
      <c r="F932" s="484" t="str">
        <f>'Character Sheet'!$C$9</f>
        <v/>
      </c>
      <c r="G932" s="298" t="s">
        <v>294</v>
      </c>
      <c r="H932" s="298" t="s">
        <v>360</v>
      </c>
      <c r="I932" s="298" t="s">
        <v>296</v>
      </c>
      <c r="J932" s="298" t="s">
        <v>173</v>
      </c>
      <c r="K932" s="298" t="s">
        <v>298</v>
      </c>
      <c r="L932" s="298" t="s">
        <v>4524</v>
      </c>
      <c r="M932" s="301" t="s">
        <v>4947</v>
      </c>
      <c r="N932" s="301" t="s">
        <v>4947</v>
      </c>
      <c r="O932" s="301" t="s">
        <v>4947</v>
      </c>
      <c r="P932" s="301" t="s">
        <v>4948</v>
      </c>
      <c r="Q932" s="301" t="s">
        <v>4948</v>
      </c>
      <c r="R932" s="301" t="s">
        <v>4948</v>
      </c>
      <c r="S932" s="301" t="s">
        <v>4948</v>
      </c>
      <c r="T932" s="301" t="s">
        <v>4948</v>
      </c>
      <c r="U932" s="301" t="s">
        <v>4948</v>
      </c>
      <c r="V932" s="301" t="s">
        <v>4948</v>
      </c>
      <c r="W932" s="298" t="s">
        <v>315</v>
      </c>
      <c r="X932" s="298" t="s">
        <v>966</v>
      </c>
    </row>
    <row r="933">
      <c r="A933" s="295" t="s">
        <v>4949</v>
      </c>
      <c r="B933" s="298">
        <v>1.0</v>
      </c>
      <c r="C933" s="298" t="s">
        <v>522</v>
      </c>
      <c r="D933" s="298" t="s">
        <v>421</v>
      </c>
      <c r="E933" s="298" t="s">
        <v>311</v>
      </c>
      <c r="F933" s="484" t="str">
        <f>'Character Sheet'!$B$9</f>
        <v/>
      </c>
      <c r="G933" s="298" t="s">
        <v>477</v>
      </c>
      <c r="H933" s="298" t="s">
        <v>324</v>
      </c>
      <c r="I933" s="298" t="s">
        <v>324</v>
      </c>
      <c r="J933" s="298" t="s">
        <v>315</v>
      </c>
      <c r="K933" s="298" t="s">
        <v>298</v>
      </c>
      <c r="L933" s="298" t="s">
        <v>4524</v>
      </c>
      <c r="M933" s="301" t="s">
        <v>4950</v>
      </c>
      <c r="N933" s="301" t="s">
        <v>4950</v>
      </c>
      <c r="O933" s="301" t="s">
        <v>4950</v>
      </c>
      <c r="P933" s="301" t="s">
        <v>4950</v>
      </c>
      <c r="Q933" s="301" t="s">
        <v>4950</v>
      </c>
      <c r="R933" s="301" t="s">
        <v>4950</v>
      </c>
      <c r="S933" s="301" t="s">
        <v>4950</v>
      </c>
      <c r="T933" s="301" t="s">
        <v>4950</v>
      </c>
      <c r="U933" s="301" t="s">
        <v>4950</v>
      </c>
      <c r="V933" s="301" t="s">
        <v>4950</v>
      </c>
      <c r="W933" s="298" t="s">
        <v>315</v>
      </c>
      <c r="X933" s="298" t="s">
        <v>306</v>
      </c>
    </row>
    <row r="934">
      <c r="A934" s="295" t="s">
        <v>4951</v>
      </c>
      <c r="B934" s="298">
        <v>1.0</v>
      </c>
      <c r="C934" s="298" t="s">
        <v>522</v>
      </c>
      <c r="D934" s="298" t="s">
        <v>421</v>
      </c>
      <c r="E934" s="298" t="s">
        <v>290</v>
      </c>
      <c r="F934" s="484" t="str">
        <f>'Character Sheet'!$K$9</f>
        <v/>
      </c>
      <c r="G934" s="298" t="s">
        <v>493</v>
      </c>
      <c r="H934" s="298" t="s">
        <v>360</v>
      </c>
      <c r="I934" s="298" t="s">
        <v>4952</v>
      </c>
      <c r="J934" s="298" t="s">
        <v>315</v>
      </c>
      <c r="K934" s="298" t="s">
        <v>298</v>
      </c>
      <c r="L934" s="298" t="s">
        <v>4524</v>
      </c>
      <c r="M934" s="301" t="s">
        <v>4953</v>
      </c>
      <c r="N934" s="301" t="s">
        <v>4954</v>
      </c>
      <c r="O934" s="301" t="s">
        <v>4955</v>
      </c>
      <c r="P934" s="301" t="s">
        <v>4956</v>
      </c>
      <c r="Q934" s="301" t="s">
        <v>4957</v>
      </c>
      <c r="R934" s="301" t="s">
        <v>4958</v>
      </c>
      <c r="S934" s="301" t="s">
        <v>4959</v>
      </c>
      <c r="T934" s="301" t="s">
        <v>4960</v>
      </c>
      <c r="U934" s="301" t="s">
        <v>4961</v>
      </c>
      <c r="V934" s="301" t="s">
        <v>4962</v>
      </c>
      <c r="W934" s="298" t="s">
        <v>315</v>
      </c>
      <c r="X934" s="298" t="s">
        <v>678</v>
      </c>
    </row>
    <row r="935">
      <c r="A935" s="295" t="s">
        <v>4963</v>
      </c>
      <c r="B935" s="298">
        <v>1.0</v>
      </c>
      <c r="C935" s="298" t="s">
        <v>522</v>
      </c>
      <c r="D935" s="298" t="s">
        <v>462</v>
      </c>
      <c r="E935" s="298" t="s">
        <v>311</v>
      </c>
      <c r="F935" s="484" t="str">
        <f>'Character Sheet'!$B$9</f>
        <v/>
      </c>
      <c r="G935" s="298" t="s">
        <v>477</v>
      </c>
      <c r="H935" s="298" t="s">
        <v>335</v>
      </c>
      <c r="I935" s="298" t="s">
        <v>2038</v>
      </c>
      <c r="J935" s="298" t="s">
        <v>315</v>
      </c>
      <c r="K935" s="298" t="s">
        <v>478</v>
      </c>
      <c r="L935" s="298" t="s">
        <v>4524</v>
      </c>
      <c r="M935" s="301" t="s">
        <v>4964</v>
      </c>
      <c r="N935" s="301" t="s">
        <v>4964</v>
      </c>
      <c r="O935" s="301" t="s">
        <v>4964</v>
      </c>
      <c r="P935" s="301" t="s">
        <v>4964</v>
      </c>
      <c r="Q935" s="301" t="s">
        <v>4964</v>
      </c>
      <c r="R935" s="301" t="s">
        <v>4964</v>
      </c>
      <c r="S935" s="301" t="s">
        <v>4964</v>
      </c>
      <c r="T935" s="301" t="s">
        <v>4964</v>
      </c>
      <c r="U935" s="301" t="s">
        <v>4964</v>
      </c>
      <c r="V935" s="301" t="s">
        <v>4964</v>
      </c>
      <c r="W935" s="298" t="s">
        <v>315</v>
      </c>
      <c r="X935" s="298" t="s">
        <v>306</v>
      </c>
    </row>
    <row r="936">
      <c r="A936" s="295" t="s">
        <v>4965</v>
      </c>
      <c r="B936" s="298">
        <v>1.0</v>
      </c>
      <c r="C936" s="298" t="s">
        <v>522</v>
      </c>
      <c r="D936" s="298" t="s">
        <v>310</v>
      </c>
      <c r="E936" s="298" t="s">
        <v>311</v>
      </c>
      <c r="F936" s="484" t="str">
        <f>'Character Sheet'!$K$9</f>
        <v/>
      </c>
      <c r="G936" s="298" t="s">
        <v>493</v>
      </c>
      <c r="H936" s="298" t="s">
        <v>295</v>
      </c>
      <c r="I936" s="298" t="s">
        <v>296</v>
      </c>
      <c r="J936" s="298" t="s">
        <v>315</v>
      </c>
      <c r="K936" s="298" t="s">
        <v>298</v>
      </c>
      <c r="L936" s="298" t="s">
        <v>4524</v>
      </c>
      <c r="M936" s="301" t="s">
        <v>4966</v>
      </c>
      <c r="N936" s="301" t="s">
        <v>4966</v>
      </c>
      <c r="O936" s="301" t="s">
        <v>4966</v>
      </c>
      <c r="P936" s="301" t="s">
        <v>4966</v>
      </c>
      <c r="Q936" s="301" t="s">
        <v>4966</v>
      </c>
      <c r="R936" s="301" t="s">
        <v>4966</v>
      </c>
      <c r="S936" s="301" t="s">
        <v>4966</v>
      </c>
      <c r="T936" s="301" t="s">
        <v>4966</v>
      </c>
      <c r="U936" s="301" t="s">
        <v>4966</v>
      </c>
      <c r="V936" s="301" t="s">
        <v>4966</v>
      </c>
      <c r="W936" s="298" t="s">
        <v>315</v>
      </c>
      <c r="X936" s="298" t="s">
        <v>4967</v>
      </c>
    </row>
    <row r="937">
      <c r="A937" s="295" t="s">
        <v>4968</v>
      </c>
      <c r="B937" s="298">
        <v>1.0</v>
      </c>
      <c r="C937" s="298" t="s">
        <v>522</v>
      </c>
      <c r="D937" s="298" t="s">
        <v>421</v>
      </c>
      <c r="E937" s="298" t="s">
        <v>311</v>
      </c>
      <c r="F937" s="484" t="str">
        <f>'Character Sheet'!$B$9</f>
        <v/>
      </c>
      <c r="G937" s="298" t="s">
        <v>493</v>
      </c>
      <c r="H937" s="298" t="s">
        <v>324</v>
      </c>
      <c r="I937" s="298" t="s">
        <v>2304</v>
      </c>
      <c r="J937" s="298" t="s">
        <v>315</v>
      </c>
      <c r="K937" s="298" t="s">
        <v>424</v>
      </c>
      <c r="L937" s="298" t="s">
        <v>4524</v>
      </c>
      <c r="M937" s="301" t="s">
        <v>4969</v>
      </c>
      <c r="N937" s="301" t="s">
        <v>4969</v>
      </c>
      <c r="O937" s="301" t="s">
        <v>4969</v>
      </c>
      <c r="P937" s="301" t="s">
        <v>4969</v>
      </c>
      <c r="Q937" s="301" t="s">
        <v>4969</v>
      </c>
      <c r="R937" s="301" t="s">
        <v>4969</v>
      </c>
      <c r="S937" s="301" t="s">
        <v>4969</v>
      </c>
      <c r="T937" s="301" t="s">
        <v>4969</v>
      </c>
      <c r="U937" s="301" t="s">
        <v>4969</v>
      </c>
      <c r="V937" s="301" t="s">
        <v>4969</v>
      </c>
      <c r="W937" s="298" t="s">
        <v>315</v>
      </c>
      <c r="X937" s="298" t="s">
        <v>306</v>
      </c>
    </row>
    <row r="938">
      <c r="A938" s="295" t="s">
        <v>4970</v>
      </c>
      <c r="B938" s="298">
        <v>1.0</v>
      </c>
      <c r="C938" s="298" t="s">
        <v>522</v>
      </c>
      <c r="D938" s="298" t="s">
        <v>421</v>
      </c>
      <c r="E938" s="298" t="s">
        <v>290</v>
      </c>
      <c r="F938" s="484" t="str">
        <f>'Character Sheet'!$K$9</f>
        <v/>
      </c>
      <c r="G938" s="298" t="s">
        <v>493</v>
      </c>
      <c r="H938" s="298" t="s">
        <v>295</v>
      </c>
      <c r="I938" s="298" t="s">
        <v>296</v>
      </c>
      <c r="J938" s="298" t="s">
        <v>315</v>
      </c>
      <c r="K938" s="298" t="s">
        <v>298</v>
      </c>
      <c r="L938" s="298" t="s">
        <v>4524</v>
      </c>
      <c r="M938" s="301" t="s">
        <v>4971</v>
      </c>
      <c r="N938" s="301" t="s">
        <v>4972</v>
      </c>
      <c r="O938" s="301" t="s">
        <v>4973</v>
      </c>
      <c r="P938" s="301" t="s">
        <v>4974</v>
      </c>
      <c r="Q938" s="301" t="s">
        <v>4975</v>
      </c>
      <c r="R938" s="301" t="s">
        <v>4976</v>
      </c>
      <c r="S938" s="301" t="s">
        <v>4977</v>
      </c>
      <c r="T938" s="301" t="s">
        <v>4978</v>
      </c>
      <c r="U938" s="301" t="s">
        <v>4979</v>
      </c>
      <c r="V938" s="301" t="s">
        <v>4980</v>
      </c>
      <c r="W938" s="298" t="s">
        <v>315</v>
      </c>
      <c r="X938" s="298" t="s">
        <v>306</v>
      </c>
    </row>
    <row r="939">
      <c r="A939" s="295" t="s">
        <v>4981</v>
      </c>
      <c r="B939" s="298">
        <v>1.0</v>
      </c>
      <c r="C939" s="298" t="s">
        <v>522</v>
      </c>
      <c r="D939" s="298" t="s">
        <v>151</v>
      </c>
      <c r="E939" s="298" t="s">
        <v>311</v>
      </c>
      <c r="F939" s="484" t="str">
        <f>'Character Sheet'!$C$9</f>
        <v/>
      </c>
      <c r="G939" s="298" t="s">
        <v>294</v>
      </c>
      <c r="H939" s="298" t="s">
        <v>1278</v>
      </c>
      <c r="I939" s="298" t="s">
        <v>296</v>
      </c>
      <c r="J939" s="298" t="s">
        <v>173</v>
      </c>
      <c r="K939" s="298" t="s">
        <v>298</v>
      </c>
      <c r="L939" s="298" t="s">
        <v>4524</v>
      </c>
      <c r="M939" s="301" t="s">
        <v>4982</v>
      </c>
      <c r="N939" s="301" t="s">
        <v>4982</v>
      </c>
      <c r="O939" s="301" t="s">
        <v>4982</v>
      </c>
      <c r="P939" s="301" t="s">
        <v>4982</v>
      </c>
      <c r="Q939" s="301" t="s">
        <v>4982</v>
      </c>
      <c r="R939" s="301" t="s">
        <v>4982</v>
      </c>
      <c r="S939" s="301" t="s">
        <v>4982</v>
      </c>
      <c r="T939" s="301" t="s">
        <v>4982</v>
      </c>
      <c r="U939" s="301" t="s">
        <v>4982</v>
      </c>
      <c r="V939" s="301" t="s">
        <v>4982</v>
      </c>
      <c r="W939" s="298" t="s">
        <v>315</v>
      </c>
      <c r="X939" s="298" t="s">
        <v>306</v>
      </c>
    </row>
    <row r="940">
      <c r="A940" s="295" t="s">
        <v>4983</v>
      </c>
      <c r="B940" s="298">
        <v>1.0</v>
      </c>
      <c r="C940" s="298" t="s">
        <v>522</v>
      </c>
      <c r="D940" s="298" t="s">
        <v>310</v>
      </c>
      <c r="E940" s="298" t="s">
        <v>311</v>
      </c>
      <c r="F940" s="298" t="s">
        <v>625</v>
      </c>
      <c r="G940" s="298" t="s">
        <v>674</v>
      </c>
      <c r="H940" s="298" t="s">
        <v>313</v>
      </c>
      <c r="I940" s="298" t="s">
        <v>296</v>
      </c>
      <c r="J940" s="298" t="s">
        <v>315</v>
      </c>
      <c r="K940" s="298" t="s">
        <v>298</v>
      </c>
      <c r="L940" s="298" t="s">
        <v>4524</v>
      </c>
      <c r="M940" s="301" t="s">
        <v>4984</v>
      </c>
      <c r="N940" s="301" t="s">
        <v>4984</v>
      </c>
      <c r="O940" s="301" t="s">
        <v>4984</v>
      </c>
      <c r="P940" s="301" t="s">
        <v>4984</v>
      </c>
      <c r="Q940" s="301" t="s">
        <v>4984</v>
      </c>
      <c r="R940" s="301" t="s">
        <v>4984</v>
      </c>
      <c r="S940" s="301" t="s">
        <v>4984</v>
      </c>
      <c r="T940" s="301" t="s">
        <v>4984</v>
      </c>
      <c r="U940" s="301" t="s">
        <v>4984</v>
      </c>
      <c r="V940" s="301" t="s">
        <v>4984</v>
      </c>
      <c r="W940" s="298" t="s">
        <v>315</v>
      </c>
      <c r="X940" s="298" t="s">
        <v>306</v>
      </c>
    </row>
    <row r="941">
      <c r="A941" s="295" t="s">
        <v>4985</v>
      </c>
      <c r="B941" s="298">
        <v>1.0</v>
      </c>
      <c r="C941" s="298" t="s">
        <v>288</v>
      </c>
      <c r="D941" s="298" t="s">
        <v>462</v>
      </c>
      <c r="E941" s="298" t="s">
        <v>290</v>
      </c>
      <c r="F941" s="484" t="str">
        <f>'Character Sheet'!$C$9</f>
        <v/>
      </c>
      <c r="G941" s="298" t="s">
        <v>294</v>
      </c>
      <c r="H941" s="298" t="s">
        <v>295</v>
      </c>
      <c r="I941" s="298" t="s">
        <v>4986</v>
      </c>
      <c r="J941" s="298" t="s">
        <v>315</v>
      </c>
      <c r="K941" s="298" t="s">
        <v>545</v>
      </c>
      <c r="L941" s="298" t="s">
        <v>4524</v>
      </c>
      <c r="M941" s="301" t="s">
        <v>4987</v>
      </c>
      <c r="N941" s="301" t="s">
        <v>4987</v>
      </c>
      <c r="O941" s="301" t="s">
        <v>4988</v>
      </c>
      <c r="P941" s="301" t="s">
        <v>4989</v>
      </c>
      <c r="Q941" s="301" t="s">
        <v>4989</v>
      </c>
      <c r="R941" s="301" t="s">
        <v>4989</v>
      </c>
      <c r="S941" s="301" t="s">
        <v>4989</v>
      </c>
      <c r="T941" s="301" t="s">
        <v>4989</v>
      </c>
      <c r="U941" s="301" t="s">
        <v>4989</v>
      </c>
      <c r="V941" s="301" t="s">
        <v>4989</v>
      </c>
      <c r="W941" s="298" t="s">
        <v>315</v>
      </c>
      <c r="X941" s="298" t="s">
        <v>966</v>
      </c>
    </row>
    <row r="942">
      <c r="A942" s="295" t="s">
        <v>4990</v>
      </c>
      <c r="B942" s="298">
        <v>1.0</v>
      </c>
      <c r="C942" s="298" t="s">
        <v>522</v>
      </c>
      <c r="D942" s="298" t="s">
        <v>334</v>
      </c>
      <c r="E942" s="298" t="s">
        <v>290</v>
      </c>
      <c r="F942" s="484" t="str">
        <f>'Character Sheet'!$C$9</f>
        <v/>
      </c>
      <c r="G942" s="298" t="s">
        <v>294</v>
      </c>
      <c r="H942" s="298" t="s">
        <v>324</v>
      </c>
      <c r="I942" s="298" t="s">
        <v>884</v>
      </c>
      <c r="J942" s="298" t="s">
        <v>4074</v>
      </c>
      <c r="K942" s="298" t="s">
        <v>298</v>
      </c>
      <c r="L942" s="298" t="s">
        <v>4524</v>
      </c>
      <c r="M942" s="301" t="s">
        <v>4991</v>
      </c>
      <c r="N942" s="301" t="s">
        <v>4992</v>
      </c>
      <c r="O942" s="301" t="s">
        <v>4993</v>
      </c>
      <c r="P942" s="301" t="s">
        <v>4994</v>
      </c>
      <c r="Q942" s="301" t="s">
        <v>4995</v>
      </c>
      <c r="R942" s="301" t="s">
        <v>4996</v>
      </c>
      <c r="S942" s="301" t="s">
        <v>4997</v>
      </c>
      <c r="T942" s="301" t="s">
        <v>4998</v>
      </c>
      <c r="U942" s="301" t="s">
        <v>4999</v>
      </c>
      <c r="V942" s="301" t="s">
        <v>5000</v>
      </c>
      <c r="W942" s="298" t="s">
        <v>315</v>
      </c>
      <c r="X942" s="298" t="s">
        <v>5001</v>
      </c>
    </row>
    <row r="943">
      <c r="A943" s="295" t="s">
        <v>5002</v>
      </c>
      <c r="B943" s="298">
        <v>1.0</v>
      </c>
      <c r="C943" s="298" t="s">
        <v>522</v>
      </c>
      <c r="D943" s="298" t="s">
        <v>151</v>
      </c>
      <c r="E943" s="298" t="s">
        <v>290</v>
      </c>
      <c r="F943" s="484" t="str">
        <f>'Character Sheet'!$B$9</f>
        <v/>
      </c>
      <c r="G943" s="298" t="s">
        <v>493</v>
      </c>
      <c r="H943" s="298" t="s">
        <v>295</v>
      </c>
      <c r="I943" s="298" t="s">
        <v>324</v>
      </c>
      <c r="J943" s="298" t="s">
        <v>315</v>
      </c>
      <c r="K943" s="298" t="s">
        <v>298</v>
      </c>
      <c r="L943" s="298" t="s">
        <v>4524</v>
      </c>
      <c r="M943" s="301" t="s">
        <v>5003</v>
      </c>
      <c r="N943" s="301" t="s">
        <v>5003</v>
      </c>
      <c r="O943" s="301" t="s">
        <v>5004</v>
      </c>
      <c r="P943" s="301" t="s">
        <v>5004</v>
      </c>
      <c r="Q943" s="301" t="s">
        <v>5005</v>
      </c>
      <c r="R943" s="301" t="s">
        <v>5005</v>
      </c>
      <c r="S943" s="301" t="s">
        <v>5006</v>
      </c>
      <c r="T943" s="301" t="s">
        <v>5006</v>
      </c>
      <c r="U943" s="301" t="s">
        <v>5007</v>
      </c>
      <c r="V943" s="301" t="s">
        <v>5007</v>
      </c>
      <c r="W943" s="298" t="s">
        <v>315</v>
      </c>
      <c r="X943" s="298" t="s">
        <v>318</v>
      </c>
    </row>
    <row r="944">
      <c r="A944" s="295" t="s">
        <v>5008</v>
      </c>
      <c r="B944" s="298">
        <v>1.0</v>
      </c>
      <c r="C944" s="298" t="s">
        <v>522</v>
      </c>
      <c r="D944" s="298" t="s">
        <v>359</v>
      </c>
      <c r="E944" s="298" t="s">
        <v>290</v>
      </c>
      <c r="F944" s="484" t="str">
        <f>'Character Sheet'!$B$9</f>
        <v/>
      </c>
      <c r="G944" s="298" t="s">
        <v>493</v>
      </c>
      <c r="H944" s="298" t="s">
        <v>335</v>
      </c>
      <c r="I944" s="298" t="s">
        <v>296</v>
      </c>
      <c r="J944" s="298" t="s">
        <v>192</v>
      </c>
      <c r="K944" s="298" t="s">
        <v>298</v>
      </c>
      <c r="L944" s="298" t="s">
        <v>4524</v>
      </c>
      <c r="M944" s="301" t="s">
        <v>5009</v>
      </c>
      <c r="N944" s="301" t="s">
        <v>5010</v>
      </c>
      <c r="O944" s="301" t="s">
        <v>5011</v>
      </c>
      <c r="P944" s="301" t="s">
        <v>5012</v>
      </c>
      <c r="Q944" s="301" t="s">
        <v>5013</v>
      </c>
      <c r="R944" s="301" t="s">
        <v>5014</v>
      </c>
      <c r="S944" s="301" t="s">
        <v>5015</v>
      </c>
      <c r="T944" s="301" t="s">
        <v>5016</v>
      </c>
      <c r="U944" s="301" t="s">
        <v>5017</v>
      </c>
      <c r="V944" s="301" t="s">
        <v>5018</v>
      </c>
      <c r="W944" s="298" t="s">
        <v>315</v>
      </c>
      <c r="X944" s="298" t="s">
        <v>306</v>
      </c>
    </row>
    <row r="945">
      <c r="A945" s="295" t="s">
        <v>5019</v>
      </c>
      <c r="B945" s="298">
        <v>1.0</v>
      </c>
      <c r="C945" s="298" t="s">
        <v>522</v>
      </c>
      <c r="D945" s="298" t="s">
        <v>310</v>
      </c>
      <c r="E945" s="298" t="s">
        <v>311</v>
      </c>
      <c r="F945" s="484" t="str">
        <f>'Character Sheet'!$K$9</f>
        <v/>
      </c>
      <c r="G945" s="298" t="s">
        <v>477</v>
      </c>
      <c r="H945" s="298" t="s">
        <v>324</v>
      </c>
      <c r="I945" s="298" t="s">
        <v>324</v>
      </c>
      <c r="J945" s="298" t="s">
        <v>315</v>
      </c>
      <c r="K945" s="298" t="s">
        <v>298</v>
      </c>
      <c r="L945" s="298" t="s">
        <v>4524</v>
      </c>
      <c r="M945" s="301" t="s">
        <v>5020</v>
      </c>
      <c r="N945" s="301" t="s">
        <v>5020</v>
      </c>
      <c r="O945" s="301" t="s">
        <v>5020</v>
      </c>
      <c r="P945" s="301" t="s">
        <v>5020</v>
      </c>
      <c r="Q945" s="301" t="s">
        <v>5020</v>
      </c>
      <c r="R945" s="301" t="s">
        <v>5020</v>
      </c>
      <c r="S945" s="301" t="s">
        <v>5020</v>
      </c>
      <c r="T945" s="301" t="s">
        <v>5020</v>
      </c>
      <c r="U945" s="301" t="s">
        <v>5020</v>
      </c>
      <c r="V945" s="301" t="s">
        <v>5020</v>
      </c>
      <c r="W945" s="298" t="s">
        <v>315</v>
      </c>
      <c r="X945" s="298" t="s">
        <v>306</v>
      </c>
    </row>
    <row r="946">
      <c r="A946" s="295" t="s">
        <v>5021</v>
      </c>
      <c r="B946" s="298">
        <v>1.0</v>
      </c>
      <c r="C946" s="298" t="s">
        <v>522</v>
      </c>
      <c r="D946" s="298" t="s">
        <v>310</v>
      </c>
      <c r="E946" s="298" t="s">
        <v>290</v>
      </c>
      <c r="F946" s="484" t="str">
        <f>'Character Sheet'!$C$9</f>
        <v/>
      </c>
      <c r="G946" s="298" t="s">
        <v>294</v>
      </c>
      <c r="H946" s="298" t="s">
        <v>324</v>
      </c>
      <c r="I946" s="298" t="s">
        <v>2304</v>
      </c>
      <c r="J946" s="298" t="s">
        <v>192</v>
      </c>
      <c r="K946" s="298" t="s">
        <v>632</v>
      </c>
      <c r="L946" s="298" t="s">
        <v>4524</v>
      </c>
      <c r="M946" s="301" t="s">
        <v>5022</v>
      </c>
      <c r="N946" s="301" t="s">
        <v>5022</v>
      </c>
      <c r="O946" s="301" t="s">
        <v>5023</v>
      </c>
      <c r="P946" s="301" t="s">
        <v>5023</v>
      </c>
      <c r="Q946" s="301" t="s">
        <v>5024</v>
      </c>
      <c r="R946" s="301" t="s">
        <v>5024</v>
      </c>
      <c r="S946" s="301" t="s">
        <v>5025</v>
      </c>
      <c r="T946" s="301" t="s">
        <v>5025</v>
      </c>
      <c r="U946" s="301" t="s">
        <v>5026</v>
      </c>
      <c r="V946" s="301" t="s">
        <v>5026</v>
      </c>
      <c r="W946" s="298" t="s">
        <v>315</v>
      </c>
      <c r="X946" s="298" t="s">
        <v>678</v>
      </c>
    </row>
    <row r="947">
      <c r="A947" s="295" t="s">
        <v>5027</v>
      </c>
      <c r="B947" s="298">
        <v>1.0</v>
      </c>
      <c r="C947" s="298" t="s">
        <v>288</v>
      </c>
      <c r="D947" s="298" t="s">
        <v>421</v>
      </c>
      <c r="E947" s="298" t="s">
        <v>311</v>
      </c>
      <c r="F947" s="484" t="str">
        <f>'Character Sheet'!$K$9</f>
        <v/>
      </c>
      <c r="G947" s="298" t="s">
        <v>493</v>
      </c>
      <c r="H947" s="298" t="s">
        <v>295</v>
      </c>
      <c r="I947" s="298" t="s">
        <v>780</v>
      </c>
      <c r="J947" s="298" t="s">
        <v>315</v>
      </c>
      <c r="K947" s="298" t="s">
        <v>298</v>
      </c>
      <c r="L947" s="298" t="s">
        <v>4524</v>
      </c>
      <c r="M947" s="301" t="s">
        <v>5028</v>
      </c>
      <c r="N947" s="301" t="s">
        <v>5028</v>
      </c>
      <c r="O947" s="301" t="s">
        <v>5028</v>
      </c>
      <c r="P947" s="301" t="s">
        <v>5028</v>
      </c>
      <c r="Q947" s="301" t="s">
        <v>5028</v>
      </c>
      <c r="R947" s="301" t="s">
        <v>5028</v>
      </c>
      <c r="S947" s="301" t="s">
        <v>5028</v>
      </c>
      <c r="T947" s="301" t="s">
        <v>5028</v>
      </c>
      <c r="U947" s="301" t="s">
        <v>5028</v>
      </c>
      <c r="V947" s="301" t="s">
        <v>5028</v>
      </c>
      <c r="W947" s="298" t="s">
        <v>315</v>
      </c>
      <c r="X947" s="298" t="s">
        <v>966</v>
      </c>
    </row>
    <row r="948">
      <c r="A948" s="295" t="s">
        <v>5029</v>
      </c>
      <c r="B948" s="298">
        <v>1.0</v>
      </c>
      <c r="C948" s="298" t="s">
        <v>522</v>
      </c>
      <c r="D948" s="298" t="s">
        <v>421</v>
      </c>
      <c r="E948" s="298" t="s">
        <v>311</v>
      </c>
      <c r="F948" s="484" t="str">
        <f>'Character Sheet'!$B$9</f>
        <v/>
      </c>
      <c r="G948" s="298" t="s">
        <v>493</v>
      </c>
      <c r="H948" s="298" t="s">
        <v>324</v>
      </c>
      <c r="I948" s="298" t="s">
        <v>324</v>
      </c>
      <c r="J948" s="298" t="s">
        <v>315</v>
      </c>
      <c r="K948" s="298" t="s">
        <v>298</v>
      </c>
      <c r="L948" s="298" t="s">
        <v>4524</v>
      </c>
      <c r="M948" s="301" t="s">
        <v>5030</v>
      </c>
      <c r="N948" s="301" t="s">
        <v>5030</v>
      </c>
      <c r="O948" s="301" t="s">
        <v>5030</v>
      </c>
      <c r="P948" s="301" t="s">
        <v>5030</v>
      </c>
      <c r="Q948" s="301" t="s">
        <v>5030</v>
      </c>
      <c r="R948" s="301" t="s">
        <v>5030</v>
      </c>
      <c r="S948" s="301" t="s">
        <v>5030</v>
      </c>
      <c r="T948" s="301" t="s">
        <v>5030</v>
      </c>
      <c r="U948" s="301" t="s">
        <v>5030</v>
      </c>
      <c r="V948" s="301" t="s">
        <v>5030</v>
      </c>
      <c r="W948" s="298" t="s">
        <v>315</v>
      </c>
      <c r="X948" s="298" t="s">
        <v>318</v>
      </c>
    </row>
    <row r="949">
      <c r="A949" s="295" t="s">
        <v>5031</v>
      </c>
      <c r="B949" s="298">
        <v>1.0</v>
      </c>
      <c r="C949" s="298" t="s">
        <v>522</v>
      </c>
      <c r="D949" s="298" t="s">
        <v>310</v>
      </c>
      <c r="E949" s="298" t="s">
        <v>311</v>
      </c>
      <c r="F949" s="484" t="str">
        <f>'Character Sheet'!$B$9</f>
        <v/>
      </c>
      <c r="G949" s="298" t="s">
        <v>477</v>
      </c>
      <c r="H949" s="298" t="s">
        <v>324</v>
      </c>
      <c r="I949" s="298" t="s">
        <v>324</v>
      </c>
      <c r="J949" s="298" t="s">
        <v>315</v>
      </c>
      <c r="K949" s="298" t="s">
        <v>298</v>
      </c>
      <c r="L949" s="298" t="s">
        <v>4524</v>
      </c>
      <c r="M949" s="301" t="s">
        <v>5032</v>
      </c>
      <c r="N949" s="301" t="s">
        <v>5032</v>
      </c>
      <c r="O949" s="301" t="s">
        <v>5032</v>
      </c>
      <c r="P949" s="301" t="s">
        <v>5032</v>
      </c>
      <c r="Q949" s="301" t="s">
        <v>5032</v>
      </c>
      <c r="R949" s="301" t="s">
        <v>5032</v>
      </c>
      <c r="S949" s="301" t="s">
        <v>5032</v>
      </c>
      <c r="T949" s="301" t="s">
        <v>5032</v>
      </c>
      <c r="U949" s="301" t="s">
        <v>5032</v>
      </c>
      <c r="V949" s="301" t="s">
        <v>5032</v>
      </c>
      <c r="W949" s="298" t="s">
        <v>315</v>
      </c>
      <c r="X949" s="298" t="s">
        <v>318</v>
      </c>
    </row>
    <row r="950">
      <c r="A950" s="295" t="s">
        <v>5033</v>
      </c>
      <c r="B950" s="298">
        <v>1.0</v>
      </c>
      <c r="C950" s="298" t="s">
        <v>522</v>
      </c>
      <c r="D950" s="298" t="s">
        <v>151</v>
      </c>
      <c r="E950" s="298" t="s">
        <v>290</v>
      </c>
      <c r="F950" s="484" t="str">
        <f>'Character Sheet'!$C$9</f>
        <v/>
      </c>
      <c r="G950" s="298" t="s">
        <v>294</v>
      </c>
      <c r="H950" s="298" t="s">
        <v>313</v>
      </c>
      <c r="I950" s="298" t="s">
        <v>5034</v>
      </c>
      <c r="J950" s="298" t="s">
        <v>315</v>
      </c>
      <c r="K950" s="298" t="s">
        <v>298</v>
      </c>
      <c r="L950" s="298" t="s">
        <v>4524</v>
      </c>
      <c r="M950" s="301" t="s">
        <v>5035</v>
      </c>
      <c r="N950" s="301" t="s">
        <v>5036</v>
      </c>
      <c r="O950" s="301" t="s">
        <v>5037</v>
      </c>
      <c r="P950" s="301" t="s">
        <v>5038</v>
      </c>
      <c r="Q950" s="301" t="s">
        <v>5039</v>
      </c>
      <c r="R950" s="301" t="s">
        <v>5040</v>
      </c>
      <c r="S950" s="301" t="s">
        <v>5041</v>
      </c>
      <c r="T950" s="301" t="s">
        <v>5042</v>
      </c>
      <c r="U950" s="301" t="s">
        <v>5043</v>
      </c>
      <c r="V950" s="301" t="s">
        <v>5044</v>
      </c>
      <c r="W950" s="298" t="s">
        <v>315</v>
      </c>
      <c r="X950" s="298" t="s">
        <v>678</v>
      </c>
    </row>
    <row r="951">
      <c r="A951" s="295" t="s">
        <v>5045</v>
      </c>
      <c r="B951" s="298">
        <v>1.0</v>
      </c>
      <c r="C951" s="298" t="s">
        <v>522</v>
      </c>
      <c r="D951" s="298" t="s">
        <v>359</v>
      </c>
      <c r="E951" s="298" t="s">
        <v>290</v>
      </c>
      <c r="F951" s="484" t="str">
        <f>'Character Sheet'!$B$9</f>
        <v/>
      </c>
      <c r="G951" s="298" t="s">
        <v>477</v>
      </c>
      <c r="H951" s="298" t="s">
        <v>295</v>
      </c>
      <c r="I951" s="298" t="s">
        <v>780</v>
      </c>
      <c r="J951" s="298" t="s">
        <v>315</v>
      </c>
      <c r="K951" s="298" t="s">
        <v>478</v>
      </c>
      <c r="L951" s="298" t="s">
        <v>4524</v>
      </c>
      <c r="M951" s="301" t="s">
        <v>5046</v>
      </c>
      <c r="N951" s="301" t="s">
        <v>5046</v>
      </c>
      <c r="O951" s="301" t="s">
        <v>5046</v>
      </c>
      <c r="P951" s="301" t="s">
        <v>5046</v>
      </c>
      <c r="Q951" s="301" t="s">
        <v>5047</v>
      </c>
      <c r="R951" s="301" t="s">
        <v>5047</v>
      </c>
      <c r="S951" s="301" t="s">
        <v>5047</v>
      </c>
      <c r="T951" s="301" t="s">
        <v>5047</v>
      </c>
      <c r="U951" s="301" t="s">
        <v>5047</v>
      </c>
      <c r="V951" s="301" t="s">
        <v>5047</v>
      </c>
      <c r="W951" s="298" t="s">
        <v>315</v>
      </c>
      <c r="X951" s="298" t="s">
        <v>306</v>
      </c>
    </row>
    <row r="952">
      <c r="A952" s="295" t="s">
        <v>5048</v>
      </c>
      <c r="B952" s="298">
        <v>1.0</v>
      </c>
      <c r="C952" s="298" t="s">
        <v>522</v>
      </c>
      <c r="D952" s="298" t="s">
        <v>334</v>
      </c>
      <c r="E952" s="298" t="s">
        <v>290</v>
      </c>
      <c r="F952" s="484" t="str">
        <f>'Character Sheet'!$B$9</f>
        <v/>
      </c>
      <c r="G952" s="298" t="s">
        <v>493</v>
      </c>
      <c r="H952" s="298" t="s">
        <v>295</v>
      </c>
      <c r="I952" s="298" t="s">
        <v>2038</v>
      </c>
      <c r="J952" s="298" t="s">
        <v>173</v>
      </c>
      <c r="K952" s="298" t="s">
        <v>298</v>
      </c>
      <c r="L952" s="298" t="s">
        <v>4524</v>
      </c>
      <c r="M952" s="301" t="s">
        <v>5049</v>
      </c>
      <c r="N952" s="301" t="s">
        <v>5050</v>
      </c>
      <c r="O952" s="301" t="s">
        <v>5051</v>
      </c>
      <c r="P952" s="301" t="s">
        <v>5052</v>
      </c>
      <c r="Q952" s="301" t="s">
        <v>5053</v>
      </c>
      <c r="R952" s="301" t="s">
        <v>5054</v>
      </c>
      <c r="S952" s="301" t="s">
        <v>5055</v>
      </c>
      <c r="T952" s="301" t="s">
        <v>5056</v>
      </c>
      <c r="U952" s="301" t="s">
        <v>5057</v>
      </c>
      <c r="V952" s="301" t="s">
        <v>5058</v>
      </c>
      <c r="W952" s="298" t="s">
        <v>315</v>
      </c>
      <c r="X952" s="298" t="s">
        <v>678</v>
      </c>
    </row>
    <row r="953">
      <c r="A953" s="295" t="s">
        <v>5059</v>
      </c>
      <c r="B953" s="298">
        <v>1.0</v>
      </c>
      <c r="C953" s="298" t="s">
        <v>522</v>
      </c>
      <c r="D953" s="298" t="s">
        <v>289</v>
      </c>
      <c r="E953" s="298" t="s">
        <v>311</v>
      </c>
      <c r="F953" s="484" t="str">
        <f>'Character Sheet'!$B$9</f>
        <v/>
      </c>
      <c r="G953" s="298" t="s">
        <v>477</v>
      </c>
      <c r="H953" s="298" t="s">
        <v>324</v>
      </c>
      <c r="I953" s="298" t="s">
        <v>324</v>
      </c>
      <c r="J953" s="298" t="s">
        <v>315</v>
      </c>
      <c r="K953" s="298" t="s">
        <v>298</v>
      </c>
      <c r="L953" s="298" t="s">
        <v>4524</v>
      </c>
      <c r="M953" s="301" t="s">
        <v>5060</v>
      </c>
      <c r="N953" s="301" t="s">
        <v>5060</v>
      </c>
      <c r="O953" s="301" t="s">
        <v>5060</v>
      </c>
      <c r="P953" s="301" t="s">
        <v>5060</v>
      </c>
      <c r="Q953" s="301" t="s">
        <v>5060</v>
      </c>
      <c r="R953" s="301" t="s">
        <v>5060</v>
      </c>
      <c r="S953" s="301" t="s">
        <v>5060</v>
      </c>
      <c r="T953" s="301" t="s">
        <v>5060</v>
      </c>
      <c r="U953" s="301" t="s">
        <v>5060</v>
      </c>
      <c r="V953" s="301" t="s">
        <v>5060</v>
      </c>
      <c r="W953" s="298" t="s">
        <v>315</v>
      </c>
      <c r="X953" s="298" t="s">
        <v>318</v>
      </c>
    </row>
    <row r="954">
      <c r="A954" s="295" t="s">
        <v>5061</v>
      </c>
      <c r="B954" s="298">
        <v>1.0</v>
      </c>
      <c r="C954" s="298" t="s">
        <v>522</v>
      </c>
      <c r="D954" s="298" t="s">
        <v>321</v>
      </c>
      <c r="E954" s="298" t="s">
        <v>311</v>
      </c>
      <c r="F954" s="484" t="str">
        <f>'Character Sheet'!$C$9</f>
        <v/>
      </c>
      <c r="G954" s="298" t="s">
        <v>294</v>
      </c>
      <c r="H954" s="298" t="s">
        <v>295</v>
      </c>
      <c r="I954" s="298" t="s">
        <v>955</v>
      </c>
      <c r="J954" s="298" t="s">
        <v>192</v>
      </c>
      <c r="K954" s="298" t="s">
        <v>1174</v>
      </c>
      <c r="L954" s="298" t="s">
        <v>4524</v>
      </c>
      <c r="M954" s="301" t="s">
        <v>5062</v>
      </c>
      <c r="N954" s="301" t="s">
        <v>5062</v>
      </c>
      <c r="O954" s="301" t="s">
        <v>5062</v>
      </c>
      <c r="P954" s="301" t="s">
        <v>5062</v>
      </c>
      <c r="Q954" s="301" t="s">
        <v>5062</v>
      </c>
      <c r="R954" s="301" t="s">
        <v>5062</v>
      </c>
      <c r="S954" s="301" t="s">
        <v>5062</v>
      </c>
      <c r="T954" s="301" t="s">
        <v>5062</v>
      </c>
      <c r="U954" s="301" t="s">
        <v>5062</v>
      </c>
      <c r="V954" s="301" t="s">
        <v>5062</v>
      </c>
      <c r="W954" s="298" t="s">
        <v>315</v>
      </c>
      <c r="X954" s="298" t="s">
        <v>306</v>
      </c>
    </row>
    <row r="955">
      <c r="A955" s="295" t="s">
        <v>5063</v>
      </c>
      <c r="B955" s="298">
        <v>1.0</v>
      </c>
      <c r="C955" s="298" t="s">
        <v>522</v>
      </c>
      <c r="D955" s="298" t="s">
        <v>462</v>
      </c>
      <c r="E955" s="298" t="s">
        <v>290</v>
      </c>
      <c r="F955" s="484" t="str">
        <f>'Character Sheet'!$K$9</f>
        <v/>
      </c>
      <c r="G955" s="298" t="s">
        <v>493</v>
      </c>
      <c r="H955" s="298" t="s">
        <v>295</v>
      </c>
      <c r="I955" s="298" t="s">
        <v>296</v>
      </c>
      <c r="J955" s="298" t="s">
        <v>173</v>
      </c>
      <c r="K955" s="298" t="s">
        <v>298</v>
      </c>
      <c r="L955" s="298" t="s">
        <v>4524</v>
      </c>
      <c r="M955" s="301" t="s">
        <v>5064</v>
      </c>
      <c r="N955" s="301" t="s">
        <v>5065</v>
      </c>
      <c r="O955" s="301" t="s">
        <v>5066</v>
      </c>
      <c r="P955" s="301" t="s">
        <v>5067</v>
      </c>
      <c r="Q955" s="301" t="s">
        <v>5068</v>
      </c>
      <c r="R955" s="301" t="s">
        <v>5069</v>
      </c>
      <c r="S955" s="301" t="s">
        <v>5070</v>
      </c>
      <c r="T955" s="301" t="s">
        <v>5071</v>
      </c>
      <c r="U955" s="301" t="s">
        <v>5072</v>
      </c>
      <c r="V955" s="301" t="s">
        <v>5073</v>
      </c>
      <c r="W955" s="298" t="s">
        <v>315</v>
      </c>
      <c r="X955" s="298" t="s">
        <v>5074</v>
      </c>
    </row>
    <row r="956">
      <c r="A956" s="295" t="s">
        <v>5075</v>
      </c>
      <c r="B956" s="298">
        <v>1.0</v>
      </c>
      <c r="C956" s="298" t="s">
        <v>522</v>
      </c>
      <c r="D956" s="298" t="s">
        <v>289</v>
      </c>
      <c r="E956" s="298" t="s">
        <v>290</v>
      </c>
      <c r="F956" s="484" t="str">
        <f>'Character Sheet'!$C$9</f>
        <v/>
      </c>
      <c r="G956" s="298" t="s">
        <v>294</v>
      </c>
      <c r="H956" s="298" t="s">
        <v>324</v>
      </c>
      <c r="I956" s="298" t="s">
        <v>884</v>
      </c>
      <c r="J956" s="298" t="s">
        <v>180</v>
      </c>
      <c r="K956" s="298" t="s">
        <v>1174</v>
      </c>
      <c r="L956" s="298" t="s">
        <v>4524</v>
      </c>
      <c r="M956" s="301" t="s">
        <v>5076</v>
      </c>
      <c r="N956" s="301" t="s">
        <v>5077</v>
      </c>
      <c r="O956" s="301" t="s">
        <v>5078</v>
      </c>
      <c r="P956" s="301" t="s">
        <v>5079</v>
      </c>
      <c r="Q956" s="301" t="s">
        <v>5080</v>
      </c>
      <c r="R956" s="301" t="s">
        <v>5081</v>
      </c>
      <c r="S956" s="301" t="s">
        <v>5082</v>
      </c>
      <c r="T956" s="301" t="s">
        <v>5083</v>
      </c>
      <c r="U956" s="301" t="s">
        <v>5084</v>
      </c>
      <c r="V956" s="301" t="s">
        <v>5085</v>
      </c>
      <c r="W956" s="298" t="s">
        <v>315</v>
      </c>
      <c r="X956" s="298" t="s">
        <v>678</v>
      </c>
    </row>
    <row r="957">
      <c r="A957" s="295" t="s">
        <v>5086</v>
      </c>
      <c r="B957" s="298">
        <v>1.0</v>
      </c>
      <c r="C957" s="298" t="s">
        <v>432</v>
      </c>
      <c r="D957" s="298" t="s">
        <v>421</v>
      </c>
      <c r="E957" s="298" t="s">
        <v>311</v>
      </c>
      <c r="F957" s="484" t="str">
        <f>'Character Sheet'!$B$9</f>
        <v/>
      </c>
      <c r="G957" s="298" t="s">
        <v>493</v>
      </c>
      <c r="H957" s="298" t="s">
        <v>360</v>
      </c>
      <c r="I957" s="298" t="s">
        <v>5087</v>
      </c>
      <c r="J957" s="298" t="s">
        <v>315</v>
      </c>
      <c r="K957" s="298" t="s">
        <v>424</v>
      </c>
      <c r="L957" s="298" t="s">
        <v>4524</v>
      </c>
      <c r="M957" s="301" t="s">
        <v>5088</v>
      </c>
      <c r="N957" s="301" t="s">
        <v>5088</v>
      </c>
      <c r="O957" s="301" t="s">
        <v>5088</v>
      </c>
      <c r="P957" s="301" t="s">
        <v>5088</v>
      </c>
      <c r="Q957" s="301" t="s">
        <v>5088</v>
      </c>
      <c r="R957" s="301" t="s">
        <v>5088</v>
      </c>
      <c r="S957" s="301" t="s">
        <v>5088</v>
      </c>
      <c r="T957" s="301" t="s">
        <v>5088</v>
      </c>
      <c r="U957" s="301" t="s">
        <v>5088</v>
      </c>
      <c r="V957" s="301" t="s">
        <v>5088</v>
      </c>
      <c r="W957" s="298" t="s">
        <v>315</v>
      </c>
      <c r="X957" s="298" t="s">
        <v>569</v>
      </c>
    </row>
    <row r="958">
      <c r="A958" s="295" t="s">
        <v>5089</v>
      </c>
      <c r="B958" s="298">
        <v>1.0</v>
      </c>
      <c r="C958" s="298" t="s">
        <v>522</v>
      </c>
      <c r="D958" s="298" t="s">
        <v>462</v>
      </c>
      <c r="E958" s="298" t="s">
        <v>290</v>
      </c>
      <c r="F958" s="484" t="str">
        <f>'Character Sheet'!$B$9</f>
        <v/>
      </c>
      <c r="G958" s="298" t="s">
        <v>493</v>
      </c>
      <c r="H958" s="298" t="s">
        <v>360</v>
      </c>
      <c r="I958" s="298" t="s">
        <v>296</v>
      </c>
      <c r="J958" s="298" t="s">
        <v>180</v>
      </c>
      <c r="K958" s="298" t="s">
        <v>424</v>
      </c>
      <c r="L958" s="298" t="s">
        <v>4524</v>
      </c>
      <c r="M958" s="301" t="s">
        <v>5090</v>
      </c>
      <c r="N958" s="301" t="s">
        <v>5090</v>
      </c>
      <c r="O958" s="301" t="s">
        <v>5090</v>
      </c>
      <c r="P958" s="301" t="s">
        <v>5090</v>
      </c>
      <c r="Q958" s="301" t="s">
        <v>5090</v>
      </c>
      <c r="R958" s="301" t="s">
        <v>5090</v>
      </c>
      <c r="S958" s="301" t="s">
        <v>5090</v>
      </c>
      <c r="T958" s="301" t="s">
        <v>5090</v>
      </c>
      <c r="U958" s="301" t="s">
        <v>5090</v>
      </c>
      <c r="V958" s="301" t="s">
        <v>5090</v>
      </c>
      <c r="W958" s="298" t="s">
        <v>315</v>
      </c>
      <c r="X958" s="298" t="s">
        <v>997</v>
      </c>
    </row>
    <row r="959">
      <c r="A959" s="295" t="s">
        <v>5091</v>
      </c>
      <c r="B959" s="298">
        <v>1.0</v>
      </c>
      <c r="C959" s="298" t="s">
        <v>522</v>
      </c>
      <c r="D959" s="298" t="s">
        <v>421</v>
      </c>
      <c r="E959" s="298" t="s">
        <v>311</v>
      </c>
      <c r="F959" s="484" t="str">
        <f>'Character Sheet'!$K$9</f>
        <v/>
      </c>
      <c r="G959" s="298" t="s">
        <v>493</v>
      </c>
      <c r="H959" s="298" t="s">
        <v>324</v>
      </c>
      <c r="I959" s="298" t="s">
        <v>324</v>
      </c>
      <c r="J959" s="298" t="s">
        <v>315</v>
      </c>
      <c r="K959" s="298" t="s">
        <v>478</v>
      </c>
      <c r="L959" s="298" t="s">
        <v>4524</v>
      </c>
      <c r="M959" s="301" t="s">
        <v>5092</v>
      </c>
      <c r="N959" s="301" t="s">
        <v>5092</v>
      </c>
      <c r="O959" s="301" t="s">
        <v>5092</v>
      </c>
      <c r="P959" s="301" t="s">
        <v>5092</v>
      </c>
      <c r="Q959" s="301" t="s">
        <v>5092</v>
      </c>
      <c r="R959" s="301" t="s">
        <v>5092</v>
      </c>
      <c r="S959" s="301" t="s">
        <v>5092</v>
      </c>
      <c r="T959" s="301" t="s">
        <v>5092</v>
      </c>
      <c r="U959" s="301" t="s">
        <v>5092</v>
      </c>
      <c r="V959" s="301" t="s">
        <v>5092</v>
      </c>
      <c r="W959" s="298" t="s">
        <v>315</v>
      </c>
      <c r="X959" s="298" t="s">
        <v>306</v>
      </c>
    </row>
    <row r="960">
      <c r="A960" s="295" t="s">
        <v>5093</v>
      </c>
      <c r="B960" s="298">
        <v>1.0</v>
      </c>
      <c r="C960" s="298" t="s">
        <v>288</v>
      </c>
      <c r="D960" s="298" t="s">
        <v>310</v>
      </c>
      <c r="E960" s="298" t="s">
        <v>290</v>
      </c>
      <c r="F960" s="298" t="s">
        <v>625</v>
      </c>
      <c r="G960" s="298" t="s">
        <v>294</v>
      </c>
      <c r="H960" s="298" t="s">
        <v>324</v>
      </c>
      <c r="I960" s="298" t="s">
        <v>324</v>
      </c>
      <c r="J960" s="298" t="s">
        <v>315</v>
      </c>
      <c r="K960" s="298" t="s">
        <v>1753</v>
      </c>
      <c r="L960" s="298" t="s">
        <v>4524</v>
      </c>
      <c r="M960" s="301" t="s">
        <v>5094</v>
      </c>
      <c r="N960" s="301" t="s">
        <v>5094</v>
      </c>
      <c r="O960" s="301" t="s">
        <v>5095</v>
      </c>
      <c r="P960" s="301" t="s">
        <v>5095</v>
      </c>
      <c r="Q960" s="301" t="s">
        <v>5096</v>
      </c>
      <c r="R960" s="301" t="s">
        <v>5096</v>
      </c>
      <c r="S960" s="301" t="s">
        <v>5097</v>
      </c>
      <c r="T960" s="301" t="s">
        <v>5097</v>
      </c>
      <c r="U960" s="301" t="s">
        <v>5097</v>
      </c>
      <c r="V960" s="301" t="s">
        <v>5097</v>
      </c>
      <c r="W960" s="298" t="s">
        <v>315</v>
      </c>
      <c r="X960" s="298" t="s">
        <v>966</v>
      </c>
    </row>
    <row r="961">
      <c r="A961" s="295" t="s">
        <v>5098</v>
      </c>
      <c r="B961" s="298">
        <v>1.0</v>
      </c>
      <c r="C961" s="298" t="s">
        <v>522</v>
      </c>
      <c r="D961" s="298" t="s">
        <v>359</v>
      </c>
      <c r="E961" s="298" t="s">
        <v>311</v>
      </c>
      <c r="F961" s="484" t="str">
        <f>'Character Sheet'!$E$9</f>
        <v/>
      </c>
      <c r="G961" s="298" t="s">
        <v>674</v>
      </c>
      <c r="H961" s="298" t="s">
        <v>295</v>
      </c>
      <c r="I961" s="298" t="s">
        <v>952</v>
      </c>
      <c r="J961" s="298" t="s">
        <v>315</v>
      </c>
      <c r="K961" s="298" t="s">
        <v>325</v>
      </c>
      <c r="L961" s="298" t="s">
        <v>4524</v>
      </c>
      <c r="M961" s="301" t="s">
        <v>5099</v>
      </c>
      <c r="N961" s="301" t="s">
        <v>5099</v>
      </c>
      <c r="O961" s="301" t="s">
        <v>5099</v>
      </c>
      <c r="P961" s="301" t="s">
        <v>5099</v>
      </c>
      <c r="Q961" s="301" t="s">
        <v>5099</v>
      </c>
      <c r="R961" s="301" t="s">
        <v>5099</v>
      </c>
      <c r="S961" s="301" t="s">
        <v>5099</v>
      </c>
      <c r="T961" s="301" t="s">
        <v>5099</v>
      </c>
      <c r="U961" s="301" t="s">
        <v>5099</v>
      </c>
      <c r="V961" s="301" t="s">
        <v>5099</v>
      </c>
      <c r="W961" s="298" t="s">
        <v>315</v>
      </c>
      <c r="X961" s="298" t="s">
        <v>306</v>
      </c>
    </row>
    <row r="962">
      <c r="A962" s="295" t="s">
        <v>5100</v>
      </c>
      <c r="B962" s="298">
        <v>1.0</v>
      </c>
      <c r="C962" s="298" t="s">
        <v>522</v>
      </c>
      <c r="D962" s="298" t="s">
        <v>289</v>
      </c>
      <c r="E962" s="298" t="s">
        <v>290</v>
      </c>
      <c r="F962" s="484" t="str">
        <f>'Character Sheet'!$C$9</f>
        <v/>
      </c>
      <c r="G962" s="298" t="s">
        <v>294</v>
      </c>
      <c r="H962" s="298" t="s">
        <v>295</v>
      </c>
      <c r="I962" s="298" t="s">
        <v>296</v>
      </c>
      <c r="J962" s="298" t="s">
        <v>407</v>
      </c>
      <c r="K962" s="298" t="s">
        <v>298</v>
      </c>
      <c r="L962" s="298" t="s">
        <v>4524</v>
      </c>
      <c r="M962" s="301" t="s">
        <v>5101</v>
      </c>
      <c r="N962" s="301" t="s">
        <v>5102</v>
      </c>
      <c r="O962" s="301" t="s">
        <v>5103</v>
      </c>
      <c r="P962" s="301" t="s">
        <v>5104</v>
      </c>
      <c r="Q962" s="301" t="s">
        <v>5105</v>
      </c>
      <c r="R962" s="301" t="s">
        <v>5106</v>
      </c>
      <c r="S962" s="301" t="s">
        <v>5107</v>
      </c>
      <c r="T962" s="301" t="s">
        <v>5108</v>
      </c>
      <c r="U962" s="301" t="s">
        <v>5109</v>
      </c>
      <c r="V962" s="301" t="s">
        <v>5110</v>
      </c>
      <c r="W962" s="298" t="s">
        <v>315</v>
      </c>
      <c r="X962" s="298" t="s">
        <v>306</v>
      </c>
    </row>
    <row r="963">
      <c r="A963" s="295" t="s">
        <v>5111</v>
      </c>
      <c r="B963" s="298">
        <v>1.0</v>
      </c>
      <c r="C963" s="298" t="s">
        <v>522</v>
      </c>
      <c r="D963" s="298" t="s">
        <v>289</v>
      </c>
      <c r="E963" s="298" t="s">
        <v>290</v>
      </c>
      <c r="F963" s="484" t="str">
        <f>'Character Sheet'!$B$9</f>
        <v/>
      </c>
      <c r="G963" s="298" t="s">
        <v>493</v>
      </c>
      <c r="H963" s="298" t="s">
        <v>335</v>
      </c>
      <c r="I963" s="298" t="s">
        <v>296</v>
      </c>
      <c r="J963" s="298" t="s">
        <v>173</v>
      </c>
      <c r="K963" s="298" t="s">
        <v>298</v>
      </c>
      <c r="L963" s="298" t="s">
        <v>4524</v>
      </c>
      <c r="M963" s="301" t="s">
        <v>5112</v>
      </c>
      <c r="N963" s="301" t="s">
        <v>5113</v>
      </c>
      <c r="O963" s="301" t="s">
        <v>5114</v>
      </c>
      <c r="P963" s="301" t="s">
        <v>5115</v>
      </c>
      <c r="Q963" s="301" t="s">
        <v>5116</v>
      </c>
      <c r="R963" s="301" t="s">
        <v>5117</v>
      </c>
      <c r="S963" s="301" t="s">
        <v>5118</v>
      </c>
      <c r="T963" s="301" t="s">
        <v>5119</v>
      </c>
      <c r="U963" s="301" t="s">
        <v>5120</v>
      </c>
      <c r="V963" s="301" t="s">
        <v>5121</v>
      </c>
      <c r="W963" s="298" t="s">
        <v>315</v>
      </c>
      <c r="X963" s="298" t="s">
        <v>678</v>
      </c>
    </row>
    <row r="964">
      <c r="A964" s="295" t="s">
        <v>5122</v>
      </c>
      <c r="B964" s="298">
        <v>1.0</v>
      </c>
      <c r="C964" s="298" t="s">
        <v>522</v>
      </c>
      <c r="D964" s="298" t="s">
        <v>462</v>
      </c>
      <c r="E964" s="298" t="s">
        <v>311</v>
      </c>
      <c r="F964" s="484" t="str">
        <f>'Character Sheet'!$B$9</f>
        <v/>
      </c>
      <c r="G964" s="298" t="s">
        <v>294</v>
      </c>
      <c r="H964" s="298" t="s">
        <v>295</v>
      </c>
      <c r="I964" s="298" t="s">
        <v>296</v>
      </c>
      <c r="J964" s="298" t="s">
        <v>192</v>
      </c>
      <c r="K964" s="298" t="s">
        <v>1174</v>
      </c>
      <c r="L964" s="298" t="s">
        <v>4524</v>
      </c>
      <c r="M964" s="301" t="s">
        <v>5123</v>
      </c>
      <c r="N964" s="301" t="s">
        <v>5123</v>
      </c>
      <c r="O964" s="301" t="s">
        <v>5123</v>
      </c>
      <c r="P964" s="301" t="s">
        <v>5123</v>
      </c>
      <c r="Q964" s="301" t="s">
        <v>5123</v>
      </c>
      <c r="R964" s="301" t="s">
        <v>5123</v>
      </c>
      <c r="S964" s="301" t="s">
        <v>5123</v>
      </c>
      <c r="T964" s="301" t="s">
        <v>5123</v>
      </c>
      <c r="U964" s="301" t="s">
        <v>5123</v>
      </c>
      <c r="V964" s="301" t="s">
        <v>5123</v>
      </c>
      <c r="W964" s="298" t="s">
        <v>315</v>
      </c>
      <c r="X964" s="298" t="s">
        <v>569</v>
      </c>
    </row>
    <row r="965">
      <c r="A965" s="295" t="s">
        <v>5124</v>
      </c>
      <c r="B965" s="298">
        <v>1.0</v>
      </c>
      <c r="C965" s="298" t="s">
        <v>522</v>
      </c>
      <c r="D965" s="298" t="s">
        <v>462</v>
      </c>
      <c r="E965" s="298" t="s">
        <v>290</v>
      </c>
      <c r="F965" s="484" t="str">
        <f>'Character Sheet'!$B$9</f>
        <v/>
      </c>
      <c r="G965" s="298" t="s">
        <v>493</v>
      </c>
      <c r="H965" s="298" t="s">
        <v>324</v>
      </c>
      <c r="I965" s="298" t="s">
        <v>324</v>
      </c>
      <c r="J965" s="298" t="s">
        <v>315</v>
      </c>
      <c r="K965" s="298" t="s">
        <v>632</v>
      </c>
      <c r="L965" s="298" t="s">
        <v>4524</v>
      </c>
      <c r="M965" s="301" t="s">
        <v>5125</v>
      </c>
      <c r="N965" s="301" t="s">
        <v>5125</v>
      </c>
      <c r="O965" s="301" t="s">
        <v>5126</v>
      </c>
      <c r="P965" s="301" t="s">
        <v>5126</v>
      </c>
      <c r="Q965" s="301" t="s">
        <v>5127</v>
      </c>
      <c r="R965" s="301" t="s">
        <v>5127</v>
      </c>
      <c r="S965" s="301" t="s">
        <v>5128</v>
      </c>
      <c r="T965" s="301" t="s">
        <v>5128</v>
      </c>
      <c r="U965" s="301" t="s">
        <v>5129</v>
      </c>
      <c r="V965" s="301" t="s">
        <v>5129</v>
      </c>
      <c r="W965" s="298" t="s">
        <v>315</v>
      </c>
      <c r="X965" s="298" t="s">
        <v>306</v>
      </c>
    </row>
    <row r="966">
      <c r="A966" s="295" t="s">
        <v>5130</v>
      </c>
      <c r="B966" s="298">
        <v>1.0</v>
      </c>
      <c r="C966" s="298" t="s">
        <v>522</v>
      </c>
      <c r="D966" s="298" t="s">
        <v>289</v>
      </c>
      <c r="E966" s="298" t="s">
        <v>290</v>
      </c>
      <c r="F966" s="484" t="str">
        <f>'Character Sheet'!$B$9</f>
        <v/>
      </c>
      <c r="G966" s="298" t="s">
        <v>477</v>
      </c>
      <c r="H966" s="298" t="s">
        <v>324</v>
      </c>
      <c r="I966" s="298" t="s">
        <v>884</v>
      </c>
      <c r="J966" s="298" t="s">
        <v>336</v>
      </c>
      <c r="K966" s="298" t="s">
        <v>298</v>
      </c>
      <c r="L966" s="298" t="s">
        <v>4524</v>
      </c>
      <c r="M966" s="301" t="s">
        <v>5131</v>
      </c>
      <c r="N966" s="301" t="s">
        <v>5132</v>
      </c>
      <c r="O966" s="301" t="s">
        <v>5133</v>
      </c>
      <c r="P966" s="301" t="s">
        <v>5134</v>
      </c>
      <c r="Q966" s="301" t="s">
        <v>5135</v>
      </c>
      <c r="R966" s="301" t="s">
        <v>5136</v>
      </c>
      <c r="S966" s="301" t="s">
        <v>5137</v>
      </c>
      <c r="T966" s="301" t="s">
        <v>5138</v>
      </c>
      <c r="U966" s="301" t="s">
        <v>5139</v>
      </c>
      <c r="V966" s="301" t="s">
        <v>5140</v>
      </c>
      <c r="W966" s="298" t="s">
        <v>315</v>
      </c>
      <c r="X966" s="298" t="s">
        <v>318</v>
      </c>
    </row>
    <row r="967">
      <c r="A967" s="295" t="s">
        <v>5141</v>
      </c>
      <c r="B967" s="298">
        <v>1.0</v>
      </c>
      <c r="C967" s="298" t="s">
        <v>522</v>
      </c>
      <c r="D967" s="298" t="s">
        <v>289</v>
      </c>
      <c r="E967" s="298" t="s">
        <v>311</v>
      </c>
      <c r="F967" s="484" t="str">
        <f>'Character Sheet'!$B$9</f>
        <v/>
      </c>
      <c r="G967" s="298" t="s">
        <v>493</v>
      </c>
      <c r="H967" s="298" t="s">
        <v>360</v>
      </c>
      <c r="I967" s="298" t="s">
        <v>296</v>
      </c>
      <c r="J967" s="298" t="s">
        <v>173</v>
      </c>
      <c r="K967" s="298" t="s">
        <v>298</v>
      </c>
      <c r="L967" s="298" t="s">
        <v>4524</v>
      </c>
      <c r="M967" s="301" t="s">
        <v>5142</v>
      </c>
      <c r="N967" s="301" t="s">
        <v>5142</v>
      </c>
      <c r="O967" s="301" t="s">
        <v>5142</v>
      </c>
      <c r="P967" s="301" t="s">
        <v>5142</v>
      </c>
      <c r="Q967" s="301" t="s">
        <v>5142</v>
      </c>
      <c r="R967" s="301" t="s">
        <v>5142</v>
      </c>
      <c r="S967" s="301" t="s">
        <v>5142</v>
      </c>
      <c r="T967" s="301" t="s">
        <v>5142</v>
      </c>
      <c r="U967" s="301" t="s">
        <v>5142</v>
      </c>
      <c r="V967" s="301" t="s">
        <v>5142</v>
      </c>
      <c r="W967" s="298" t="s">
        <v>315</v>
      </c>
      <c r="X967" s="298" t="s">
        <v>306</v>
      </c>
    </row>
    <row r="968">
      <c r="A968" s="295" t="s">
        <v>5143</v>
      </c>
      <c r="B968" s="298">
        <v>1.0</v>
      </c>
      <c r="C968" s="298" t="s">
        <v>522</v>
      </c>
      <c r="D968" s="298" t="s">
        <v>334</v>
      </c>
      <c r="E968" s="298" t="s">
        <v>290</v>
      </c>
      <c r="F968" s="484" t="str">
        <f>'Character Sheet'!$B$9</f>
        <v/>
      </c>
      <c r="G968" s="298" t="s">
        <v>493</v>
      </c>
      <c r="H968" s="298" t="s">
        <v>335</v>
      </c>
      <c r="I968" s="298" t="s">
        <v>296</v>
      </c>
      <c r="J968" s="298" t="s">
        <v>336</v>
      </c>
      <c r="K968" s="298" t="s">
        <v>298</v>
      </c>
      <c r="L968" s="298" t="s">
        <v>4524</v>
      </c>
      <c r="M968" s="301" t="s">
        <v>5144</v>
      </c>
      <c r="N968" s="301" t="s">
        <v>5145</v>
      </c>
      <c r="O968" s="301" t="s">
        <v>5146</v>
      </c>
      <c r="P968" s="301" t="s">
        <v>5147</v>
      </c>
      <c r="Q968" s="301" t="s">
        <v>5148</v>
      </c>
      <c r="R968" s="301" t="s">
        <v>5149</v>
      </c>
      <c r="S968" s="301" t="s">
        <v>5150</v>
      </c>
      <c r="T968" s="301" t="s">
        <v>5151</v>
      </c>
      <c r="U968" s="301" t="s">
        <v>5152</v>
      </c>
      <c r="V968" s="301" t="s">
        <v>5153</v>
      </c>
      <c r="W968" s="298" t="s">
        <v>315</v>
      </c>
      <c r="X968" s="298" t="s">
        <v>678</v>
      </c>
    </row>
    <row r="969">
      <c r="A969" s="295" t="s">
        <v>5154</v>
      </c>
      <c r="B969" s="298">
        <v>1.0</v>
      </c>
      <c r="C969" s="298" t="s">
        <v>522</v>
      </c>
      <c r="D969" s="298" t="s">
        <v>359</v>
      </c>
      <c r="E969" s="298" t="s">
        <v>311</v>
      </c>
      <c r="F969" s="484" t="str">
        <f>'Character Sheet'!$B$9</f>
        <v/>
      </c>
      <c r="G969" s="298" t="s">
        <v>493</v>
      </c>
      <c r="H969" s="298" t="s">
        <v>335</v>
      </c>
      <c r="I969" s="298" t="s">
        <v>2038</v>
      </c>
      <c r="J969" s="298" t="s">
        <v>192</v>
      </c>
      <c r="K969" s="298" t="s">
        <v>1174</v>
      </c>
      <c r="L969" s="298" t="s">
        <v>4524</v>
      </c>
      <c r="M969" s="301" t="s">
        <v>5155</v>
      </c>
      <c r="N969" s="301" t="s">
        <v>5155</v>
      </c>
      <c r="O969" s="301" t="s">
        <v>5155</v>
      </c>
      <c r="P969" s="301" t="s">
        <v>5155</v>
      </c>
      <c r="Q969" s="301" t="s">
        <v>5155</v>
      </c>
      <c r="R969" s="301" t="s">
        <v>5155</v>
      </c>
      <c r="S969" s="301" t="s">
        <v>5155</v>
      </c>
      <c r="T969" s="301" t="s">
        <v>5155</v>
      </c>
      <c r="U969" s="301" t="s">
        <v>5155</v>
      </c>
      <c r="V969" s="301" t="s">
        <v>5155</v>
      </c>
      <c r="W969" s="298" t="s">
        <v>315</v>
      </c>
      <c r="X969" s="298" t="s">
        <v>306</v>
      </c>
    </row>
    <row r="970">
      <c r="A970" s="295" t="s">
        <v>5156</v>
      </c>
      <c r="B970" s="298">
        <v>1.0</v>
      </c>
      <c r="C970" s="298" t="s">
        <v>522</v>
      </c>
      <c r="D970" s="298" t="s">
        <v>334</v>
      </c>
      <c r="E970" s="298" t="s">
        <v>290</v>
      </c>
      <c r="F970" s="484" t="str">
        <f>'Character Sheet'!$B$9</f>
        <v/>
      </c>
      <c r="G970" s="298" t="s">
        <v>493</v>
      </c>
      <c r="H970" s="298" t="s">
        <v>335</v>
      </c>
      <c r="I970" s="298" t="s">
        <v>2038</v>
      </c>
      <c r="J970" s="298" t="s">
        <v>173</v>
      </c>
      <c r="K970" s="298" t="s">
        <v>1174</v>
      </c>
      <c r="L970" s="298" t="s">
        <v>4524</v>
      </c>
      <c r="M970" s="301" t="s">
        <v>5157</v>
      </c>
      <c r="N970" s="301" t="s">
        <v>5158</v>
      </c>
      <c r="O970" s="301" t="s">
        <v>5159</v>
      </c>
      <c r="P970" s="301" t="s">
        <v>5160</v>
      </c>
      <c r="Q970" s="301" t="s">
        <v>5161</v>
      </c>
      <c r="R970" s="301" t="s">
        <v>5162</v>
      </c>
      <c r="S970" s="301" t="s">
        <v>5163</v>
      </c>
      <c r="T970" s="301" t="s">
        <v>5164</v>
      </c>
      <c r="U970" s="301" t="s">
        <v>5165</v>
      </c>
      <c r="V970" s="301" t="s">
        <v>5166</v>
      </c>
      <c r="W970" s="298" t="s">
        <v>315</v>
      </c>
      <c r="X970" s="298" t="s">
        <v>306</v>
      </c>
    </row>
    <row r="971">
      <c r="A971" s="295" t="s">
        <v>5167</v>
      </c>
      <c r="B971" s="298">
        <v>1.0</v>
      </c>
      <c r="C971" s="298" t="s">
        <v>522</v>
      </c>
      <c r="D971" s="298" t="s">
        <v>334</v>
      </c>
      <c r="E971" s="298" t="s">
        <v>290</v>
      </c>
      <c r="F971" s="484" t="str">
        <f>'Character Sheet'!$B$9</f>
        <v/>
      </c>
      <c r="G971" s="298" t="s">
        <v>493</v>
      </c>
      <c r="H971" s="298" t="s">
        <v>335</v>
      </c>
      <c r="I971" s="298" t="s">
        <v>2038</v>
      </c>
      <c r="J971" s="298" t="s">
        <v>192</v>
      </c>
      <c r="K971" s="298" t="s">
        <v>632</v>
      </c>
      <c r="L971" s="298" t="s">
        <v>4524</v>
      </c>
      <c r="M971" s="301" t="s">
        <v>5168</v>
      </c>
      <c r="N971" s="301" t="s">
        <v>5169</v>
      </c>
      <c r="O971" s="301" t="s">
        <v>5170</v>
      </c>
      <c r="P971" s="301" t="s">
        <v>5171</v>
      </c>
      <c r="Q971" s="301" t="s">
        <v>5172</v>
      </c>
      <c r="R971" s="301" t="s">
        <v>5173</v>
      </c>
      <c r="S971" s="301" t="s">
        <v>5174</v>
      </c>
      <c r="T971" s="301" t="s">
        <v>5175</v>
      </c>
      <c r="U971" s="301" t="s">
        <v>5176</v>
      </c>
      <c r="V971" s="301" t="s">
        <v>5177</v>
      </c>
      <c r="W971" s="298" t="s">
        <v>315</v>
      </c>
      <c r="X971" s="298" t="s">
        <v>306</v>
      </c>
    </row>
    <row r="972">
      <c r="A972" s="295" t="s">
        <v>5178</v>
      </c>
      <c r="B972" s="298">
        <v>1.0</v>
      </c>
      <c r="C972" s="298" t="s">
        <v>522</v>
      </c>
      <c r="D972" s="298" t="s">
        <v>421</v>
      </c>
      <c r="E972" s="298" t="s">
        <v>311</v>
      </c>
      <c r="F972" s="484" t="str">
        <f>'Character Sheet'!$C$9</f>
        <v/>
      </c>
      <c r="G972" s="298" t="s">
        <v>294</v>
      </c>
      <c r="H972" s="298" t="s">
        <v>708</v>
      </c>
      <c r="I972" s="298" t="s">
        <v>709</v>
      </c>
      <c r="J972" s="298" t="s">
        <v>315</v>
      </c>
      <c r="K972" s="298" t="s">
        <v>632</v>
      </c>
      <c r="L972" s="298" t="s">
        <v>4524</v>
      </c>
      <c r="M972" s="301" t="s">
        <v>5179</v>
      </c>
      <c r="N972" s="301" t="s">
        <v>5179</v>
      </c>
      <c r="O972" s="301" t="s">
        <v>5179</v>
      </c>
      <c r="P972" s="301" t="s">
        <v>5179</v>
      </c>
      <c r="Q972" s="301" t="s">
        <v>5179</v>
      </c>
      <c r="R972" s="301" t="s">
        <v>5179</v>
      </c>
      <c r="S972" s="301" t="s">
        <v>5179</v>
      </c>
      <c r="T972" s="301" t="s">
        <v>5179</v>
      </c>
      <c r="U972" s="301" t="s">
        <v>5179</v>
      </c>
      <c r="V972" s="301" t="s">
        <v>5179</v>
      </c>
      <c r="W972" s="298" t="s">
        <v>315</v>
      </c>
      <c r="X972" s="298" t="s">
        <v>318</v>
      </c>
    </row>
    <row r="973">
      <c r="A973" s="295" t="s">
        <v>5180</v>
      </c>
      <c r="B973" s="298">
        <v>1.0</v>
      </c>
      <c r="C973" s="298" t="s">
        <v>522</v>
      </c>
      <c r="D973" s="298" t="s">
        <v>462</v>
      </c>
      <c r="E973" s="298" t="s">
        <v>311</v>
      </c>
      <c r="F973" s="484" t="str">
        <f>'Character Sheet'!$B$9</f>
        <v/>
      </c>
      <c r="G973" s="298" t="s">
        <v>493</v>
      </c>
      <c r="H973" s="298" t="s">
        <v>324</v>
      </c>
      <c r="I973" s="298" t="s">
        <v>324</v>
      </c>
      <c r="J973" s="298" t="s">
        <v>315</v>
      </c>
      <c r="K973" s="298" t="s">
        <v>298</v>
      </c>
      <c r="L973" s="298" t="s">
        <v>4524</v>
      </c>
      <c r="M973" s="301" t="s">
        <v>5181</v>
      </c>
      <c r="N973" s="301" t="s">
        <v>5181</v>
      </c>
      <c r="O973" s="301" t="s">
        <v>5181</v>
      </c>
      <c r="P973" s="301" t="s">
        <v>5181</v>
      </c>
      <c r="Q973" s="301" t="s">
        <v>5181</v>
      </c>
      <c r="R973" s="301" t="s">
        <v>5181</v>
      </c>
      <c r="S973" s="301" t="s">
        <v>5181</v>
      </c>
      <c r="T973" s="301" t="s">
        <v>5181</v>
      </c>
      <c r="U973" s="301" t="s">
        <v>5181</v>
      </c>
      <c r="V973" s="301" t="s">
        <v>5181</v>
      </c>
      <c r="W973" s="298" t="s">
        <v>315</v>
      </c>
      <c r="X973" s="298" t="s">
        <v>306</v>
      </c>
    </row>
    <row r="974">
      <c r="A974" s="295" t="s">
        <v>5182</v>
      </c>
      <c r="B974" s="298">
        <v>1.0</v>
      </c>
      <c r="C974" s="298" t="s">
        <v>522</v>
      </c>
      <c r="D974" s="298" t="s">
        <v>289</v>
      </c>
      <c r="E974" s="298" t="s">
        <v>290</v>
      </c>
      <c r="F974" s="484" t="str">
        <f>'Character Sheet'!$C$9</f>
        <v/>
      </c>
      <c r="G974" s="298" t="s">
        <v>294</v>
      </c>
      <c r="H974" s="298" t="s">
        <v>360</v>
      </c>
      <c r="I974" s="298" t="s">
        <v>296</v>
      </c>
      <c r="J974" s="298" t="s">
        <v>407</v>
      </c>
      <c r="K974" s="298" t="s">
        <v>298</v>
      </c>
      <c r="L974" s="298" t="s">
        <v>4524</v>
      </c>
      <c r="M974" s="301" t="s">
        <v>5183</v>
      </c>
      <c r="N974" s="301" t="s">
        <v>5184</v>
      </c>
      <c r="O974" s="301" t="s">
        <v>5185</v>
      </c>
      <c r="P974" s="301" t="s">
        <v>5186</v>
      </c>
      <c r="Q974" s="301" t="s">
        <v>5187</v>
      </c>
      <c r="R974" s="301" t="s">
        <v>5188</v>
      </c>
      <c r="S974" s="301" t="s">
        <v>5189</v>
      </c>
      <c r="T974" s="301" t="s">
        <v>5190</v>
      </c>
      <c r="U974" s="301" t="s">
        <v>5191</v>
      </c>
      <c r="V974" s="301" t="s">
        <v>5192</v>
      </c>
      <c r="W974" s="298" t="s">
        <v>315</v>
      </c>
      <c r="X974" s="298" t="s">
        <v>318</v>
      </c>
    </row>
    <row r="975">
      <c r="A975" s="295" t="s">
        <v>5193</v>
      </c>
      <c r="B975" s="298">
        <v>1.0</v>
      </c>
      <c r="C975" s="298" t="s">
        <v>522</v>
      </c>
      <c r="D975" s="298" t="s">
        <v>359</v>
      </c>
      <c r="E975" s="298" t="s">
        <v>311</v>
      </c>
      <c r="F975" s="484" t="str">
        <f>'Character Sheet'!$B$9</f>
        <v/>
      </c>
      <c r="G975" s="298" t="s">
        <v>477</v>
      </c>
      <c r="H975" s="298" t="s">
        <v>324</v>
      </c>
      <c r="I975" s="298" t="s">
        <v>324</v>
      </c>
      <c r="J975" s="298" t="s">
        <v>315</v>
      </c>
      <c r="K975" s="298" t="s">
        <v>632</v>
      </c>
      <c r="L975" s="298" t="s">
        <v>4524</v>
      </c>
      <c r="M975" s="301" t="s">
        <v>5194</v>
      </c>
      <c r="N975" s="301" t="s">
        <v>5194</v>
      </c>
      <c r="O975" s="301" t="s">
        <v>5194</v>
      </c>
      <c r="P975" s="301" t="s">
        <v>5194</v>
      </c>
      <c r="Q975" s="301" t="s">
        <v>5194</v>
      </c>
      <c r="R975" s="301" t="s">
        <v>5194</v>
      </c>
      <c r="S975" s="301" t="s">
        <v>5194</v>
      </c>
      <c r="T975" s="301" t="s">
        <v>5194</v>
      </c>
      <c r="U975" s="301" t="s">
        <v>5194</v>
      </c>
      <c r="V975" s="301" t="s">
        <v>5194</v>
      </c>
      <c r="W975" s="298" t="s">
        <v>315</v>
      </c>
      <c r="X975" s="298" t="s">
        <v>306</v>
      </c>
    </row>
    <row r="976">
      <c r="A976" s="295" t="s">
        <v>5195</v>
      </c>
      <c r="B976" s="298">
        <v>1.0</v>
      </c>
      <c r="C976" s="298" t="s">
        <v>522</v>
      </c>
      <c r="D976" s="298" t="s">
        <v>359</v>
      </c>
      <c r="E976" s="298" t="s">
        <v>311</v>
      </c>
      <c r="F976" s="484" t="str">
        <f>'Character Sheet'!$B$9</f>
        <v/>
      </c>
      <c r="G976" s="298" t="s">
        <v>493</v>
      </c>
      <c r="H976" s="298" t="s">
        <v>295</v>
      </c>
      <c r="I976" s="298" t="s">
        <v>296</v>
      </c>
      <c r="J976" s="298" t="s">
        <v>192</v>
      </c>
      <c r="K976" s="298" t="s">
        <v>424</v>
      </c>
      <c r="L976" s="298" t="s">
        <v>4524</v>
      </c>
      <c r="M976" s="301" t="s">
        <v>5196</v>
      </c>
      <c r="N976" s="301" t="s">
        <v>5196</v>
      </c>
      <c r="O976" s="301" t="s">
        <v>5196</v>
      </c>
      <c r="P976" s="301" t="s">
        <v>5196</v>
      </c>
      <c r="Q976" s="301" t="s">
        <v>5196</v>
      </c>
      <c r="R976" s="301" t="s">
        <v>5196</v>
      </c>
      <c r="S976" s="301" t="s">
        <v>5196</v>
      </c>
      <c r="T976" s="301" t="s">
        <v>5196</v>
      </c>
      <c r="U976" s="301" t="s">
        <v>5196</v>
      </c>
      <c r="V976" s="301" t="s">
        <v>5196</v>
      </c>
      <c r="W976" s="298" t="s">
        <v>315</v>
      </c>
      <c r="X976" s="298" t="s">
        <v>678</v>
      </c>
    </row>
    <row r="977">
      <c r="A977" s="295" t="s">
        <v>5197</v>
      </c>
      <c r="B977" s="298">
        <v>1.0</v>
      </c>
      <c r="C977" s="298" t="s">
        <v>522</v>
      </c>
      <c r="D977" s="298" t="s">
        <v>462</v>
      </c>
      <c r="E977" s="298" t="s">
        <v>290</v>
      </c>
      <c r="F977" s="484" t="str">
        <f>'Character Sheet'!$B$9</f>
        <v/>
      </c>
      <c r="G977" s="298" t="s">
        <v>493</v>
      </c>
      <c r="H977" s="298" t="s">
        <v>324</v>
      </c>
      <c r="I977" s="298" t="s">
        <v>324</v>
      </c>
      <c r="J977" s="298" t="s">
        <v>315</v>
      </c>
      <c r="K977" s="298" t="s">
        <v>632</v>
      </c>
      <c r="L977" s="298" t="s">
        <v>4524</v>
      </c>
      <c r="M977" s="301" t="s">
        <v>5198</v>
      </c>
      <c r="N977" s="301" t="s">
        <v>5199</v>
      </c>
      <c r="O977" s="301" t="s">
        <v>5200</v>
      </c>
      <c r="P977" s="301" t="s">
        <v>5201</v>
      </c>
      <c r="Q977" s="301" t="s">
        <v>5202</v>
      </c>
      <c r="R977" s="301" t="s">
        <v>5203</v>
      </c>
      <c r="S977" s="301" t="s">
        <v>5204</v>
      </c>
      <c r="T977" s="301" t="s">
        <v>5205</v>
      </c>
      <c r="U977" s="301" t="s">
        <v>5206</v>
      </c>
      <c r="V977" s="301" t="s">
        <v>5207</v>
      </c>
      <c r="W977" s="298" t="s">
        <v>315</v>
      </c>
      <c r="X977" s="298" t="s">
        <v>306</v>
      </c>
    </row>
    <row r="978">
      <c r="A978" s="295" t="s">
        <v>5208</v>
      </c>
      <c r="B978" s="298">
        <v>1.0</v>
      </c>
      <c r="C978" s="298" t="s">
        <v>432</v>
      </c>
      <c r="D978" s="298" t="s">
        <v>289</v>
      </c>
      <c r="E978" s="298" t="s">
        <v>290</v>
      </c>
      <c r="F978" s="484" t="str">
        <f>'Character Sheet'!$K$9</f>
        <v/>
      </c>
      <c r="G978" s="298" t="s">
        <v>477</v>
      </c>
      <c r="H978" s="298" t="s">
        <v>295</v>
      </c>
      <c r="I978" s="298" t="s">
        <v>780</v>
      </c>
      <c r="J978" s="298" t="s">
        <v>315</v>
      </c>
      <c r="K978" s="298" t="s">
        <v>298</v>
      </c>
      <c r="L978" s="298" t="s">
        <v>4524</v>
      </c>
      <c r="M978" s="301" t="s">
        <v>5209</v>
      </c>
      <c r="N978" s="301" t="s">
        <v>5210</v>
      </c>
      <c r="O978" s="301" t="s">
        <v>5211</v>
      </c>
      <c r="P978" s="301" t="s">
        <v>5212</v>
      </c>
      <c r="Q978" s="301" t="s">
        <v>5213</v>
      </c>
      <c r="R978" s="301" t="s">
        <v>5214</v>
      </c>
      <c r="S978" s="301" t="s">
        <v>5215</v>
      </c>
      <c r="T978" s="301" t="s">
        <v>5216</v>
      </c>
      <c r="U978" s="301" t="s">
        <v>5217</v>
      </c>
      <c r="V978" s="301" t="s">
        <v>5218</v>
      </c>
      <c r="W978" s="298" t="s">
        <v>315</v>
      </c>
      <c r="X978" s="298" t="s">
        <v>569</v>
      </c>
    </row>
    <row r="979">
      <c r="A979" s="295" t="s">
        <v>5219</v>
      </c>
      <c r="B979" s="298">
        <v>1.0</v>
      </c>
      <c r="C979" s="298" t="s">
        <v>522</v>
      </c>
      <c r="D979" s="298" t="s">
        <v>359</v>
      </c>
      <c r="E979" s="298" t="s">
        <v>311</v>
      </c>
      <c r="F979" s="484" t="str">
        <f>'Character Sheet'!$C$9</f>
        <v/>
      </c>
      <c r="G979" s="298" t="s">
        <v>294</v>
      </c>
      <c r="H979" s="298" t="s">
        <v>295</v>
      </c>
      <c r="I979" s="298" t="s">
        <v>296</v>
      </c>
      <c r="J979" s="298" t="s">
        <v>192</v>
      </c>
      <c r="K979" s="298" t="s">
        <v>1174</v>
      </c>
      <c r="L979" s="298" t="s">
        <v>4524</v>
      </c>
      <c r="M979" s="301" t="s">
        <v>5220</v>
      </c>
      <c r="N979" s="301" t="s">
        <v>5220</v>
      </c>
      <c r="O979" s="301" t="s">
        <v>5220</v>
      </c>
      <c r="P979" s="301" t="s">
        <v>5220</v>
      </c>
      <c r="Q979" s="301" t="s">
        <v>5220</v>
      </c>
      <c r="R979" s="301" t="s">
        <v>5220</v>
      </c>
      <c r="S979" s="301" t="s">
        <v>5220</v>
      </c>
      <c r="T979" s="301" t="s">
        <v>5220</v>
      </c>
      <c r="U979" s="301" t="s">
        <v>5220</v>
      </c>
      <c r="V979" s="301" t="s">
        <v>5220</v>
      </c>
      <c r="W979" s="298" t="s">
        <v>315</v>
      </c>
      <c r="X979" s="298" t="s">
        <v>306</v>
      </c>
    </row>
    <row r="980">
      <c r="A980" s="295" t="s">
        <v>5221</v>
      </c>
      <c r="B980" s="298">
        <v>1.0</v>
      </c>
      <c r="C980" s="298" t="s">
        <v>522</v>
      </c>
      <c r="D980" s="298" t="s">
        <v>321</v>
      </c>
      <c r="E980" s="298" t="s">
        <v>290</v>
      </c>
      <c r="F980" s="484" t="str">
        <f>'Character Sheet'!$B$9</f>
        <v/>
      </c>
      <c r="G980" s="298" t="s">
        <v>294</v>
      </c>
      <c r="H980" s="298" t="s">
        <v>360</v>
      </c>
      <c r="I980" s="298" t="s">
        <v>955</v>
      </c>
      <c r="J980" s="298" t="s">
        <v>315</v>
      </c>
      <c r="K980" s="298" t="s">
        <v>632</v>
      </c>
      <c r="L980" s="298" t="s">
        <v>4524</v>
      </c>
      <c r="M980" s="301" t="s">
        <v>5222</v>
      </c>
      <c r="N980" s="301" t="s">
        <v>5222</v>
      </c>
      <c r="O980" s="301" t="s">
        <v>5222</v>
      </c>
      <c r="P980" s="301" t="s">
        <v>5223</v>
      </c>
      <c r="Q980" s="301" t="s">
        <v>5223</v>
      </c>
      <c r="R980" s="301" t="s">
        <v>5223</v>
      </c>
      <c r="S980" s="301" t="s">
        <v>5223</v>
      </c>
      <c r="T980" s="301" t="s">
        <v>5223</v>
      </c>
      <c r="U980" s="301" t="s">
        <v>5223</v>
      </c>
      <c r="V980" s="301" t="s">
        <v>5223</v>
      </c>
      <c r="W980" s="298" t="s">
        <v>315</v>
      </c>
      <c r="X980" s="298" t="s">
        <v>306</v>
      </c>
    </row>
    <row r="981">
      <c r="A981" s="295" t="s">
        <v>5224</v>
      </c>
      <c r="B981" s="298">
        <v>1.0</v>
      </c>
      <c r="C981" s="298" t="s">
        <v>522</v>
      </c>
      <c r="D981" s="298" t="s">
        <v>289</v>
      </c>
      <c r="E981" s="298" t="s">
        <v>311</v>
      </c>
      <c r="F981" s="484" t="str">
        <f>'Character Sheet'!$B$9</f>
        <v/>
      </c>
      <c r="G981" s="298" t="s">
        <v>493</v>
      </c>
      <c r="H981" s="298" t="s">
        <v>335</v>
      </c>
      <c r="I981" s="298" t="s">
        <v>5225</v>
      </c>
      <c r="J981" s="298" t="s">
        <v>315</v>
      </c>
      <c r="K981" s="298" t="s">
        <v>298</v>
      </c>
      <c r="L981" s="298" t="s">
        <v>4524</v>
      </c>
      <c r="M981" s="301" t="s">
        <v>5226</v>
      </c>
      <c r="N981" s="301" t="s">
        <v>5226</v>
      </c>
      <c r="O981" s="301" t="s">
        <v>5226</v>
      </c>
      <c r="P981" s="301" t="s">
        <v>5226</v>
      </c>
      <c r="Q981" s="301" t="s">
        <v>5226</v>
      </c>
      <c r="R981" s="301" t="s">
        <v>5226</v>
      </c>
      <c r="S981" s="301" t="s">
        <v>5226</v>
      </c>
      <c r="T981" s="301" t="s">
        <v>5226</v>
      </c>
      <c r="U981" s="301" t="s">
        <v>5226</v>
      </c>
      <c r="V981" s="301" t="s">
        <v>5226</v>
      </c>
      <c r="W981" s="298" t="s">
        <v>315</v>
      </c>
      <c r="X981" s="298" t="s">
        <v>306</v>
      </c>
    </row>
    <row r="982">
      <c r="A982" s="295" t="s">
        <v>5227</v>
      </c>
      <c r="B982" s="298">
        <v>1.0</v>
      </c>
      <c r="C982" s="298" t="s">
        <v>522</v>
      </c>
      <c r="D982" s="298" t="s">
        <v>462</v>
      </c>
      <c r="E982" s="298" t="s">
        <v>290</v>
      </c>
      <c r="F982" s="484" t="str">
        <f>'Character Sheet'!$B$9</f>
        <v/>
      </c>
      <c r="G982" s="298" t="s">
        <v>294</v>
      </c>
      <c r="H982" s="298" t="s">
        <v>324</v>
      </c>
      <c r="I982" s="298" t="s">
        <v>324</v>
      </c>
      <c r="J982" s="298" t="s">
        <v>315</v>
      </c>
      <c r="K982" s="298" t="s">
        <v>632</v>
      </c>
      <c r="L982" s="298" t="s">
        <v>4524</v>
      </c>
      <c r="M982" s="301" t="s">
        <v>5228</v>
      </c>
      <c r="N982" s="301" t="s">
        <v>5228</v>
      </c>
      <c r="O982" s="301" t="s">
        <v>5228</v>
      </c>
      <c r="P982" s="301" t="s">
        <v>5228</v>
      </c>
      <c r="Q982" s="301" t="s">
        <v>5228</v>
      </c>
      <c r="R982" s="301" t="s">
        <v>5229</v>
      </c>
      <c r="S982" s="301" t="s">
        <v>5229</v>
      </c>
      <c r="T982" s="301" t="s">
        <v>5229</v>
      </c>
      <c r="U982" s="301" t="s">
        <v>5229</v>
      </c>
      <c r="V982" s="301" t="s">
        <v>5230</v>
      </c>
      <c r="W982" s="298" t="s">
        <v>315</v>
      </c>
      <c r="X982" s="298" t="s">
        <v>306</v>
      </c>
    </row>
    <row r="983">
      <c r="A983" s="295" t="s">
        <v>5231</v>
      </c>
      <c r="B983" s="298">
        <v>1.0</v>
      </c>
      <c r="C983" s="298" t="s">
        <v>522</v>
      </c>
      <c r="D983" s="298" t="s">
        <v>462</v>
      </c>
      <c r="E983" s="298" t="s">
        <v>290</v>
      </c>
      <c r="F983" s="484" t="str">
        <f>'Character Sheet'!$C$9</f>
        <v/>
      </c>
      <c r="G983" s="298" t="s">
        <v>294</v>
      </c>
      <c r="H983" s="298" t="s">
        <v>324</v>
      </c>
      <c r="I983" s="298" t="s">
        <v>324</v>
      </c>
      <c r="J983" s="298" t="s">
        <v>315</v>
      </c>
      <c r="K983" s="298" t="s">
        <v>632</v>
      </c>
      <c r="L983" s="298" t="s">
        <v>4524</v>
      </c>
      <c r="M983" s="301" t="s">
        <v>5232</v>
      </c>
      <c r="N983" s="301" t="s">
        <v>5233</v>
      </c>
      <c r="O983" s="301" t="s">
        <v>5233</v>
      </c>
      <c r="P983" s="301" t="s">
        <v>5233</v>
      </c>
      <c r="Q983" s="301" t="s">
        <v>5233</v>
      </c>
      <c r="R983" s="301" t="s">
        <v>5233</v>
      </c>
      <c r="S983" s="301" t="s">
        <v>5233</v>
      </c>
      <c r="T983" s="301" t="s">
        <v>5233</v>
      </c>
      <c r="U983" s="301" t="s">
        <v>5233</v>
      </c>
      <c r="V983" s="301" t="s">
        <v>5233</v>
      </c>
      <c r="W983" s="298" t="s">
        <v>315</v>
      </c>
      <c r="X983" s="298" t="s">
        <v>306</v>
      </c>
    </row>
    <row r="984">
      <c r="A984" s="295" t="s">
        <v>5234</v>
      </c>
      <c r="B984" s="298">
        <v>1.0</v>
      </c>
      <c r="C984" s="298" t="s">
        <v>522</v>
      </c>
      <c r="D984" s="298" t="s">
        <v>151</v>
      </c>
      <c r="E984" s="298" t="s">
        <v>290</v>
      </c>
      <c r="F984" s="484" t="str">
        <f>'Character Sheet'!$C$9</f>
        <v/>
      </c>
      <c r="G984" s="298" t="s">
        <v>294</v>
      </c>
      <c r="H984" s="298" t="s">
        <v>295</v>
      </c>
      <c r="I984" s="298" t="s">
        <v>1413</v>
      </c>
      <c r="J984" s="298" t="s">
        <v>180</v>
      </c>
      <c r="K984" s="298" t="s">
        <v>424</v>
      </c>
      <c r="L984" s="298" t="s">
        <v>4524</v>
      </c>
      <c r="M984" s="301" t="s">
        <v>5235</v>
      </c>
      <c r="N984" s="301" t="s">
        <v>5236</v>
      </c>
      <c r="O984" s="301" t="s">
        <v>5237</v>
      </c>
      <c r="P984" s="301" t="s">
        <v>5238</v>
      </c>
      <c r="Q984" s="301" t="s">
        <v>5239</v>
      </c>
      <c r="R984" s="301" t="s">
        <v>5240</v>
      </c>
      <c r="S984" s="301" t="s">
        <v>5241</v>
      </c>
      <c r="T984" s="301" t="s">
        <v>5242</v>
      </c>
      <c r="U984" s="301" t="s">
        <v>5243</v>
      </c>
      <c r="V984" s="301" t="s">
        <v>5244</v>
      </c>
      <c r="W984" s="298" t="s">
        <v>315</v>
      </c>
      <c r="X984" s="298" t="s">
        <v>318</v>
      </c>
    </row>
    <row r="985">
      <c r="A985" s="295" t="s">
        <v>5245</v>
      </c>
      <c r="B985" s="298">
        <v>1.0</v>
      </c>
      <c r="C985" s="298" t="s">
        <v>288</v>
      </c>
      <c r="D985" s="298" t="s">
        <v>289</v>
      </c>
      <c r="E985" s="298" t="s">
        <v>290</v>
      </c>
      <c r="F985" s="484" t="str">
        <f>'Character Sheet'!$C$9</f>
        <v/>
      </c>
      <c r="G985" s="298" t="s">
        <v>294</v>
      </c>
      <c r="H985" s="298" t="s">
        <v>360</v>
      </c>
      <c r="I985" s="298" t="s">
        <v>296</v>
      </c>
      <c r="J985" s="298" t="s">
        <v>203</v>
      </c>
      <c r="K985" s="298" t="s">
        <v>298</v>
      </c>
      <c r="L985" s="298" t="s">
        <v>4524</v>
      </c>
      <c r="M985" s="301" t="s">
        <v>5246</v>
      </c>
      <c r="N985" s="301" t="s">
        <v>5247</v>
      </c>
      <c r="O985" s="301" t="s">
        <v>5248</v>
      </c>
      <c r="P985" s="301" t="s">
        <v>5249</v>
      </c>
      <c r="Q985" s="301" t="s">
        <v>5250</v>
      </c>
      <c r="R985" s="301" t="s">
        <v>5251</v>
      </c>
      <c r="S985" s="301" t="s">
        <v>5252</v>
      </c>
      <c r="T985" s="301" t="s">
        <v>5253</v>
      </c>
      <c r="U985" s="301" t="s">
        <v>5254</v>
      </c>
      <c r="V985" s="301" t="s">
        <v>5255</v>
      </c>
      <c r="W985" s="298" t="s">
        <v>315</v>
      </c>
      <c r="X985" s="298" t="s">
        <v>966</v>
      </c>
    </row>
    <row r="986">
      <c r="A986" s="295" t="s">
        <v>5256</v>
      </c>
      <c r="B986" s="298">
        <v>1.0</v>
      </c>
      <c r="C986" s="298" t="s">
        <v>288</v>
      </c>
      <c r="D986" s="298" t="s">
        <v>334</v>
      </c>
      <c r="E986" s="298" t="s">
        <v>290</v>
      </c>
      <c r="F986" s="484" t="str">
        <f>'Character Sheet'!$C$9</f>
        <v/>
      </c>
      <c r="G986" s="298" t="s">
        <v>294</v>
      </c>
      <c r="H986" s="298" t="s">
        <v>335</v>
      </c>
      <c r="I986" s="298" t="s">
        <v>1136</v>
      </c>
      <c r="J986" s="298" t="s">
        <v>203</v>
      </c>
      <c r="K986" s="298" t="s">
        <v>298</v>
      </c>
      <c r="L986" s="298" t="s">
        <v>4524</v>
      </c>
      <c r="M986" s="301" t="s">
        <v>5257</v>
      </c>
      <c r="N986" s="301" t="s">
        <v>5258</v>
      </c>
      <c r="O986" s="301" t="s">
        <v>5259</v>
      </c>
      <c r="P986" s="301" t="s">
        <v>5260</v>
      </c>
      <c r="Q986" s="301" t="s">
        <v>5261</v>
      </c>
      <c r="R986" s="301" t="s">
        <v>5262</v>
      </c>
      <c r="S986" s="301" t="s">
        <v>5263</v>
      </c>
      <c r="T986" s="301" t="s">
        <v>5264</v>
      </c>
      <c r="U986" s="301" t="s">
        <v>5265</v>
      </c>
      <c r="V986" s="301" t="s">
        <v>5266</v>
      </c>
      <c r="W986" s="298" t="s">
        <v>315</v>
      </c>
      <c r="X986" s="298" t="s">
        <v>966</v>
      </c>
    </row>
    <row r="987">
      <c r="A987" s="295" t="s">
        <v>5267</v>
      </c>
      <c r="B987" s="298">
        <v>1.0</v>
      </c>
      <c r="C987" s="298" t="s">
        <v>522</v>
      </c>
      <c r="D987" s="298" t="s">
        <v>310</v>
      </c>
      <c r="E987" s="298" t="s">
        <v>311</v>
      </c>
      <c r="F987" s="484" t="str">
        <f>'Character Sheet'!$B$9</f>
        <v/>
      </c>
      <c r="G987" s="298" t="s">
        <v>477</v>
      </c>
      <c r="H987" s="298" t="s">
        <v>324</v>
      </c>
      <c r="I987" s="298" t="s">
        <v>324</v>
      </c>
      <c r="J987" s="298" t="s">
        <v>315</v>
      </c>
      <c r="K987" s="298" t="s">
        <v>424</v>
      </c>
      <c r="L987" s="298" t="s">
        <v>4524</v>
      </c>
      <c r="M987" s="301" t="s">
        <v>5268</v>
      </c>
      <c r="N987" s="301" t="s">
        <v>5268</v>
      </c>
      <c r="O987" s="301" t="s">
        <v>5268</v>
      </c>
      <c r="P987" s="301" t="s">
        <v>5268</v>
      </c>
      <c r="Q987" s="301" t="s">
        <v>5268</v>
      </c>
      <c r="R987" s="301" t="s">
        <v>5268</v>
      </c>
      <c r="S987" s="301" t="s">
        <v>5268</v>
      </c>
      <c r="T987" s="301" t="s">
        <v>5268</v>
      </c>
      <c r="U987" s="301" t="s">
        <v>5268</v>
      </c>
      <c r="V987" s="301" t="s">
        <v>5268</v>
      </c>
      <c r="W987" s="298" t="s">
        <v>315</v>
      </c>
      <c r="X987" s="298" t="s">
        <v>306</v>
      </c>
    </row>
    <row r="988">
      <c r="A988" s="341" t="s">
        <v>5269</v>
      </c>
      <c r="B988" s="343">
        <v>1.0</v>
      </c>
      <c r="C988" s="343" t="s">
        <v>288</v>
      </c>
      <c r="D988" s="343" t="s">
        <v>310</v>
      </c>
      <c r="E988" s="343" t="s">
        <v>290</v>
      </c>
      <c r="F988" s="485" t="str">
        <f>'Character Sheet'!$C$9</f>
        <v/>
      </c>
      <c r="G988" s="343" t="s">
        <v>294</v>
      </c>
      <c r="H988" s="343" t="s">
        <v>360</v>
      </c>
      <c r="I988" s="343" t="s">
        <v>296</v>
      </c>
      <c r="J988" s="343" t="s">
        <v>173</v>
      </c>
      <c r="K988" s="343" t="s">
        <v>545</v>
      </c>
      <c r="L988" s="343" t="s">
        <v>4524</v>
      </c>
      <c r="M988" s="344" t="s">
        <v>5270</v>
      </c>
      <c r="N988" s="344" t="s">
        <v>5271</v>
      </c>
      <c r="O988" s="344" t="s">
        <v>5272</v>
      </c>
      <c r="P988" s="344" t="s">
        <v>5273</v>
      </c>
      <c r="Q988" s="344" t="s">
        <v>5274</v>
      </c>
      <c r="R988" s="344" t="s">
        <v>5275</v>
      </c>
      <c r="S988" s="344" t="s">
        <v>5276</v>
      </c>
      <c r="T988" s="344" t="s">
        <v>5277</v>
      </c>
      <c r="U988" s="344" t="s">
        <v>5278</v>
      </c>
      <c r="V988" s="344" t="s">
        <v>5279</v>
      </c>
      <c r="W988" s="343" t="s">
        <v>315</v>
      </c>
      <c r="X988" s="343" t="s">
        <v>966</v>
      </c>
    </row>
    <row r="989">
      <c r="A989" s="295" t="s">
        <v>5280</v>
      </c>
      <c r="B989" s="298">
        <v>2.0</v>
      </c>
      <c r="C989" s="298" t="s">
        <v>522</v>
      </c>
      <c r="D989" s="298" t="s">
        <v>462</v>
      </c>
      <c r="E989" s="298" t="s">
        <v>290</v>
      </c>
      <c r="F989" s="484" t="str">
        <f>'Character Sheet'!$B$9</f>
        <v/>
      </c>
      <c r="G989" s="298" t="s">
        <v>294</v>
      </c>
      <c r="H989" s="298" t="s">
        <v>324</v>
      </c>
      <c r="I989" s="298" t="s">
        <v>324</v>
      </c>
      <c r="J989" s="298" t="s">
        <v>315</v>
      </c>
      <c r="K989" s="298" t="s">
        <v>632</v>
      </c>
      <c r="L989" s="298" t="s">
        <v>4524</v>
      </c>
      <c r="M989" s="301" t="s">
        <v>315</v>
      </c>
      <c r="N989" s="301" t="s">
        <v>5281</v>
      </c>
      <c r="O989" s="301" t="s">
        <v>5281</v>
      </c>
      <c r="P989" s="301" t="s">
        <v>5282</v>
      </c>
      <c r="Q989" s="301" t="s">
        <v>5282</v>
      </c>
      <c r="R989" s="301" t="s">
        <v>5282</v>
      </c>
      <c r="S989" s="301" t="s">
        <v>5282</v>
      </c>
      <c r="T989" s="301" t="s">
        <v>5282</v>
      </c>
      <c r="U989" s="301" t="s">
        <v>5282</v>
      </c>
      <c r="V989" s="301" t="s">
        <v>5282</v>
      </c>
      <c r="W989" s="298" t="s">
        <v>315</v>
      </c>
      <c r="X989" s="298" t="s">
        <v>678</v>
      </c>
    </row>
    <row r="990">
      <c r="A990" s="295" t="s">
        <v>5283</v>
      </c>
      <c r="B990" s="298">
        <v>2.0</v>
      </c>
      <c r="C990" s="298" t="s">
        <v>522</v>
      </c>
      <c r="D990" s="298" t="s">
        <v>310</v>
      </c>
      <c r="E990" s="298" t="s">
        <v>311</v>
      </c>
      <c r="F990" s="484" t="str">
        <f>'Character Sheet'!$H$9</f>
        <v/>
      </c>
      <c r="G990" s="298" t="s">
        <v>477</v>
      </c>
      <c r="H990" s="298" t="s">
        <v>324</v>
      </c>
      <c r="I990" s="298" t="s">
        <v>324</v>
      </c>
      <c r="J990" s="298" t="s">
        <v>315</v>
      </c>
      <c r="K990" s="298" t="s">
        <v>298</v>
      </c>
      <c r="L990" s="298" t="s">
        <v>4524</v>
      </c>
      <c r="M990" s="301" t="s">
        <v>315</v>
      </c>
      <c r="N990" s="301" t="s">
        <v>5284</v>
      </c>
      <c r="O990" s="301" t="s">
        <v>5284</v>
      </c>
      <c r="P990" s="301" t="s">
        <v>5284</v>
      </c>
      <c r="Q990" s="301" t="s">
        <v>5284</v>
      </c>
      <c r="R990" s="301" t="s">
        <v>5284</v>
      </c>
      <c r="S990" s="301" t="s">
        <v>5284</v>
      </c>
      <c r="T990" s="301" t="s">
        <v>5284</v>
      </c>
      <c r="U990" s="301" t="s">
        <v>5284</v>
      </c>
      <c r="V990" s="301" t="s">
        <v>5284</v>
      </c>
      <c r="W990" s="298" t="s">
        <v>315</v>
      </c>
      <c r="X990" s="298" t="s">
        <v>678</v>
      </c>
    </row>
    <row r="991">
      <c r="A991" s="295" t="s">
        <v>5285</v>
      </c>
      <c r="B991" s="298">
        <v>2.0</v>
      </c>
      <c r="C991" s="298" t="s">
        <v>522</v>
      </c>
      <c r="D991" s="298" t="s">
        <v>289</v>
      </c>
      <c r="E991" s="298" t="s">
        <v>311</v>
      </c>
      <c r="F991" s="484" t="str">
        <f>'Character Sheet'!$C$9</f>
        <v/>
      </c>
      <c r="G991" s="298" t="s">
        <v>294</v>
      </c>
      <c r="H991" s="298" t="s">
        <v>324</v>
      </c>
      <c r="I991" s="298" t="s">
        <v>5286</v>
      </c>
      <c r="J991" s="298" t="s">
        <v>336</v>
      </c>
      <c r="K991" s="298" t="s">
        <v>298</v>
      </c>
      <c r="L991" s="298" t="s">
        <v>4524</v>
      </c>
      <c r="M991" s="301" t="s">
        <v>315</v>
      </c>
      <c r="N991" s="301" t="s">
        <v>5287</v>
      </c>
      <c r="O991" s="301" t="s">
        <v>5287</v>
      </c>
      <c r="P991" s="301" t="s">
        <v>5287</v>
      </c>
      <c r="Q991" s="301" t="s">
        <v>5287</v>
      </c>
      <c r="R991" s="301" t="s">
        <v>5287</v>
      </c>
      <c r="S991" s="301" t="s">
        <v>5287</v>
      </c>
      <c r="T991" s="301" t="s">
        <v>5287</v>
      </c>
      <c r="U991" s="301" t="s">
        <v>5287</v>
      </c>
      <c r="V991" s="301" t="s">
        <v>5287</v>
      </c>
      <c r="W991" s="298" t="s">
        <v>315</v>
      </c>
      <c r="X991" s="298" t="s">
        <v>306</v>
      </c>
    </row>
    <row r="992">
      <c r="A992" s="295" t="s">
        <v>5288</v>
      </c>
      <c r="B992" s="298">
        <v>2.0</v>
      </c>
      <c r="C992" s="298" t="s">
        <v>522</v>
      </c>
      <c r="D992" s="298" t="s">
        <v>334</v>
      </c>
      <c r="E992" s="298" t="s">
        <v>290</v>
      </c>
      <c r="F992" s="484" t="str">
        <f>'Character Sheet'!$B$9</f>
        <v/>
      </c>
      <c r="G992" s="298" t="s">
        <v>493</v>
      </c>
      <c r="H992" s="298" t="s">
        <v>324</v>
      </c>
      <c r="I992" s="298" t="s">
        <v>709</v>
      </c>
      <c r="J992" s="298" t="s">
        <v>315</v>
      </c>
      <c r="K992" s="298" t="s">
        <v>1649</v>
      </c>
      <c r="L992" s="298" t="s">
        <v>4524</v>
      </c>
      <c r="M992" s="301" t="s">
        <v>315</v>
      </c>
      <c r="N992" s="301" t="s">
        <v>5289</v>
      </c>
      <c r="O992" s="301" t="s">
        <v>5290</v>
      </c>
      <c r="P992" s="301" t="s">
        <v>5291</v>
      </c>
      <c r="Q992" s="301" t="s">
        <v>5292</v>
      </c>
      <c r="R992" s="301" t="s">
        <v>5293</v>
      </c>
      <c r="S992" s="301" t="s">
        <v>5294</v>
      </c>
      <c r="T992" s="301" t="s">
        <v>5295</v>
      </c>
      <c r="U992" s="301" t="s">
        <v>5296</v>
      </c>
      <c r="V992" s="301" t="s">
        <v>5297</v>
      </c>
      <c r="W992" s="298" t="s">
        <v>315</v>
      </c>
      <c r="X992" s="298" t="s">
        <v>318</v>
      </c>
    </row>
    <row r="993">
      <c r="A993" s="295" t="s">
        <v>5298</v>
      </c>
      <c r="B993" s="298">
        <v>2.0</v>
      </c>
      <c r="C993" s="298" t="s">
        <v>522</v>
      </c>
      <c r="D993" s="298" t="s">
        <v>310</v>
      </c>
      <c r="E993" s="298" t="s">
        <v>311</v>
      </c>
      <c r="F993" s="484" t="str">
        <f>'Character Sheet'!$C$9</f>
        <v/>
      </c>
      <c r="G993" s="298" t="s">
        <v>294</v>
      </c>
      <c r="H993" s="298" t="s">
        <v>324</v>
      </c>
      <c r="I993" s="298" t="s">
        <v>861</v>
      </c>
      <c r="J993" s="298" t="s">
        <v>315</v>
      </c>
      <c r="K993" s="298" t="s">
        <v>1990</v>
      </c>
      <c r="L993" s="298" t="s">
        <v>4524</v>
      </c>
      <c r="M993" s="301" t="s">
        <v>315</v>
      </c>
      <c r="N993" s="301" t="s">
        <v>5299</v>
      </c>
      <c r="O993" s="301" t="s">
        <v>5299</v>
      </c>
      <c r="P993" s="301" t="s">
        <v>5299</v>
      </c>
      <c r="Q993" s="301" t="s">
        <v>5299</v>
      </c>
      <c r="R993" s="301" t="s">
        <v>5299</v>
      </c>
      <c r="S993" s="301" t="s">
        <v>5299</v>
      </c>
      <c r="T993" s="301" t="s">
        <v>5299</v>
      </c>
      <c r="U993" s="301" t="s">
        <v>5299</v>
      </c>
      <c r="V993" s="301" t="s">
        <v>5299</v>
      </c>
      <c r="W993" s="298" t="s">
        <v>315</v>
      </c>
      <c r="X993" s="298" t="s">
        <v>306</v>
      </c>
    </row>
    <row r="994">
      <c r="A994" s="295" t="s">
        <v>5300</v>
      </c>
      <c r="B994" s="298">
        <v>2.0</v>
      </c>
      <c r="C994" s="298" t="s">
        <v>522</v>
      </c>
      <c r="D994" s="298" t="s">
        <v>462</v>
      </c>
      <c r="E994" s="298" t="s">
        <v>311</v>
      </c>
      <c r="F994" s="484" t="str">
        <f>'Character Sheet'!$C$9</f>
        <v/>
      </c>
      <c r="G994" s="298" t="s">
        <v>294</v>
      </c>
      <c r="H994" s="298" t="s">
        <v>324</v>
      </c>
      <c r="I994" s="298" t="s">
        <v>324</v>
      </c>
      <c r="J994" s="298" t="s">
        <v>315</v>
      </c>
      <c r="K994" s="298" t="s">
        <v>1990</v>
      </c>
      <c r="L994" s="298" t="s">
        <v>4524</v>
      </c>
      <c r="M994" s="301" t="s">
        <v>315</v>
      </c>
      <c r="N994" s="301" t="s">
        <v>5301</v>
      </c>
      <c r="O994" s="301" t="s">
        <v>5301</v>
      </c>
      <c r="P994" s="301" t="s">
        <v>5301</v>
      </c>
      <c r="Q994" s="301" t="s">
        <v>5301</v>
      </c>
      <c r="R994" s="301" t="s">
        <v>5301</v>
      </c>
      <c r="S994" s="301" t="s">
        <v>5301</v>
      </c>
      <c r="T994" s="301" t="s">
        <v>5301</v>
      </c>
      <c r="U994" s="301" t="s">
        <v>5301</v>
      </c>
      <c r="V994" s="301" t="s">
        <v>5301</v>
      </c>
      <c r="W994" s="298" t="s">
        <v>315</v>
      </c>
      <c r="X994" s="298" t="s">
        <v>306</v>
      </c>
    </row>
    <row r="995">
      <c r="A995" s="295" t="s">
        <v>5302</v>
      </c>
      <c r="B995" s="298">
        <v>2.0</v>
      </c>
      <c r="C995" s="298" t="s">
        <v>522</v>
      </c>
      <c r="D995" s="298" t="s">
        <v>462</v>
      </c>
      <c r="E995" s="298" t="s">
        <v>311</v>
      </c>
      <c r="F995" s="484" t="str">
        <f>'Character Sheet'!$C$9</f>
        <v/>
      </c>
      <c r="G995" s="298" t="s">
        <v>294</v>
      </c>
      <c r="H995" s="298" t="s">
        <v>324</v>
      </c>
      <c r="I995" s="298" t="s">
        <v>324</v>
      </c>
      <c r="J995" s="298" t="s">
        <v>315</v>
      </c>
      <c r="K995" s="298" t="s">
        <v>632</v>
      </c>
      <c r="L995" s="298" t="s">
        <v>4524</v>
      </c>
      <c r="M995" s="301" t="s">
        <v>315</v>
      </c>
      <c r="N995" s="301" t="s">
        <v>5303</v>
      </c>
      <c r="O995" s="301" t="s">
        <v>5303</v>
      </c>
      <c r="P995" s="301" t="s">
        <v>5303</v>
      </c>
      <c r="Q995" s="301" t="s">
        <v>5303</v>
      </c>
      <c r="R995" s="301" t="s">
        <v>5303</v>
      </c>
      <c r="S995" s="301" t="s">
        <v>5303</v>
      </c>
      <c r="T995" s="301" t="s">
        <v>5303</v>
      </c>
      <c r="U995" s="301" t="s">
        <v>5303</v>
      </c>
      <c r="V995" s="301" t="s">
        <v>5303</v>
      </c>
      <c r="W995" s="298" t="s">
        <v>315</v>
      </c>
      <c r="X995" s="298" t="s">
        <v>306</v>
      </c>
    </row>
    <row r="996">
      <c r="A996" s="295" t="s">
        <v>5304</v>
      </c>
      <c r="B996" s="298">
        <v>2.0</v>
      </c>
      <c r="C996" s="298" t="s">
        <v>522</v>
      </c>
      <c r="D996" s="298" t="s">
        <v>310</v>
      </c>
      <c r="E996" s="298" t="s">
        <v>311</v>
      </c>
      <c r="F996" s="484" t="str">
        <f>'Character Sheet'!$K$9</f>
        <v/>
      </c>
      <c r="G996" s="298" t="s">
        <v>477</v>
      </c>
      <c r="H996" s="298" t="s">
        <v>324</v>
      </c>
      <c r="I996" s="298" t="s">
        <v>324</v>
      </c>
      <c r="J996" s="298" t="s">
        <v>315</v>
      </c>
      <c r="K996" s="298" t="s">
        <v>298</v>
      </c>
      <c r="L996" s="298" t="s">
        <v>4524</v>
      </c>
      <c r="M996" s="301" t="s">
        <v>315</v>
      </c>
      <c r="N996" s="301" t="s">
        <v>5305</v>
      </c>
      <c r="O996" s="301" t="s">
        <v>5305</v>
      </c>
      <c r="P996" s="301" t="s">
        <v>5305</v>
      </c>
      <c r="Q996" s="301" t="s">
        <v>5305</v>
      </c>
      <c r="R996" s="301" t="s">
        <v>5305</v>
      </c>
      <c r="S996" s="301" t="s">
        <v>5305</v>
      </c>
      <c r="T996" s="301" t="s">
        <v>5305</v>
      </c>
      <c r="U996" s="301" t="s">
        <v>5305</v>
      </c>
      <c r="V996" s="301" t="s">
        <v>5305</v>
      </c>
      <c r="W996" s="298" t="s">
        <v>315</v>
      </c>
      <c r="X996" s="298" t="s">
        <v>306</v>
      </c>
    </row>
    <row r="997">
      <c r="A997" s="295" t="s">
        <v>5306</v>
      </c>
      <c r="B997" s="298">
        <v>2.0</v>
      </c>
      <c r="C997" s="298" t="s">
        <v>522</v>
      </c>
      <c r="D997" s="298" t="s">
        <v>334</v>
      </c>
      <c r="E997" s="298" t="s">
        <v>290</v>
      </c>
      <c r="F997" s="484" t="str">
        <f>'Character Sheet'!$C$9</f>
        <v/>
      </c>
      <c r="G997" s="298" t="s">
        <v>294</v>
      </c>
      <c r="H997" s="298" t="s">
        <v>295</v>
      </c>
      <c r="I997" s="298" t="s">
        <v>296</v>
      </c>
      <c r="J997" s="298" t="s">
        <v>336</v>
      </c>
      <c r="K997" s="298" t="s">
        <v>298</v>
      </c>
      <c r="L997" s="298" t="s">
        <v>4524</v>
      </c>
      <c r="M997" s="301" t="s">
        <v>315</v>
      </c>
      <c r="N997" s="301" t="s">
        <v>5307</v>
      </c>
      <c r="O997" s="301" t="s">
        <v>5308</v>
      </c>
      <c r="P997" s="301" t="s">
        <v>5309</v>
      </c>
      <c r="Q997" s="301" t="s">
        <v>5310</v>
      </c>
      <c r="R997" s="301" t="s">
        <v>5311</v>
      </c>
      <c r="S997" s="301" t="s">
        <v>5312</v>
      </c>
      <c r="T997" s="301" t="s">
        <v>5313</v>
      </c>
      <c r="U997" s="301" t="s">
        <v>5314</v>
      </c>
      <c r="V997" s="301" t="s">
        <v>5315</v>
      </c>
      <c r="W997" s="298" t="s">
        <v>315</v>
      </c>
      <c r="X997" s="298" t="s">
        <v>678</v>
      </c>
    </row>
    <row r="998">
      <c r="A998" s="295" t="s">
        <v>5316</v>
      </c>
      <c r="B998" s="298">
        <v>2.0</v>
      </c>
      <c r="C998" s="298" t="s">
        <v>522</v>
      </c>
      <c r="D998" s="298" t="s">
        <v>289</v>
      </c>
      <c r="E998" s="298" t="s">
        <v>290</v>
      </c>
      <c r="F998" s="484" t="str">
        <f>'Character Sheet'!$C$9</f>
        <v/>
      </c>
      <c r="G998" s="298" t="s">
        <v>294</v>
      </c>
      <c r="H998" s="298" t="s">
        <v>360</v>
      </c>
      <c r="I998" s="298" t="s">
        <v>296</v>
      </c>
      <c r="J998" s="298" t="s">
        <v>203</v>
      </c>
      <c r="K998" s="298" t="s">
        <v>298</v>
      </c>
      <c r="L998" s="298" t="s">
        <v>4524</v>
      </c>
      <c r="M998" s="301" t="s">
        <v>315</v>
      </c>
      <c r="N998" s="301" t="s">
        <v>5317</v>
      </c>
      <c r="O998" s="301" t="s">
        <v>5318</v>
      </c>
      <c r="P998" s="301" t="s">
        <v>5319</v>
      </c>
      <c r="Q998" s="301" t="s">
        <v>5320</v>
      </c>
      <c r="R998" s="301" t="s">
        <v>5321</v>
      </c>
      <c r="S998" s="301" t="s">
        <v>5322</v>
      </c>
      <c r="T998" s="301" t="s">
        <v>5323</v>
      </c>
      <c r="U998" s="301" t="s">
        <v>5324</v>
      </c>
      <c r="V998" s="301" t="s">
        <v>5325</v>
      </c>
      <c r="W998" s="298" t="s">
        <v>315</v>
      </c>
      <c r="X998" s="298" t="s">
        <v>5326</v>
      </c>
    </row>
    <row r="999">
      <c r="A999" s="295" t="s">
        <v>5327</v>
      </c>
      <c r="B999" s="298">
        <v>2.0</v>
      </c>
      <c r="C999" s="298" t="s">
        <v>522</v>
      </c>
      <c r="D999" s="298" t="s">
        <v>310</v>
      </c>
      <c r="E999" s="298" t="s">
        <v>311</v>
      </c>
      <c r="F999" s="484" t="str">
        <f>'Character Sheet'!$B$9</f>
        <v/>
      </c>
      <c r="G999" s="298" t="s">
        <v>493</v>
      </c>
      <c r="H999" s="298" t="s">
        <v>324</v>
      </c>
      <c r="I999" s="298" t="s">
        <v>296</v>
      </c>
      <c r="J999" s="298" t="s">
        <v>315</v>
      </c>
      <c r="K999" s="298" t="s">
        <v>298</v>
      </c>
      <c r="L999" s="298" t="s">
        <v>4524</v>
      </c>
      <c r="M999" s="301" t="s">
        <v>315</v>
      </c>
      <c r="N999" s="301" t="s">
        <v>5328</v>
      </c>
      <c r="O999" s="301" t="s">
        <v>5328</v>
      </c>
      <c r="P999" s="301" t="s">
        <v>5328</v>
      </c>
      <c r="Q999" s="301" t="s">
        <v>5328</v>
      </c>
      <c r="R999" s="301" t="s">
        <v>5328</v>
      </c>
      <c r="S999" s="301" t="s">
        <v>5328</v>
      </c>
      <c r="T999" s="301" t="s">
        <v>5328</v>
      </c>
      <c r="U999" s="301" t="s">
        <v>5328</v>
      </c>
      <c r="V999" s="301" t="s">
        <v>5328</v>
      </c>
      <c r="W999" s="298" t="s">
        <v>315</v>
      </c>
      <c r="X999" s="298" t="s">
        <v>678</v>
      </c>
    </row>
    <row r="1000">
      <c r="A1000" s="341" t="s">
        <v>5329</v>
      </c>
      <c r="B1000" s="343">
        <v>2.0</v>
      </c>
      <c r="C1000" s="343" t="s">
        <v>522</v>
      </c>
      <c r="D1000" s="343" t="s">
        <v>334</v>
      </c>
      <c r="E1000" s="343" t="s">
        <v>290</v>
      </c>
      <c r="F1000" s="485" t="str">
        <f>'Character Sheet'!$B$9</f>
        <v/>
      </c>
      <c r="G1000" s="343" t="s">
        <v>477</v>
      </c>
      <c r="H1000" s="343" t="s">
        <v>324</v>
      </c>
      <c r="I1000" s="343" t="s">
        <v>324</v>
      </c>
      <c r="J1000" s="343" t="s">
        <v>315</v>
      </c>
      <c r="K1000" s="343" t="s">
        <v>298</v>
      </c>
      <c r="L1000" s="343" t="s">
        <v>4524</v>
      </c>
      <c r="M1000" s="344" t="s">
        <v>315</v>
      </c>
      <c r="N1000" s="344" t="s">
        <v>5330</v>
      </c>
      <c r="O1000" s="344" t="s">
        <v>5331</v>
      </c>
      <c r="P1000" s="344" t="s">
        <v>5332</v>
      </c>
      <c r="Q1000" s="344" t="s">
        <v>5333</v>
      </c>
      <c r="R1000" s="344" t="s">
        <v>5334</v>
      </c>
      <c r="S1000" s="344" t="s">
        <v>5335</v>
      </c>
      <c r="T1000" s="344" t="s">
        <v>5336</v>
      </c>
      <c r="U1000" s="344" t="s">
        <v>5337</v>
      </c>
      <c r="V1000" s="344" t="s">
        <v>5338</v>
      </c>
      <c r="W1000" s="343" t="s">
        <v>315</v>
      </c>
      <c r="X1000" s="343" t="s">
        <v>306</v>
      </c>
    </row>
    <row r="1001">
      <c r="A1001" s="295" t="s">
        <v>5339</v>
      </c>
      <c r="B1001" s="298">
        <v>3.0</v>
      </c>
      <c r="C1001" s="298" t="s">
        <v>522</v>
      </c>
      <c r="D1001" s="298" t="s">
        <v>359</v>
      </c>
      <c r="E1001" s="298" t="s">
        <v>290</v>
      </c>
      <c r="F1001" s="484" t="str">
        <f>'Character Sheet'!$B$9</f>
        <v/>
      </c>
      <c r="G1001" s="298" t="s">
        <v>477</v>
      </c>
      <c r="H1001" s="298" t="s">
        <v>324</v>
      </c>
      <c r="I1001" s="298" t="s">
        <v>2304</v>
      </c>
      <c r="J1001" s="298" t="s">
        <v>192</v>
      </c>
      <c r="K1001" s="298" t="s">
        <v>478</v>
      </c>
      <c r="L1001" s="298" t="s">
        <v>4524</v>
      </c>
      <c r="M1001" s="301" t="s">
        <v>315</v>
      </c>
      <c r="N1001" s="301" t="s">
        <v>315</v>
      </c>
      <c r="O1001" s="301" t="s">
        <v>5340</v>
      </c>
      <c r="P1001" s="301" t="s">
        <v>5340</v>
      </c>
      <c r="Q1001" s="301" t="s">
        <v>5340</v>
      </c>
      <c r="R1001" s="301" t="s">
        <v>5341</v>
      </c>
      <c r="S1001" s="301" t="s">
        <v>5341</v>
      </c>
      <c r="T1001" s="301" t="s">
        <v>5341</v>
      </c>
      <c r="U1001" s="301" t="s">
        <v>5342</v>
      </c>
      <c r="V1001" s="301" t="s">
        <v>5342</v>
      </c>
      <c r="W1001" s="298" t="s">
        <v>315</v>
      </c>
      <c r="X1001" s="298" t="s">
        <v>306</v>
      </c>
    </row>
    <row r="1002">
      <c r="A1002" s="295" t="s">
        <v>5343</v>
      </c>
      <c r="B1002" s="298">
        <v>3.0</v>
      </c>
      <c r="C1002" s="298" t="s">
        <v>522</v>
      </c>
      <c r="D1002" s="298" t="s">
        <v>310</v>
      </c>
      <c r="E1002" s="298" t="s">
        <v>311</v>
      </c>
      <c r="F1002" s="484" t="str">
        <f>'Character Sheet'!$B$9</f>
        <v/>
      </c>
      <c r="G1002" s="298" t="s">
        <v>493</v>
      </c>
      <c r="H1002" s="298" t="s">
        <v>324</v>
      </c>
      <c r="I1002" s="298" t="s">
        <v>324</v>
      </c>
      <c r="J1002" s="298" t="s">
        <v>315</v>
      </c>
      <c r="K1002" s="298" t="s">
        <v>632</v>
      </c>
      <c r="L1002" s="298" t="s">
        <v>4524</v>
      </c>
      <c r="M1002" s="301" t="s">
        <v>315</v>
      </c>
      <c r="N1002" s="301" t="s">
        <v>315</v>
      </c>
      <c r="O1002" s="301" t="s">
        <v>5345</v>
      </c>
      <c r="P1002" s="301" t="s">
        <v>5345</v>
      </c>
      <c r="Q1002" s="301" t="s">
        <v>5345</v>
      </c>
      <c r="R1002" s="301" t="s">
        <v>5345</v>
      </c>
      <c r="S1002" s="301" t="s">
        <v>5345</v>
      </c>
      <c r="T1002" s="301" t="s">
        <v>5345</v>
      </c>
      <c r="U1002" s="301" t="s">
        <v>5345</v>
      </c>
      <c r="V1002" s="301" t="s">
        <v>5345</v>
      </c>
      <c r="W1002" s="298" t="s">
        <v>315</v>
      </c>
      <c r="X1002" s="298" t="s">
        <v>678</v>
      </c>
    </row>
    <row r="1003">
      <c r="A1003" s="295" t="s">
        <v>5346</v>
      </c>
      <c r="B1003" s="298">
        <v>3.0</v>
      </c>
      <c r="C1003" s="298" t="s">
        <v>522</v>
      </c>
      <c r="D1003" s="298" t="s">
        <v>421</v>
      </c>
      <c r="E1003" s="298" t="s">
        <v>311</v>
      </c>
      <c r="F1003" s="484" t="str">
        <f>'Character Sheet'!$K$9</f>
        <v/>
      </c>
      <c r="G1003" s="298" t="s">
        <v>493</v>
      </c>
      <c r="H1003" s="298" t="s">
        <v>324</v>
      </c>
      <c r="I1003" s="298" t="s">
        <v>324</v>
      </c>
      <c r="J1003" s="298" t="s">
        <v>315</v>
      </c>
      <c r="K1003" s="298" t="s">
        <v>298</v>
      </c>
      <c r="L1003" s="298" t="s">
        <v>4524</v>
      </c>
      <c r="M1003" s="301" t="s">
        <v>315</v>
      </c>
      <c r="N1003" s="301" t="s">
        <v>315</v>
      </c>
      <c r="O1003" s="301" t="s">
        <v>5347</v>
      </c>
      <c r="P1003" s="301" t="s">
        <v>5347</v>
      </c>
      <c r="Q1003" s="301" t="s">
        <v>5347</v>
      </c>
      <c r="R1003" s="301" t="s">
        <v>5347</v>
      </c>
      <c r="S1003" s="301" t="s">
        <v>5347</v>
      </c>
      <c r="T1003" s="301" t="s">
        <v>5347</v>
      </c>
      <c r="U1003" s="301" t="s">
        <v>5347</v>
      </c>
      <c r="V1003" s="301" t="s">
        <v>5347</v>
      </c>
      <c r="W1003" s="298" t="s">
        <v>315</v>
      </c>
      <c r="X1003" s="298" t="s">
        <v>678</v>
      </c>
    </row>
    <row r="1004">
      <c r="A1004" s="295" t="s">
        <v>5348</v>
      </c>
      <c r="B1004" s="298">
        <v>3.0</v>
      </c>
      <c r="C1004" s="298" t="s">
        <v>522</v>
      </c>
      <c r="D1004" s="298" t="s">
        <v>289</v>
      </c>
      <c r="E1004" s="298" t="s">
        <v>290</v>
      </c>
      <c r="F1004" s="484" t="str">
        <f>'Character Sheet'!$C$9</f>
        <v/>
      </c>
      <c r="G1004" s="298" t="s">
        <v>294</v>
      </c>
      <c r="H1004" s="298" t="s">
        <v>324</v>
      </c>
      <c r="I1004" s="298" t="s">
        <v>324</v>
      </c>
      <c r="J1004" s="298" t="s">
        <v>315</v>
      </c>
      <c r="K1004" s="298" t="s">
        <v>2509</v>
      </c>
      <c r="L1004" s="298" t="s">
        <v>4524</v>
      </c>
      <c r="M1004" s="301" t="s">
        <v>315</v>
      </c>
      <c r="N1004" s="301" t="s">
        <v>315</v>
      </c>
      <c r="O1004" s="301" t="s">
        <v>5349</v>
      </c>
      <c r="P1004" s="301" t="s">
        <v>5349</v>
      </c>
      <c r="Q1004" s="301" t="s">
        <v>5350</v>
      </c>
      <c r="R1004" s="301" t="s">
        <v>5350</v>
      </c>
      <c r="S1004" s="301" t="s">
        <v>5350</v>
      </c>
      <c r="T1004" s="301" t="s">
        <v>5350</v>
      </c>
      <c r="U1004" s="301" t="s">
        <v>5350</v>
      </c>
      <c r="V1004" s="301" t="s">
        <v>5350</v>
      </c>
      <c r="W1004" s="298" t="s">
        <v>315</v>
      </c>
      <c r="X1004" s="298" t="s">
        <v>306</v>
      </c>
    </row>
    <row r="1005">
      <c r="A1005" s="295" t="s">
        <v>5351</v>
      </c>
      <c r="B1005" s="298">
        <v>3.0</v>
      </c>
      <c r="C1005" s="298" t="s">
        <v>522</v>
      </c>
      <c r="D1005" s="298" t="s">
        <v>334</v>
      </c>
      <c r="E1005" s="298" t="s">
        <v>290</v>
      </c>
      <c r="F1005" s="484" t="str">
        <f>'Character Sheet'!$B$9</f>
        <v/>
      </c>
      <c r="G1005" s="298" t="s">
        <v>493</v>
      </c>
      <c r="H1005" s="298" t="s">
        <v>324</v>
      </c>
      <c r="I1005" s="298" t="s">
        <v>324</v>
      </c>
      <c r="J1005" s="298" t="s">
        <v>315</v>
      </c>
      <c r="K1005" s="298" t="s">
        <v>632</v>
      </c>
      <c r="L1005" s="298" t="s">
        <v>4524</v>
      </c>
      <c r="M1005" s="301" t="s">
        <v>315</v>
      </c>
      <c r="N1005" s="301" t="s">
        <v>315</v>
      </c>
      <c r="O1005" s="301" t="s">
        <v>5352</v>
      </c>
      <c r="P1005" s="301" t="s">
        <v>5353</v>
      </c>
      <c r="Q1005" s="301" t="s">
        <v>5354</v>
      </c>
      <c r="R1005" s="301" t="s">
        <v>5355</v>
      </c>
      <c r="S1005" s="301" t="s">
        <v>5356</v>
      </c>
      <c r="T1005" s="301" t="s">
        <v>5357</v>
      </c>
      <c r="U1005" s="301" t="s">
        <v>5358</v>
      </c>
      <c r="V1005" s="301" t="s">
        <v>5359</v>
      </c>
      <c r="W1005" s="298" t="s">
        <v>315</v>
      </c>
      <c r="X1005" s="298" t="s">
        <v>678</v>
      </c>
    </row>
    <row r="1006">
      <c r="A1006" s="295" t="s">
        <v>5360</v>
      </c>
      <c r="B1006" s="298">
        <v>3.0</v>
      </c>
      <c r="C1006" s="298" t="s">
        <v>522</v>
      </c>
      <c r="D1006" s="298" t="s">
        <v>310</v>
      </c>
      <c r="E1006" s="298" t="s">
        <v>311</v>
      </c>
      <c r="F1006" s="484" t="str">
        <f>'Character Sheet'!$K$9</f>
        <v/>
      </c>
      <c r="G1006" s="298" t="s">
        <v>477</v>
      </c>
      <c r="H1006" s="298" t="s">
        <v>324</v>
      </c>
      <c r="I1006" s="298" t="s">
        <v>324</v>
      </c>
      <c r="J1006" s="298" t="s">
        <v>315</v>
      </c>
      <c r="K1006" s="298" t="s">
        <v>298</v>
      </c>
      <c r="L1006" s="298" t="s">
        <v>4524</v>
      </c>
      <c r="M1006" s="301" t="s">
        <v>315</v>
      </c>
      <c r="N1006" s="301" t="s">
        <v>315</v>
      </c>
      <c r="O1006" s="301" t="s">
        <v>5361</v>
      </c>
      <c r="P1006" s="301" t="s">
        <v>5361</v>
      </c>
      <c r="Q1006" s="301" t="s">
        <v>5361</v>
      </c>
      <c r="R1006" s="301" t="s">
        <v>5361</v>
      </c>
      <c r="S1006" s="301" t="s">
        <v>5361</v>
      </c>
      <c r="T1006" s="301" t="s">
        <v>5361</v>
      </c>
      <c r="U1006" s="301" t="s">
        <v>5361</v>
      </c>
      <c r="V1006" s="301" t="s">
        <v>5361</v>
      </c>
      <c r="W1006" s="298" t="s">
        <v>315</v>
      </c>
      <c r="X1006" s="298" t="s">
        <v>678</v>
      </c>
    </row>
    <row r="1007">
      <c r="A1007" s="295" t="s">
        <v>5362</v>
      </c>
      <c r="B1007" s="298">
        <v>3.0</v>
      </c>
      <c r="C1007" s="298" t="s">
        <v>522</v>
      </c>
      <c r="D1007" s="298" t="s">
        <v>310</v>
      </c>
      <c r="E1007" s="298" t="s">
        <v>290</v>
      </c>
      <c r="F1007" s="484" t="str">
        <f>'Character Sheet'!$E$9</f>
        <v/>
      </c>
      <c r="G1007" s="298" t="s">
        <v>294</v>
      </c>
      <c r="H1007" s="298" t="s">
        <v>2740</v>
      </c>
      <c r="I1007" s="298" t="s">
        <v>4801</v>
      </c>
      <c r="J1007" s="298" t="s">
        <v>315</v>
      </c>
      <c r="K1007" s="298" t="s">
        <v>424</v>
      </c>
      <c r="L1007" s="298" t="s">
        <v>4524</v>
      </c>
      <c r="M1007" s="301" t="s">
        <v>315</v>
      </c>
      <c r="N1007" s="301" t="s">
        <v>315</v>
      </c>
      <c r="O1007" s="301" t="s">
        <v>5363</v>
      </c>
      <c r="P1007" s="301" t="s">
        <v>5363</v>
      </c>
      <c r="Q1007" s="301" t="s">
        <v>5363</v>
      </c>
      <c r="R1007" s="301" t="s">
        <v>5364</v>
      </c>
      <c r="S1007" s="301" t="s">
        <v>5364</v>
      </c>
      <c r="T1007" s="301" t="s">
        <v>5365</v>
      </c>
      <c r="U1007" s="301" t="s">
        <v>5365</v>
      </c>
      <c r="V1007" s="301" t="s">
        <v>5365</v>
      </c>
      <c r="W1007" s="298" t="s">
        <v>315</v>
      </c>
      <c r="X1007" s="298" t="s">
        <v>678</v>
      </c>
    </row>
    <row r="1008">
      <c r="A1008" s="295" t="s">
        <v>5366</v>
      </c>
      <c r="B1008" s="298">
        <v>3.0</v>
      </c>
      <c r="C1008" s="298" t="s">
        <v>522</v>
      </c>
      <c r="D1008" s="298" t="s">
        <v>359</v>
      </c>
      <c r="E1008" s="298" t="s">
        <v>311</v>
      </c>
      <c r="F1008" s="484" t="str">
        <f>'Character Sheet'!$B$9</f>
        <v/>
      </c>
      <c r="G1008" s="298" t="s">
        <v>493</v>
      </c>
      <c r="H1008" s="298" t="s">
        <v>324</v>
      </c>
      <c r="I1008" s="298" t="s">
        <v>2051</v>
      </c>
      <c r="J1008" s="298" t="s">
        <v>192</v>
      </c>
      <c r="K1008" s="298" t="s">
        <v>1174</v>
      </c>
      <c r="L1008" s="298" t="s">
        <v>4524</v>
      </c>
      <c r="M1008" s="301" t="s">
        <v>315</v>
      </c>
      <c r="N1008" s="301" t="s">
        <v>315</v>
      </c>
      <c r="O1008" s="301" t="s">
        <v>5367</v>
      </c>
      <c r="P1008" s="301" t="s">
        <v>5367</v>
      </c>
      <c r="Q1008" s="301" t="s">
        <v>5367</v>
      </c>
      <c r="R1008" s="301" t="s">
        <v>5367</v>
      </c>
      <c r="S1008" s="301" t="s">
        <v>5367</v>
      </c>
      <c r="T1008" s="301" t="s">
        <v>5367</v>
      </c>
      <c r="U1008" s="301" t="s">
        <v>5367</v>
      </c>
      <c r="V1008" s="301" t="s">
        <v>5367</v>
      </c>
      <c r="W1008" s="298" t="s">
        <v>315</v>
      </c>
      <c r="X1008" s="298" t="s">
        <v>678</v>
      </c>
    </row>
    <row r="1009">
      <c r="A1009" s="295" t="s">
        <v>5368</v>
      </c>
      <c r="B1009" s="298">
        <v>3.0</v>
      </c>
      <c r="C1009" s="298" t="s">
        <v>522</v>
      </c>
      <c r="D1009" s="298" t="s">
        <v>421</v>
      </c>
      <c r="E1009" s="298" t="s">
        <v>290</v>
      </c>
      <c r="F1009" s="484" t="str">
        <f>'Character Sheet'!$B$9</f>
        <v/>
      </c>
      <c r="G1009" s="298" t="s">
        <v>493</v>
      </c>
      <c r="H1009" s="298" t="s">
        <v>324</v>
      </c>
      <c r="I1009" s="298" t="s">
        <v>324</v>
      </c>
      <c r="J1009" s="298" t="s">
        <v>315</v>
      </c>
      <c r="K1009" s="298" t="s">
        <v>1174</v>
      </c>
      <c r="L1009" s="298" t="s">
        <v>4524</v>
      </c>
      <c r="M1009" s="301" t="s">
        <v>315</v>
      </c>
      <c r="N1009" s="301" t="s">
        <v>315</v>
      </c>
      <c r="O1009" s="301" t="s">
        <v>5369</v>
      </c>
      <c r="P1009" s="301" t="s">
        <v>5369</v>
      </c>
      <c r="Q1009" s="301" t="s">
        <v>5369</v>
      </c>
      <c r="R1009" s="301" t="s">
        <v>5370</v>
      </c>
      <c r="S1009" s="301" t="s">
        <v>5370</v>
      </c>
      <c r="T1009" s="301" t="s">
        <v>5370</v>
      </c>
      <c r="U1009" s="301" t="s">
        <v>5371</v>
      </c>
      <c r="V1009" s="301" t="s">
        <v>5371</v>
      </c>
      <c r="W1009" s="298" t="s">
        <v>315</v>
      </c>
      <c r="X1009" s="298" t="s">
        <v>318</v>
      </c>
    </row>
    <row r="1010">
      <c r="A1010" s="295" t="s">
        <v>5372</v>
      </c>
      <c r="B1010" s="298">
        <v>3.0</v>
      </c>
      <c r="C1010" s="298" t="s">
        <v>522</v>
      </c>
      <c r="D1010" s="298" t="s">
        <v>289</v>
      </c>
      <c r="E1010" s="298" t="s">
        <v>290</v>
      </c>
      <c r="F1010" s="484" t="str">
        <f>'Character Sheet'!$C$9</f>
        <v/>
      </c>
      <c r="G1010" s="298" t="s">
        <v>294</v>
      </c>
      <c r="H1010" s="298" t="s">
        <v>352</v>
      </c>
      <c r="I1010" s="298" t="s">
        <v>296</v>
      </c>
      <c r="J1010" s="298" t="s">
        <v>173</v>
      </c>
      <c r="K1010" s="298" t="s">
        <v>298</v>
      </c>
      <c r="L1010" s="298" t="s">
        <v>4524</v>
      </c>
      <c r="M1010" s="301" t="s">
        <v>315</v>
      </c>
      <c r="N1010" s="301" t="s">
        <v>315</v>
      </c>
      <c r="O1010" s="301" t="s">
        <v>5373</v>
      </c>
      <c r="P1010" s="301" t="s">
        <v>5374</v>
      </c>
      <c r="Q1010" s="301" t="s">
        <v>5375</v>
      </c>
      <c r="R1010" s="301" t="s">
        <v>5376</v>
      </c>
      <c r="S1010" s="301" t="s">
        <v>5377</v>
      </c>
      <c r="T1010" s="301" t="s">
        <v>5378</v>
      </c>
      <c r="U1010" s="301" t="s">
        <v>5379</v>
      </c>
      <c r="V1010" s="301" t="s">
        <v>5380</v>
      </c>
      <c r="W1010" s="298" t="s">
        <v>315</v>
      </c>
      <c r="X1010" s="298" t="s">
        <v>318</v>
      </c>
    </row>
    <row r="1011">
      <c r="A1011" s="295" t="s">
        <v>5381</v>
      </c>
      <c r="B1011" s="298">
        <v>3.0</v>
      </c>
      <c r="C1011" s="298" t="s">
        <v>522</v>
      </c>
      <c r="D1011" s="298" t="s">
        <v>321</v>
      </c>
      <c r="E1011" s="298" t="s">
        <v>290</v>
      </c>
      <c r="F1011" s="484" t="str">
        <f>'Character Sheet'!$C$9</f>
        <v/>
      </c>
      <c r="G1011" s="298" t="s">
        <v>294</v>
      </c>
      <c r="H1011" s="298" t="s">
        <v>324</v>
      </c>
      <c r="I1011" s="298" t="s">
        <v>324</v>
      </c>
      <c r="J1011" s="298" t="s">
        <v>315</v>
      </c>
      <c r="K1011" s="298" t="s">
        <v>1753</v>
      </c>
      <c r="L1011" s="298" t="s">
        <v>4524</v>
      </c>
      <c r="M1011" s="301" t="s">
        <v>315</v>
      </c>
      <c r="N1011" s="301" t="s">
        <v>315</v>
      </c>
      <c r="O1011" s="301" t="s">
        <v>5382</v>
      </c>
      <c r="P1011" s="301" t="s">
        <v>5382</v>
      </c>
      <c r="Q1011" s="301" t="s">
        <v>5382</v>
      </c>
      <c r="R1011" s="301" t="s">
        <v>5383</v>
      </c>
      <c r="S1011" s="301" t="s">
        <v>5383</v>
      </c>
      <c r="T1011" s="301" t="s">
        <v>5383</v>
      </c>
      <c r="U1011" s="301" t="s">
        <v>5383</v>
      </c>
      <c r="V1011" s="301" t="s">
        <v>5383</v>
      </c>
      <c r="W1011" s="298" t="s">
        <v>315</v>
      </c>
      <c r="X1011" s="298" t="s">
        <v>678</v>
      </c>
    </row>
    <row r="1012">
      <c r="A1012" s="295" t="s">
        <v>5384</v>
      </c>
      <c r="B1012" s="298">
        <v>3.0</v>
      </c>
      <c r="C1012" s="298" t="s">
        <v>522</v>
      </c>
      <c r="D1012" s="298" t="s">
        <v>334</v>
      </c>
      <c r="E1012" s="298" t="s">
        <v>290</v>
      </c>
      <c r="F1012" s="484" t="str">
        <f>'Character Sheet'!$C$9</f>
        <v/>
      </c>
      <c r="G1012" s="298" t="s">
        <v>294</v>
      </c>
      <c r="H1012" s="298" t="s">
        <v>295</v>
      </c>
      <c r="I1012" s="298" t="s">
        <v>296</v>
      </c>
      <c r="J1012" s="298" t="s">
        <v>315</v>
      </c>
      <c r="K1012" s="298" t="s">
        <v>298</v>
      </c>
      <c r="L1012" s="298" t="s">
        <v>4524</v>
      </c>
      <c r="M1012" s="301" t="s">
        <v>315</v>
      </c>
      <c r="N1012" s="301" t="s">
        <v>315</v>
      </c>
      <c r="O1012" s="301" t="s">
        <v>5385</v>
      </c>
      <c r="P1012" s="301" t="s">
        <v>5386</v>
      </c>
      <c r="Q1012" s="301" t="s">
        <v>5387</v>
      </c>
      <c r="R1012" s="301" t="s">
        <v>5388</v>
      </c>
      <c r="S1012" s="301" t="s">
        <v>5389</v>
      </c>
      <c r="T1012" s="301" t="s">
        <v>5390</v>
      </c>
      <c r="U1012" s="301" t="s">
        <v>5391</v>
      </c>
      <c r="V1012" s="301" t="s">
        <v>5392</v>
      </c>
      <c r="W1012" s="298" t="s">
        <v>315</v>
      </c>
      <c r="X1012" s="298" t="s">
        <v>678</v>
      </c>
    </row>
    <row r="1013">
      <c r="A1013" s="295" t="s">
        <v>5393</v>
      </c>
      <c r="B1013" s="298">
        <v>3.0</v>
      </c>
      <c r="C1013" s="298" t="s">
        <v>522</v>
      </c>
      <c r="D1013" s="298" t="s">
        <v>289</v>
      </c>
      <c r="E1013" s="298" t="s">
        <v>290</v>
      </c>
      <c r="F1013" s="484" t="str">
        <f>'Character Sheet'!$C$9</f>
        <v/>
      </c>
      <c r="G1013" s="298" t="s">
        <v>294</v>
      </c>
      <c r="H1013" s="298" t="s">
        <v>324</v>
      </c>
      <c r="I1013" s="298" t="s">
        <v>1174</v>
      </c>
      <c r="J1013" s="298" t="s">
        <v>407</v>
      </c>
      <c r="K1013" s="298" t="s">
        <v>298</v>
      </c>
      <c r="L1013" s="298" t="s">
        <v>4524</v>
      </c>
      <c r="M1013" s="301" t="s">
        <v>315</v>
      </c>
      <c r="N1013" s="301" t="s">
        <v>315</v>
      </c>
      <c r="O1013" s="301" t="s">
        <v>5394</v>
      </c>
      <c r="P1013" s="301" t="s">
        <v>5395</v>
      </c>
      <c r="Q1013" s="301" t="s">
        <v>5396</v>
      </c>
      <c r="R1013" s="301" t="s">
        <v>5397</v>
      </c>
      <c r="S1013" s="301" t="s">
        <v>5398</v>
      </c>
      <c r="T1013" s="301" t="s">
        <v>5399</v>
      </c>
      <c r="U1013" s="301" t="s">
        <v>5400</v>
      </c>
      <c r="V1013" s="301" t="s">
        <v>5401</v>
      </c>
      <c r="W1013" s="298" t="s">
        <v>315</v>
      </c>
      <c r="X1013" s="298" t="s">
        <v>306</v>
      </c>
    </row>
    <row r="1014">
      <c r="A1014" s="295" t="s">
        <v>5402</v>
      </c>
      <c r="B1014" s="298">
        <v>3.0</v>
      </c>
      <c r="C1014" s="298" t="s">
        <v>522</v>
      </c>
      <c r="D1014" s="298" t="s">
        <v>334</v>
      </c>
      <c r="E1014" s="298" t="s">
        <v>290</v>
      </c>
      <c r="F1014" s="484" t="str">
        <f>'Character Sheet'!$B$9</f>
        <v/>
      </c>
      <c r="G1014" s="298" t="s">
        <v>493</v>
      </c>
      <c r="H1014" s="298" t="s">
        <v>295</v>
      </c>
      <c r="I1014" s="298" t="s">
        <v>2038</v>
      </c>
      <c r="J1014" s="298" t="s">
        <v>336</v>
      </c>
      <c r="K1014" s="298" t="s">
        <v>298</v>
      </c>
      <c r="L1014" s="298" t="s">
        <v>4524</v>
      </c>
      <c r="M1014" s="301" t="s">
        <v>315</v>
      </c>
      <c r="N1014" s="301" t="s">
        <v>315</v>
      </c>
      <c r="O1014" s="301" t="s">
        <v>5403</v>
      </c>
      <c r="P1014" s="301" t="s">
        <v>5404</v>
      </c>
      <c r="Q1014" s="301" t="s">
        <v>5405</v>
      </c>
      <c r="R1014" s="301" t="s">
        <v>5406</v>
      </c>
      <c r="S1014" s="301" t="s">
        <v>5407</v>
      </c>
      <c r="T1014" s="301" t="s">
        <v>5408</v>
      </c>
      <c r="U1014" s="301" t="s">
        <v>5409</v>
      </c>
      <c r="V1014" s="301" t="s">
        <v>5410</v>
      </c>
      <c r="W1014" s="298" t="s">
        <v>315</v>
      </c>
      <c r="X1014" s="298" t="s">
        <v>306</v>
      </c>
    </row>
    <row r="1015">
      <c r="A1015" s="295" t="s">
        <v>5411</v>
      </c>
      <c r="B1015" s="298">
        <v>3.0</v>
      </c>
      <c r="C1015" s="298" t="s">
        <v>522</v>
      </c>
      <c r="D1015" s="298" t="s">
        <v>289</v>
      </c>
      <c r="E1015" s="298" t="s">
        <v>290</v>
      </c>
      <c r="F1015" s="484" t="str">
        <f>'Character Sheet'!$C$9</f>
        <v/>
      </c>
      <c r="G1015" s="298" t="s">
        <v>294</v>
      </c>
      <c r="H1015" s="298" t="s">
        <v>709</v>
      </c>
      <c r="I1015" s="298" t="s">
        <v>3354</v>
      </c>
      <c r="J1015" s="298" t="s">
        <v>407</v>
      </c>
      <c r="K1015" s="298" t="s">
        <v>298</v>
      </c>
      <c r="L1015" s="298" t="s">
        <v>4524</v>
      </c>
      <c r="M1015" s="301" t="s">
        <v>315</v>
      </c>
      <c r="N1015" s="301" t="s">
        <v>315</v>
      </c>
      <c r="O1015" s="301" t="s">
        <v>5412</v>
      </c>
      <c r="P1015" s="301" t="s">
        <v>5413</v>
      </c>
      <c r="Q1015" s="301" t="s">
        <v>5414</v>
      </c>
      <c r="R1015" s="301" t="s">
        <v>5415</v>
      </c>
      <c r="S1015" s="301" t="s">
        <v>5416</v>
      </c>
      <c r="T1015" s="301" t="s">
        <v>5417</v>
      </c>
      <c r="U1015" s="301" t="s">
        <v>5418</v>
      </c>
      <c r="V1015" s="301" t="s">
        <v>5419</v>
      </c>
      <c r="W1015" s="298" t="s">
        <v>315</v>
      </c>
      <c r="X1015" s="298" t="s">
        <v>318</v>
      </c>
    </row>
    <row r="1016">
      <c r="A1016" s="295" t="s">
        <v>5420</v>
      </c>
      <c r="B1016" s="298">
        <v>3.0</v>
      </c>
      <c r="C1016" s="298" t="s">
        <v>432</v>
      </c>
      <c r="D1016" s="298" t="s">
        <v>289</v>
      </c>
      <c r="E1016" s="298" t="s">
        <v>290</v>
      </c>
      <c r="F1016" s="484" t="str">
        <f>'Character Sheet'!$C$9</f>
        <v/>
      </c>
      <c r="G1016" s="298" t="s">
        <v>493</v>
      </c>
      <c r="H1016" s="298" t="s">
        <v>335</v>
      </c>
      <c r="I1016" s="298" t="s">
        <v>5421</v>
      </c>
      <c r="J1016" s="298" t="s">
        <v>407</v>
      </c>
      <c r="K1016" s="298" t="s">
        <v>1283</v>
      </c>
      <c r="L1016" s="298" t="s">
        <v>4524</v>
      </c>
      <c r="M1016" s="301" t="s">
        <v>315</v>
      </c>
      <c r="N1016" s="301" t="s">
        <v>315</v>
      </c>
      <c r="O1016" s="301" t="s">
        <v>5422</v>
      </c>
      <c r="P1016" s="301" t="s">
        <v>5422</v>
      </c>
      <c r="Q1016" s="301" t="s">
        <v>5423</v>
      </c>
      <c r="R1016" s="301" t="s">
        <v>5423</v>
      </c>
      <c r="S1016" s="301" t="s">
        <v>5424</v>
      </c>
      <c r="T1016" s="301" t="s">
        <v>5424</v>
      </c>
      <c r="U1016" s="301" t="s">
        <v>5425</v>
      </c>
      <c r="V1016" s="301" t="s">
        <v>5425</v>
      </c>
      <c r="W1016" s="298" t="s">
        <v>315</v>
      </c>
      <c r="X1016" s="298" t="s">
        <v>4967</v>
      </c>
    </row>
    <row r="1017">
      <c r="A1017" s="295" t="s">
        <v>5426</v>
      </c>
      <c r="B1017" s="298">
        <v>3.0</v>
      </c>
      <c r="C1017" s="298" t="s">
        <v>522</v>
      </c>
      <c r="D1017" s="298" t="s">
        <v>289</v>
      </c>
      <c r="E1017" s="298" t="s">
        <v>290</v>
      </c>
      <c r="F1017" s="484" t="str">
        <f>'Character Sheet'!$C$9</f>
        <v/>
      </c>
      <c r="G1017" s="298" t="s">
        <v>294</v>
      </c>
      <c r="H1017" s="298" t="s">
        <v>324</v>
      </c>
      <c r="I1017" s="298" t="s">
        <v>324</v>
      </c>
      <c r="J1017" s="298" t="s">
        <v>315</v>
      </c>
      <c r="K1017" s="298" t="s">
        <v>632</v>
      </c>
      <c r="L1017" s="298" t="s">
        <v>4524</v>
      </c>
      <c r="M1017" s="301" t="s">
        <v>315</v>
      </c>
      <c r="N1017" s="301" t="s">
        <v>315</v>
      </c>
      <c r="O1017" s="301" t="s">
        <v>5427</v>
      </c>
      <c r="P1017" s="301" t="s">
        <v>5427</v>
      </c>
      <c r="Q1017" s="301" t="s">
        <v>5427</v>
      </c>
      <c r="R1017" s="301" t="s">
        <v>5428</v>
      </c>
      <c r="S1017" s="301" t="s">
        <v>5428</v>
      </c>
      <c r="T1017" s="301" t="s">
        <v>5428</v>
      </c>
      <c r="U1017" s="301" t="s">
        <v>5429</v>
      </c>
      <c r="V1017" s="301" t="s">
        <v>5429</v>
      </c>
      <c r="W1017" s="298" t="s">
        <v>315</v>
      </c>
      <c r="X1017" s="298" t="s">
        <v>306</v>
      </c>
    </row>
    <row r="1018">
      <c r="A1018" s="295" t="s">
        <v>5430</v>
      </c>
      <c r="B1018" s="298">
        <v>3.0</v>
      </c>
      <c r="C1018" s="298" t="s">
        <v>522</v>
      </c>
      <c r="D1018" s="298" t="s">
        <v>462</v>
      </c>
      <c r="E1018" s="298" t="s">
        <v>290</v>
      </c>
      <c r="F1018" s="484" t="str">
        <f>'Character Sheet'!$B$9</f>
        <v/>
      </c>
      <c r="G1018" s="298" t="s">
        <v>477</v>
      </c>
      <c r="H1018" s="298" t="s">
        <v>324</v>
      </c>
      <c r="I1018" s="298" t="s">
        <v>324</v>
      </c>
      <c r="J1018" s="298" t="s">
        <v>315</v>
      </c>
      <c r="K1018" s="298" t="s">
        <v>632</v>
      </c>
      <c r="L1018" s="298" t="s">
        <v>4524</v>
      </c>
      <c r="M1018" s="301" t="s">
        <v>315</v>
      </c>
      <c r="N1018" s="301" t="s">
        <v>315</v>
      </c>
      <c r="O1018" s="301" t="s">
        <v>5431</v>
      </c>
      <c r="P1018" s="301" t="s">
        <v>5431</v>
      </c>
      <c r="Q1018" s="301" t="s">
        <v>5432</v>
      </c>
      <c r="R1018" s="301" t="s">
        <v>5432</v>
      </c>
      <c r="S1018" s="301" t="s">
        <v>5433</v>
      </c>
      <c r="T1018" s="301" t="s">
        <v>5433</v>
      </c>
      <c r="U1018" s="301" t="s">
        <v>5434</v>
      </c>
      <c r="V1018" s="301" t="s">
        <v>5434</v>
      </c>
      <c r="W1018" s="298" t="s">
        <v>315</v>
      </c>
      <c r="X1018" s="298" t="s">
        <v>306</v>
      </c>
    </row>
    <row r="1019">
      <c r="A1019" s="295" t="s">
        <v>5435</v>
      </c>
      <c r="B1019" s="298">
        <v>3.0</v>
      </c>
      <c r="C1019" s="298" t="s">
        <v>522</v>
      </c>
      <c r="D1019" s="298" t="s">
        <v>310</v>
      </c>
      <c r="E1019" s="298" t="s">
        <v>311</v>
      </c>
      <c r="F1019" s="484" t="str">
        <f>'Character Sheet'!$C$9</f>
        <v/>
      </c>
      <c r="G1019" s="298" t="s">
        <v>294</v>
      </c>
      <c r="H1019" s="298" t="s">
        <v>324</v>
      </c>
      <c r="I1019" s="298" t="s">
        <v>324</v>
      </c>
      <c r="J1019" s="298" t="s">
        <v>315</v>
      </c>
      <c r="K1019" s="298" t="s">
        <v>675</v>
      </c>
      <c r="L1019" s="298" t="s">
        <v>4524</v>
      </c>
      <c r="M1019" s="301" t="s">
        <v>315</v>
      </c>
      <c r="N1019" s="301" t="s">
        <v>315</v>
      </c>
      <c r="O1019" s="301" t="s">
        <v>5436</v>
      </c>
      <c r="P1019" s="301" t="s">
        <v>5436</v>
      </c>
      <c r="Q1019" s="301" t="s">
        <v>5436</v>
      </c>
      <c r="R1019" s="301" t="s">
        <v>5436</v>
      </c>
      <c r="S1019" s="301" t="s">
        <v>5436</v>
      </c>
      <c r="T1019" s="301" t="s">
        <v>5436</v>
      </c>
      <c r="U1019" s="301" t="s">
        <v>5436</v>
      </c>
      <c r="V1019" s="301" t="s">
        <v>5436</v>
      </c>
      <c r="W1019" s="298" t="s">
        <v>315</v>
      </c>
      <c r="X1019" s="298" t="s">
        <v>678</v>
      </c>
    </row>
    <row r="1020">
      <c r="A1020" s="295" t="s">
        <v>5437</v>
      </c>
      <c r="B1020" s="298">
        <v>3.0</v>
      </c>
      <c r="C1020" s="298" t="s">
        <v>522</v>
      </c>
      <c r="D1020" s="298" t="s">
        <v>310</v>
      </c>
      <c r="E1020" s="298" t="s">
        <v>311</v>
      </c>
      <c r="F1020" s="484" t="str">
        <f>'Character Sheet'!$B$9</f>
        <v/>
      </c>
      <c r="G1020" s="298" t="s">
        <v>477</v>
      </c>
      <c r="H1020" s="298" t="s">
        <v>324</v>
      </c>
      <c r="I1020" s="298" t="s">
        <v>324</v>
      </c>
      <c r="J1020" s="298" t="s">
        <v>315</v>
      </c>
      <c r="K1020" s="298" t="s">
        <v>298</v>
      </c>
      <c r="L1020" s="298" t="s">
        <v>4524</v>
      </c>
      <c r="M1020" s="301" t="s">
        <v>315</v>
      </c>
      <c r="N1020" s="301" t="s">
        <v>315</v>
      </c>
      <c r="O1020" s="301" t="s">
        <v>5438</v>
      </c>
      <c r="P1020" s="301" t="s">
        <v>5438</v>
      </c>
      <c r="Q1020" s="301" t="s">
        <v>5438</v>
      </c>
      <c r="R1020" s="301" t="s">
        <v>5438</v>
      </c>
      <c r="S1020" s="301" t="s">
        <v>5438</v>
      </c>
      <c r="T1020" s="301" t="s">
        <v>5438</v>
      </c>
      <c r="U1020" s="301" t="s">
        <v>5438</v>
      </c>
      <c r="V1020" s="301" t="s">
        <v>5438</v>
      </c>
      <c r="W1020" s="298" t="s">
        <v>315</v>
      </c>
      <c r="X1020" s="298" t="s">
        <v>306</v>
      </c>
    </row>
    <row r="1021">
      <c r="A1021" s="295" t="s">
        <v>5439</v>
      </c>
      <c r="B1021" s="298">
        <v>3.0</v>
      </c>
      <c r="C1021" s="298" t="s">
        <v>522</v>
      </c>
      <c r="D1021" s="298" t="s">
        <v>310</v>
      </c>
      <c r="E1021" s="298" t="s">
        <v>290</v>
      </c>
      <c r="F1021" s="484" t="str">
        <f>'Character Sheet'!$E$9</f>
        <v/>
      </c>
      <c r="G1021" s="298" t="s">
        <v>674</v>
      </c>
      <c r="H1021" s="298" t="s">
        <v>2740</v>
      </c>
      <c r="I1021" s="298" t="s">
        <v>375</v>
      </c>
      <c r="J1021" s="298" t="s">
        <v>315</v>
      </c>
      <c r="K1021" s="298" t="s">
        <v>424</v>
      </c>
      <c r="L1021" s="298" t="s">
        <v>4524</v>
      </c>
      <c r="M1021" s="301" t="s">
        <v>315</v>
      </c>
      <c r="N1021" s="301" t="s">
        <v>315</v>
      </c>
      <c r="O1021" s="301" t="s">
        <v>5440</v>
      </c>
      <c r="P1021" s="301" t="s">
        <v>5440</v>
      </c>
      <c r="Q1021" s="301" t="s">
        <v>5440</v>
      </c>
      <c r="R1021" s="301" t="s">
        <v>5441</v>
      </c>
      <c r="S1021" s="301" t="s">
        <v>5441</v>
      </c>
      <c r="T1021" s="301" t="s">
        <v>5441</v>
      </c>
      <c r="U1021" s="301" t="s">
        <v>5441</v>
      </c>
      <c r="V1021" s="301" t="s">
        <v>5441</v>
      </c>
      <c r="W1021" s="298" t="s">
        <v>315</v>
      </c>
      <c r="X1021" s="298" t="s">
        <v>4785</v>
      </c>
    </row>
    <row r="1022">
      <c r="A1022" s="295" t="s">
        <v>5442</v>
      </c>
      <c r="B1022" s="298">
        <v>3.0</v>
      </c>
      <c r="C1022" s="298" t="s">
        <v>522</v>
      </c>
      <c r="D1022" s="298" t="s">
        <v>359</v>
      </c>
      <c r="E1022" s="298" t="s">
        <v>290</v>
      </c>
      <c r="F1022" s="484" t="str">
        <f>'Character Sheet'!$B$9</f>
        <v/>
      </c>
      <c r="G1022" s="298" t="s">
        <v>493</v>
      </c>
      <c r="H1022" s="298" t="s">
        <v>324</v>
      </c>
      <c r="I1022" s="298" t="s">
        <v>324</v>
      </c>
      <c r="J1022" s="298" t="s">
        <v>315</v>
      </c>
      <c r="K1022" s="298" t="s">
        <v>478</v>
      </c>
      <c r="L1022" s="298" t="s">
        <v>4524</v>
      </c>
      <c r="M1022" s="301" t="s">
        <v>315</v>
      </c>
      <c r="N1022" s="301" t="s">
        <v>315</v>
      </c>
      <c r="O1022" s="301" t="s">
        <v>5443</v>
      </c>
      <c r="P1022" s="301" t="s">
        <v>5443</v>
      </c>
      <c r="Q1022" s="301" t="s">
        <v>5444</v>
      </c>
      <c r="R1022" s="301" t="s">
        <v>5444</v>
      </c>
      <c r="S1022" s="301" t="s">
        <v>5444</v>
      </c>
      <c r="T1022" s="301" t="s">
        <v>5444</v>
      </c>
      <c r="U1022" s="301" t="s">
        <v>5444</v>
      </c>
      <c r="V1022" s="301" t="s">
        <v>5444</v>
      </c>
      <c r="W1022" s="298" t="s">
        <v>315</v>
      </c>
      <c r="X1022" s="298" t="s">
        <v>306</v>
      </c>
    </row>
    <row r="1023">
      <c r="A1023" s="295" t="s">
        <v>5445</v>
      </c>
      <c r="B1023" s="298">
        <v>3.0</v>
      </c>
      <c r="C1023" s="298" t="s">
        <v>522</v>
      </c>
      <c r="D1023" s="298" t="s">
        <v>321</v>
      </c>
      <c r="E1023" s="298" t="s">
        <v>290</v>
      </c>
      <c r="F1023" s="484" t="str">
        <f>'Character Sheet'!$C$9</f>
        <v/>
      </c>
      <c r="G1023" s="298" t="s">
        <v>294</v>
      </c>
      <c r="H1023" s="298" t="s">
        <v>360</v>
      </c>
      <c r="I1023" s="298" t="s">
        <v>296</v>
      </c>
      <c r="J1023" s="298" t="s">
        <v>192</v>
      </c>
      <c r="K1023" s="298" t="s">
        <v>1174</v>
      </c>
      <c r="L1023" s="298" t="s">
        <v>4524</v>
      </c>
      <c r="M1023" s="301" t="s">
        <v>315</v>
      </c>
      <c r="N1023" s="301" t="s">
        <v>315</v>
      </c>
      <c r="O1023" s="301" t="s">
        <v>5446</v>
      </c>
      <c r="P1023" s="301" t="s">
        <v>5446</v>
      </c>
      <c r="Q1023" s="301" t="s">
        <v>5447</v>
      </c>
      <c r="R1023" s="301" t="s">
        <v>5447</v>
      </c>
      <c r="S1023" s="301" t="s">
        <v>5448</v>
      </c>
      <c r="T1023" s="301" t="s">
        <v>5448</v>
      </c>
      <c r="U1023" s="301" t="s">
        <v>5449</v>
      </c>
      <c r="V1023" s="301" t="s">
        <v>5449</v>
      </c>
      <c r="W1023" s="298" t="s">
        <v>315</v>
      </c>
      <c r="X1023" s="298" t="s">
        <v>678</v>
      </c>
    </row>
    <row r="1024">
      <c r="A1024" s="295" t="s">
        <v>5450</v>
      </c>
      <c r="B1024" s="298">
        <v>3.0</v>
      </c>
      <c r="C1024" s="298" t="s">
        <v>522</v>
      </c>
      <c r="D1024" s="298" t="s">
        <v>321</v>
      </c>
      <c r="E1024" s="298" t="s">
        <v>290</v>
      </c>
      <c r="F1024" s="484" t="str">
        <f>'Character Sheet'!$C$9</f>
        <v/>
      </c>
      <c r="G1024" s="298" t="s">
        <v>294</v>
      </c>
      <c r="H1024" s="298" t="s">
        <v>324</v>
      </c>
      <c r="I1024" s="298" t="s">
        <v>861</v>
      </c>
      <c r="J1024" s="298" t="s">
        <v>192</v>
      </c>
      <c r="K1024" s="298" t="s">
        <v>298</v>
      </c>
      <c r="L1024" s="298" t="s">
        <v>4524</v>
      </c>
      <c r="M1024" s="301" t="s">
        <v>315</v>
      </c>
      <c r="N1024" s="301" t="s">
        <v>315</v>
      </c>
      <c r="O1024" s="301" t="s">
        <v>5451</v>
      </c>
      <c r="P1024" s="301" t="s">
        <v>5451</v>
      </c>
      <c r="Q1024" s="301" t="s">
        <v>5452</v>
      </c>
      <c r="R1024" s="301" t="s">
        <v>5452</v>
      </c>
      <c r="S1024" s="301" t="s">
        <v>5452</v>
      </c>
      <c r="T1024" s="301" t="s">
        <v>5452</v>
      </c>
      <c r="U1024" s="301" t="s">
        <v>5452</v>
      </c>
      <c r="V1024" s="301" t="s">
        <v>5452</v>
      </c>
      <c r="W1024" s="298" t="s">
        <v>315</v>
      </c>
      <c r="X1024" s="298" t="s">
        <v>306</v>
      </c>
    </row>
    <row r="1025">
      <c r="A1025" s="295" t="s">
        <v>5453</v>
      </c>
      <c r="B1025" s="298">
        <v>3.0</v>
      </c>
      <c r="C1025" s="298" t="s">
        <v>522</v>
      </c>
      <c r="D1025" s="298" t="s">
        <v>289</v>
      </c>
      <c r="E1025" s="298" t="s">
        <v>290</v>
      </c>
      <c r="F1025" s="484" t="str">
        <f>'Character Sheet'!$C$9</f>
        <v/>
      </c>
      <c r="G1025" s="298" t="s">
        <v>294</v>
      </c>
      <c r="H1025" s="298" t="s">
        <v>352</v>
      </c>
      <c r="I1025" s="298" t="s">
        <v>1000</v>
      </c>
      <c r="J1025" s="298" t="s">
        <v>173</v>
      </c>
      <c r="K1025" s="298" t="s">
        <v>298</v>
      </c>
      <c r="L1025" s="298" t="s">
        <v>4524</v>
      </c>
      <c r="M1025" s="301" t="s">
        <v>315</v>
      </c>
      <c r="N1025" s="301" t="s">
        <v>315</v>
      </c>
      <c r="O1025" s="301" t="s">
        <v>5454</v>
      </c>
      <c r="P1025" s="301" t="s">
        <v>5455</v>
      </c>
      <c r="Q1025" s="301" t="s">
        <v>5456</v>
      </c>
      <c r="R1025" s="301" t="s">
        <v>5457</v>
      </c>
      <c r="S1025" s="301" t="s">
        <v>5458</v>
      </c>
      <c r="T1025" s="301" t="s">
        <v>5459</v>
      </c>
      <c r="U1025" s="301" t="s">
        <v>5460</v>
      </c>
      <c r="V1025" s="301" t="s">
        <v>5461</v>
      </c>
      <c r="W1025" s="298" t="s">
        <v>315</v>
      </c>
      <c r="X1025" s="298" t="s">
        <v>3701</v>
      </c>
    </row>
    <row r="1026">
      <c r="A1026" s="295" t="s">
        <v>5462</v>
      </c>
      <c r="B1026" s="298">
        <v>3.0</v>
      </c>
      <c r="C1026" s="298" t="s">
        <v>522</v>
      </c>
      <c r="D1026" s="298" t="s">
        <v>321</v>
      </c>
      <c r="E1026" s="298" t="s">
        <v>290</v>
      </c>
      <c r="F1026" s="484" t="str">
        <f>'Character Sheet'!$C$9</f>
        <v/>
      </c>
      <c r="G1026" s="298" t="s">
        <v>294</v>
      </c>
      <c r="H1026" s="298" t="s">
        <v>324</v>
      </c>
      <c r="I1026" s="298" t="s">
        <v>324</v>
      </c>
      <c r="J1026" s="298" t="s">
        <v>315</v>
      </c>
      <c r="K1026" s="298" t="s">
        <v>325</v>
      </c>
      <c r="L1026" s="298" t="s">
        <v>4524</v>
      </c>
      <c r="M1026" s="301" t="s">
        <v>315</v>
      </c>
      <c r="N1026" s="301" t="s">
        <v>315</v>
      </c>
      <c r="O1026" s="301" t="s">
        <v>5463</v>
      </c>
      <c r="P1026" s="301" t="s">
        <v>5463</v>
      </c>
      <c r="Q1026" s="301" t="s">
        <v>5463</v>
      </c>
      <c r="R1026" s="301" t="s">
        <v>5464</v>
      </c>
      <c r="S1026" s="301" t="s">
        <v>5464</v>
      </c>
      <c r="T1026" s="301" t="s">
        <v>5464</v>
      </c>
      <c r="U1026" s="301" t="s">
        <v>5465</v>
      </c>
      <c r="V1026" s="301" t="s">
        <v>5465</v>
      </c>
      <c r="W1026" s="298" t="s">
        <v>315</v>
      </c>
      <c r="X1026" s="298" t="s">
        <v>318</v>
      </c>
    </row>
    <row r="1027">
      <c r="A1027" s="295" t="s">
        <v>5466</v>
      </c>
      <c r="B1027" s="298">
        <v>3.0</v>
      </c>
      <c r="C1027" s="298" t="s">
        <v>522</v>
      </c>
      <c r="D1027" s="298" t="s">
        <v>289</v>
      </c>
      <c r="E1027" s="298" t="s">
        <v>290</v>
      </c>
      <c r="F1027" s="484" t="str">
        <f>'Character Sheet'!$C$9</f>
        <v/>
      </c>
      <c r="G1027" s="298" t="s">
        <v>294</v>
      </c>
      <c r="H1027" s="298" t="s">
        <v>295</v>
      </c>
      <c r="I1027" s="298" t="s">
        <v>296</v>
      </c>
      <c r="J1027" s="298" t="s">
        <v>173</v>
      </c>
      <c r="K1027" s="298" t="s">
        <v>424</v>
      </c>
      <c r="L1027" s="298" t="s">
        <v>4524</v>
      </c>
      <c r="M1027" s="301" t="s">
        <v>315</v>
      </c>
      <c r="N1027" s="301" t="s">
        <v>315</v>
      </c>
      <c r="O1027" s="301" t="s">
        <v>5467</v>
      </c>
      <c r="P1027" s="301" t="s">
        <v>5468</v>
      </c>
      <c r="Q1027" s="301" t="s">
        <v>5469</v>
      </c>
      <c r="R1027" s="301" t="s">
        <v>5470</v>
      </c>
      <c r="S1027" s="301" t="s">
        <v>5471</v>
      </c>
      <c r="T1027" s="301" t="s">
        <v>5472</v>
      </c>
      <c r="U1027" s="301" t="s">
        <v>5473</v>
      </c>
      <c r="V1027" s="301" t="s">
        <v>5474</v>
      </c>
      <c r="W1027" s="298" t="s">
        <v>315</v>
      </c>
      <c r="X1027" s="298" t="s">
        <v>678</v>
      </c>
    </row>
    <row r="1028">
      <c r="A1028" s="295" t="s">
        <v>5475</v>
      </c>
      <c r="B1028" s="298">
        <v>3.0</v>
      </c>
      <c r="C1028" s="298" t="s">
        <v>522</v>
      </c>
      <c r="D1028" s="298" t="s">
        <v>289</v>
      </c>
      <c r="E1028" s="298" t="s">
        <v>290</v>
      </c>
      <c r="F1028" s="484" t="str">
        <f>'Character Sheet'!$B$9</f>
        <v/>
      </c>
      <c r="G1028" s="298" t="s">
        <v>294</v>
      </c>
      <c r="H1028" s="298" t="s">
        <v>324</v>
      </c>
      <c r="I1028" s="298" t="s">
        <v>884</v>
      </c>
      <c r="J1028" s="298" t="s">
        <v>173</v>
      </c>
      <c r="K1028" s="298" t="s">
        <v>298</v>
      </c>
      <c r="L1028" s="298" t="s">
        <v>4524</v>
      </c>
      <c r="M1028" s="301" t="s">
        <v>315</v>
      </c>
      <c r="N1028" s="301" t="s">
        <v>315</v>
      </c>
      <c r="O1028" s="301" t="s">
        <v>5476</v>
      </c>
      <c r="P1028" s="301" t="s">
        <v>5477</v>
      </c>
      <c r="Q1028" s="301" t="s">
        <v>5478</v>
      </c>
      <c r="R1028" s="301" t="s">
        <v>5479</v>
      </c>
      <c r="S1028" s="301" t="s">
        <v>5480</v>
      </c>
      <c r="T1028" s="301" t="s">
        <v>5481</v>
      </c>
      <c r="U1028" s="301" t="s">
        <v>5482</v>
      </c>
      <c r="V1028" s="301" t="s">
        <v>5483</v>
      </c>
      <c r="W1028" s="298" t="s">
        <v>315</v>
      </c>
      <c r="X1028" s="298" t="s">
        <v>306</v>
      </c>
    </row>
    <row r="1029">
      <c r="A1029" s="295" t="s">
        <v>5484</v>
      </c>
      <c r="B1029" s="298">
        <v>3.0</v>
      </c>
      <c r="C1029" s="298" t="s">
        <v>522</v>
      </c>
      <c r="D1029" s="298" t="s">
        <v>289</v>
      </c>
      <c r="E1029" s="298" t="s">
        <v>290</v>
      </c>
      <c r="F1029" s="484" t="str">
        <f>'Character Sheet'!$B$9</f>
        <v/>
      </c>
      <c r="G1029" s="298" t="s">
        <v>477</v>
      </c>
      <c r="H1029" s="298" t="s">
        <v>295</v>
      </c>
      <c r="I1029" s="298" t="s">
        <v>5485</v>
      </c>
      <c r="J1029" s="298" t="s">
        <v>192</v>
      </c>
      <c r="K1029" s="298" t="s">
        <v>478</v>
      </c>
      <c r="L1029" s="298" t="s">
        <v>4524</v>
      </c>
      <c r="M1029" s="301" t="s">
        <v>315</v>
      </c>
      <c r="N1029" s="301" t="s">
        <v>315</v>
      </c>
      <c r="O1029" s="301" t="s">
        <v>5486</v>
      </c>
      <c r="P1029" s="301" t="s">
        <v>5487</v>
      </c>
      <c r="Q1029" s="301" t="s">
        <v>5488</v>
      </c>
      <c r="R1029" s="301" t="s">
        <v>5489</v>
      </c>
      <c r="S1029" s="301" t="s">
        <v>5490</v>
      </c>
      <c r="T1029" s="301" t="s">
        <v>5491</v>
      </c>
      <c r="U1029" s="301" t="s">
        <v>5492</v>
      </c>
      <c r="V1029" s="301" t="s">
        <v>5493</v>
      </c>
      <c r="W1029" s="298" t="s">
        <v>315</v>
      </c>
      <c r="X1029" s="298" t="s">
        <v>306</v>
      </c>
    </row>
    <row r="1030">
      <c r="A1030" s="295" t="s">
        <v>5494</v>
      </c>
      <c r="B1030" s="298">
        <v>3.0</v>
      </c>
      <c r="C1030" s="298" t="s">
        <v>522</v>
      </c>
      <c r="D1030" s="298" t="s">
        <v>289</v>
      </c>
      <c r="E1030" s="298" t="s">
        <v>290</v>
      </c>
      <c r="F1030" s="484" t="str">
        <f>'Character Sheet'!$C$9</f>
        <v/>
      </c>
      <c r="G1030" s="298" t="s">
        <v>294</v>
      </c>
      <c r="H1030" s="298" t="s">
        <v>295</v>
      </c>
      <c r="I1030" s="298" t="s">
        <v>296</v>
      </c>
      <c r="J1030" s="298" t="s">
        <v>203</v>
      </c>
      <c r="K1030" s="298" t="s">
        <v>424</v>
      </c>
      <c r="L1030" s="298" t="s">
        <v>4524</v>
      </c>
      <c r="M1030" s="301" t="s">
        <v>315</v>
      </c>
      <c r="N1030" s="301" t="s">
        <v>315</v>
      </c>
      <c r="O1030" s="301" t="s">
        <v>5495</v>
      </c>
      <c r="P1030" s="301" t="s">
        <v>5495</v>
      </c>
      <c r="Q1030" s="301" t="s">
        <v>5496</v>
      </c>
      <c r="R1030" s="301" t="s">
        <v>5496</v>
      </c>
      <c r="S1030" s="301" t="s">
        <v>5497</v>
      </c>
      <c r="T1030" s="301" t="s">
        <v>5497</v>
      </c>
      <c r="U1030" s="301" t="s">
        <v>5498</v>
      </c>
      <c r="V1030" s="301" t="s">
        <v>5498</v>
      </c>
      <c r="W1030" s="298" t="s">
        <v>315</v>
      </c>
      <c r="X1030" s="298" t="s">
        <v>678</v>
      </c>
    </row>
    <row r="1031">
      <c r="A1031" s="295" t="s">
        <v>5499</v>
      </c>
      <c r="B1031" s="298">
        <v>3.0</v>
      </c>
      <c r="C1031" s="298" t="s">
        <v>522</v>
      </c>
      <c r="D1031" s="298" t="s">
        <v>151</v>
      </c>
      <c r="E1031" s="298" t="s">
        <v>290</v>
      </c>
      <c r="F1031" s="484" t="str">
        <f>'Character Sheet'!$B$9</f>
        <v/>
      </c>
      <c r="G1031" s="298" t="s">
        <v>477</v>
      </c>
      <c r="H1031" s="298" t="s">
        <v>295</v>
      </c>
      <c r="I1031" s="298" t="s">
        <v>296</v>
      </c>
      <c r="J1031" s="298" t="s">
        <v>173</v>
      </c>
      <c r="K1031" s="298" t="s">
        <v>424</v>
      </c>
      <c r="L1031" s="298" t="s">
        <v>4524</v>
      </c>
      <c r="M1031" s="301" t="s">
        <v>315</v>
      </c>
      <c r="N1031" s="301" t="s">
        <v>315</v>
      </c>
      <c r="O1031" s="301" t="s">
        <v>5500</v>
      </c>
      <c r="P1031" s="301" t="s">
        <v>5501</v>
      </c>
      <c r="Q1031" s="301" t="s">
        <v>5502</v>
      </c>
      <c r="R1031" s="301" t="s">
        <v>5503</v>
      </c>
      <c r="S1031" s="301" t="s">
        <v>5504</v>
      </c>
      <c r="T1031" s="301" t="s">
        <v>5505</v>
      </c>
      <c r="U1031" s="301" t="s">
        <v>5506</v>
      </c>
      <c r="V1031" s="301" t="s">
        <v>5507</v>
      </c>
      <c r="W1031" s="298" t="s">
        <v>315</v>
      </c>
      <c r="X1031" s="298" t="s">
        <v>678</v>
      </c>
    </row>
    <row r="1032">
      <c r="A1032" s="295" t="s">
        <v>5508</v>
      </c>
      <c r="B1032" s="298">
        <v>3.0</v>
      </c>
      <c r="C1032" s="298" t="s">
        <v>522</v>
      </c>
      <c r="D1032" s="298" t="s">
        <v>289</v>
      </c>
      <c r="E1032" s="298" t="s">
        <v>290</v>
      </c>
      <c r="F1032" s="484" t="str">
        <f>'Character Sheet'!$C$9</f>
        <v/>
      </c>
      <c r="G1032" s="298" t="s">
        <v>294</v>
      </c>
      <c r="H1032" s="298" t="s">
        <v>324</v>
      </c>
      <c r="I1032" s="298" t="s">
        <v>2607</v>
      </c>
      <c r="J1032" s="298" t="s">
        <v>336</v>
      </c>
      <c r="K1032" s="298" t="s">
        <v>298</v>
      </c>
      <c r="L1032" s="298" t="s">
        <v>4524</v>
      </c>
      <c r="M1032" s="301" t="s">
        <v>315</v>
      </c>
      <c r="N1032" s="301" t="s">
        <v>315</v>
      </c>
      <c r="O1032" s="301" t="s">
        <v>5509</v>
      </c>
      <c r="P1032" s="301" t="s">
        <v>5510</v>
      </c>
      <c r="Q1032" s="301" t="s">
        <v>5511</v>
      </c>
      <c r="R1032" s="301" t="s">
        <v>5512</v>
      </c>
      <c r="S1032" s="301" t="s">
        <v>5513</v>
      </c>
      <c r="T1032" s="301" t="s">
        <v>5514</v>
      </c>
      <c r="U1032" s="301" t="s">
        <v>5515</v>
      </c>
      <c r="V1032" s="301" t="s">
        <v>5516</v>
      </c>
      <c r="W1032" s="298" t="s">
        <v>315</v>
      </c>
      <c r="X1032" s="298" t="s">
        <v>318</v>
      </c>
    </row>
    <row r="1033">
      <c r="A1033" s="295" t="s">
        <v>5517</v>
      </c>
      <c r="B1033" s="298">
        <v>3.0</v>
      </c>
      <c r="C1033" s="298" t="s">
        <v>522</v>
      </c>
      <c r="D1033" s="298" t="s">
        <v>289</v>
      </c>
      <c r="E1033" s="298" t="s">
        <v>290</v>
      </c>
      <c r="F1033" s="484" t="str">
        <f>'Character Sheet'!$C$9</f>
        <v/>
      </c>
      <c r="G1033" s="298" t="s">
        <v>294</v>
      </c>
      <c r="H1033" s="298" t="s">
        <v>352</v>
      </c>
      <c r="I1033" s="298" t="s">
        <v>3633</v>
      </c>
      <c r="J1033" s="298" t="s">
        <v>407</v>
      </c>
      <c r="K1033" s="298" t="s">
        <v>298</v>
      </c>
      <c r="L1033" s="298" t="s">
        <v>4524</v>
      </c>
      <c r="M1033" s="301" t="s">
        <v>315</v>
      </c>
      <c r="N1033" s="301" t="s">
        <v>315</v>
      </c>
      <c r="O1033" s="301" t="s">
        <v>5518</v>
      </c>
      <c r="P1033" s="301" t="s">
        <v>5519</v>
      </c>
      <c r="Q1033" s="301" t="s">
        <v>5520</v>
      </c>
      <c r="R1033" s="301" t="s">
        <v>5521</v>
      </c>
      <c r="S1033" s="301" t="s">
        <v>5522</v>
      </c>
      <c r="T1033" s="301" t="s">
        <v>5523</v>
      </c>
      <c r="U1033" s="301" t="s">
        <v>5524</v>
      </c>
      <c r="V1033" s="301" t="s">
        <v>5525</v>
      </c>
      <c r="W1033" s="298" t="s">
        <v>315</v>
      </c>
      <c r="X1033" s="298" t="s">
        <v>318</v>
      </c>
    </row>
    <row r="1034">
      <c r="A1034" s="295" t="s">
        <v>5526</v>
      </c>
      <c r="B1034" s="298">
        <v>3.0</v>
      </c>
      <c r="C1034" s="298" t="s">
        <v>522</v>
      </c>
      <c r="D1034" s="298" t="s">
        <v>462</v>
      </c>
      <c r="E1034" s="298" t="s">
        <v>290</v>
      </c>
      <c r="F1034" s="484" t="str">
        <f>'Character Sheet'!$C$9</f>
        <v/>
      </c>
      <c r="G1034" s="298" t="s">
        <v>294</v>
      </c>
      <c r="H1034" s="298" t="s">
        <v>708</v>
      </c>
      <c r="I1034" s="298" t="s">
        <v>955</v>
      </c>
      <c r="J1034" s="298" t="s">
        <v>180</v>
      </c>
      <c r="K1034" s="298" t="s">
        <v>632</v>
      </c>
      <c r="L1034" s="298" t="s">
        <v>4524</v>
      </c>
      <c r="M1034" s="301" t="s">
        <v>315</v>
      </c>
      <c r="N1034" s="301" t="s">
        <v>315</v>
      </c>
      <c r="O1034" s="301" t="s">
        <v>5527</v>
      </c>
      <c r="P1034" s="301" t="s">
        <v>5528</v>
      </c>
      <c r="Q1034" s="301" t="s">
        <v>5529</v>
      </c>
      <c r="R1034" s="301" t="s">
        <v>5530</v>
      </c>
      <c r="S1034" s="301" t="s">
        <v>5531</v>
      </c>
      <c r="T1034" s="301" t="s">
        <v>5532</v>
      </c>
      <c r="U1034" s="301" t="s">
        <v>5533</v>
      </c>
      <c r="V1034" s="301" t="s">
        <v>5534</v>
      </c>
      <c r="W1034" s="298" t="s">
        <v>315</v>
      </c>
      <c r="X1034" s="298" t="s">
        <v>678</v>
      </c>
    </row>
    <row r="1035">
      <c r="A1035" s="295" t="s">
        <v>5535</v>
      </c>
      <c r="B1035" s="298">
        <v>3.0</v>
      </c>
      <c r="C1035" s="298" t="s">
        <v>432</v>
      </c>
      <c r="D1035" s="298" t="s">
        <v>334</v>
      </c>
      <c r="E1035" s="298" t="s">
        <v>290</v>
      </c>
      <c r="F1035" s="484" t="str">
        <f>'Character Sheet'!$K$9</f>
        <v/>
      </c>
      <c r="G1035" s="298" t="s">
        <v>493</v>
      </c>
      <c r="H1035" s="298" t="s">
        <v>295</v>
      </c>
      <c r="I1035" s="298" t="s">
        <v>780</v>
      </c>
      <c r="J1035" s="298" t="s">
        <v>315</v>
      </c>
      <c r="K1035" s="298" t="s">
        <v>298</v>
      </c>
      <c r="L1035" s="298" t="s">
        <v>4524</v>
      </c>
      <c r="M1035" s="301" t="s">
        <v>315</v>
      </c>
      <c r="N1035" s="301" t="s">
        <v>315</v>
      </c>
      <c r="O1035" s="301" t="s">
        <v>5536</v>
      </c>
      <c r="P1035" s="301" t="s">
        <v>5537</v>
      </c>
      <c r="Q1035" s="301" t="s">
        <v>5538</v>
      </c>
      <c r="R1035" s="301" t="s">
        <v>5539</v>
      </c>
      <c r="S1035" s="301" t="s">
        <v>5540</v>
      </c>
      <c r="T1035" s="301" t="s">
        <v>5541</v>
      </c>
      <c r="U1035" s="301" t="s">
        <v>5542</v>
      </c>
      <c r="V1035" s="301" t="s">
        <v>5543</v>
      </c>
      <c r="W1035" s="298" t="s">
        <v>315</v>
      </c>
      <c r="X1035" s="298" t="s">
        <v>569</v>
      </c>
    </row>
    <row r="1036">
      <c r="A1036" s="295" t="s">
        <v>5544</v>
      </c>
      <c r="B1036" s="298">
        <v>3.0</v>
      </c>
      <c r="C1036" s="298" t="s">
        <v>522</v>
      </c>
      <c r="D1036" s="298" t="s">
        <v>289</v>
      </c>
      <c r="E1036" s="298" t="s">
        <v>290</v>
      </c>
      <c r="F1036" s="484" t="str">
        <f>'Character Sheet'!$C$9</f>
        <v/>
      </c>
      <c r="G1036" s="298" t="s">
        <v>294</v>
      </c>
      <c r="H1036" s="298" t="s">
        <v>324</v>
      </c>
      <c r="I1036" s="298" t="s">
        <v>2607</v>
      </c>
      <c r="J1036" s="298" t="s">
        <v>407</v>
      </c>
      <c r="K1036" s="298" t="s">
        <v>424</v>
      </c>
      <c r="L1036" s="298" t="s">
        <v>4524</v>
      </c>
      <c r="M1036" s="301" t="s">
        <v>315</v>
      </c>
      <c r="N1036" s="301" t="s">
        <v>315</v>
      </c>
      <c r="O1036" s="301" t="s">
        <v>5545</v>
      </c>
      <c r="P1036" s="301" t="s">
        <v>5546</v>
      </c>
      <c r="Q1036" s="301" t="s">
        <v>5547</v>
      </c>
      <c r="R1036" s="301" t="s">
        <v>5548</v>
      </c>
      <c r="S1036" s="301" t="s">
        <v>5549</v>
      </c>
      <c r="T1036" s="301" t="s">
        <v>5550</v>
      </c>
      <c r="U1036" s="301" t="s">
        <v>5551</v>
      </c>
      <c r="V1036" s="301" t="s">
        <v>5552</v>
      </c>
      <c r="W1036" s="298" t="s">
        <v>315</v>
      </c>
      <c r="X1036" s="298" t="s">
        <v>5001</v>
      </c>
    </row>
    <row r="1037">
      <c r="A1037" s="295" t="s">
        <v>5553</v>
      </c>
      <c r="B1037" s="298">
        <v>3.0</v>
      </c>
      <c r="C1037" s="298" t="s">
        <v>522</v>
      </c>
      <c r="D1037" s="298" t="s">
        <v>321</v>
      </c>
      <c r="E1037" s="298" t="s">
        <v>290</v>
      </c>
      <c r="F1037" s="484" t="str">
        <f>'Character Sheet'!$C$9</f>
        <v/>
      </c>
      <c r="G1037" s="298" t="s">
        <v>294</v>
      </c>
      <c r="H1037" s="298" t="s">
        <v>295</v>
      </c>
      <c r="I1037" s="298" t="s">
        <v>324</v>
      </c>
      <c r="J1037" s="298" t="s">
        <v>315</v>
      </c>
      <c r="K1037" s="298" t="s">
        <v>632</v>
      </c>
      <c r="L1037" s="298" t="s">
        <v>4524</v>
      </c>
      <c r="M1037" s="301" t="s">
        <v>315</v>
      </c>
      <c r="N1037" s="301" t="s">
        <v>315</v>
      </c>
      <c r="O1037" s="301" t="s">
        <v>5554</v>
      </c>
      <c r="P1037" s="301" t="s">
        <v>5555</v>
      </c>
      <c r="Q1037" s="301" t="s">
        <v>5556</v>
      </c>
      <c r="R1037" s="301" t="s">
        <v>5557</v>
      </c>
      <c r="S1037" s="301" t="s">
        <v>5558</v>
      </c>
      <c r="T1037" s="301" t="s">
        <v>5559</v>
      </c>
      <c r="U1037" s="301" t="s">
        <v>5560</v>
      </c>
      <c r="V1037" s="301" t="s">
        <v>5561</v>
      </c>
      <c r="W1037" s="298" t="s">
        <v>315</v>
      </c>
      <c r="X1037" s="298" t="s">
        <v>678</v>
      </c>
    </row>
    <row r="1038">
      <c r="A1038" s="295" t="s">
        <v>2489</v>
      </c>
      <c r="B1038" s="298">
        <v>3.0</v>
      </c>
      <c r="C1038" s="298" t="s">
        <v>522</v>
      </c>
      <c r="D1038" s="298" t="s">
        <v>334</v>
      </c>
      <c r="E1038" s="298" t="s">
        <v>290</v>
      </c>
      <c r="F1038" s="484" t="str">
        <f>'Character Sheet'!$C$9</f>
        <v/>
      </c>
      <c r="G1038" s="298" t="s">
        <v>294</v>
      </c>
      <c r="H1038" s="298" t="s">
        <v>360</v>
      </c>
      <c r="I1038" s="298" t="s">
        <v>296</v>
      </c>
      <c r="J1038" s="298" t="s">
        <v>173</v>
      </c>
      <c r="K1038" s="298" t="s">
        <v>424</v>
      </c>
      <c r="L1038" s="298" t="s">
        <v>4524</v>
      </c>
      <c r="M1038" s="301" t="s">
        <v>315</v>
      </c>
      <c r="N1038" s="301" t="s">
        <v>315</v>
      </c>
      <c r="O1038" s="301" t="s">
        <v>5562</v>
      </c>
      <c r="P1038" s="301" t="s">
        <v>5563</v>
      </c>
      <c r="Q1038" s="301" t="s">
        <v>5564</v>
      </c>
      <c r="R1038" s="301" t="s">
        <v>5565</v>
      </c>
      <c r="S1038" s="301" t="s">
        <v>5566</v>
      </c>
      <c r="T1038" s="301" t="s">
        <v>5567</v>
      </c>
      <c r="U1038" s="301" t="s">
        <v>5568</v>
      </c>
      <c r="V1038" s="301" t="s">
        <v>5569</v>
      </c>
      <c r="W1038" s="298" t="s">
        <v>315</v>
      </c>
      <c r="X1038" s="298" t="s">
        <v>678</v>
      </c>
    </row>
    <row r="1039">
      <c r="A1039" s="295" t="s">
        <v>5570</v>
      </c>
      <c r="B1039" s="298">
        <v>3.0</v>
      </c>
      <c r="C1039" s="298" t="s">
        <v>522</v>
      </c>
      <c r="D1039" s="298" t="s">
        <v>289</v>
      </c>
      <c r="E1039" s="298" t="s">
        <v>290</v>
      </c>
      <c r="F1039" s="484" t="str">
        <f>'Character Sheet'!$C$9</f>
        <v/>
      </c>
      <c r="G1039" s="298" t="s">
        <v>294</v>
      </c>
      <c r="H1039" s="298" t="s">
        <v>352</v>
      </c>
      <c r="I1039" s="298" t="s">
        <v>296</v>
      </c>
      <c r="J1039" s="298" t="s">
        <v>203</v>
      </c>
      <c r="K1039" s="298" t="s">
        <v>632</v>
      </c>
      <c r="L1039" s="298" t="s">
        <v>4524</v>
      </c>
      <c r="M1039" s="301" t="s">
        <v>315</v>
      </c>
      <c r="N1039" s="301" t="s">
        <v>315</v>
      </c>
      <c r="O1039" s="301" t="s">
        <v>5571</v>
      </c>
      <c r="P1039" s="301" t="s">
        <v>5572</v>
      </c>
      <c r="Q1039" s="301" t="s">
        <v>5573</v>
      </c>
      <c r="R1039" s="301" t="s">
        <v>5574</v>
      </c>
      <c r="S1039" s="301" t="s">
        <v>5575</v>
      </c>
      <c r="T1039" s="301" t="s">
        <v>5576</v>
      </c>
      <c r="U1039" s="301" t="s">
        <v>5577</v>
      </c>
      <c r="V1039" s="301" t="s">
        <v>5578</v>
      </c>
      <c r="W1039" s="298" t="s">
        <v>315</v>
      </c>
      <c r="X1039" s="298" t="s">
        <v>318</v>
      </c>
    </row>
    <row r="1040">
      <c r="A1040" s="295" t="s">
        <v>5579</v>
      </c>
      <c r="B1040" s="298">
        <v>3.0</v>
      </c>
      <c r="C1040" s="298" t="s">
        <v>522</v>
      </c>
      <c r="D1040" s="298" t="s">
        <v>334</v>
      </c>
      <c r="E1040" s="298" t="s">
        <v>311</v>
      </c>
      <c r="F1040" s="484" t="str">
        <f>'Character Sheet'!$E$9</f>
        <v/>
      </c>
      <c r="G1040" s="298" t="s">
        <v>674</v>
      </c>
      <c r="H1040" s="298" t="s">
        <v>295</v>
      </c>
      <c r="I1040" s="298" t="s">
        <v>5580</v>
      </c>
      <c r="J1040" s="298" t="s">
        <v>192</v>
      </c>
      <c r="K1040" s="298" t="s">
        <v>1174</v>
      </c>
      <c r="L1040" s="298" t="s">
        <v>4524</v>
      </c>
      <c r="M1040" s="301" t="s">
        <v>315</v>
      </c>
      <c r="N1040" s="301" t="s">
        <v>315</v>
      </c>
      <c r="O1040" s="301" t="s">
        <v>5581</v>
      </c>
      <c r="P1040" s="301" t="s">
        <v>5581</v>
      </c>
      <c r="Q1040" s="301" t="s">
        <v>5581</v>
      </c>
      <c r="R1040" s="301" t="s">
        <v>5581</v>
      </c>
      <c r="S1040" s="301" t="s">
        <v>5581</v>
      </c>
      <c r="T1040" s="301" t="s">
        <v>5581</v>
      </c>
      <c r="U1040" s="301" t="s">
        <v>5581</v>
      </c>
      <c r="V1040" s="301" t="s">
        <v>5581</v>
      </c>
      <c r="W1040" s="298" t="s">
        <v>315</v>
      </c>
      <c r="X1040" s="298" t="s">
        <v>4785</v>
      </c>
    </row>
    <row r="1041">
      <c r="A1041" s="295" t="s">
        <v>5582</v>
      </c>
      <c r="B1041" s="298">
        <v>3.0</v>
      </c>
      <c r="C1041" s="298" t="s">
        <v>522</v>
      </c>
      <c r="D1041" s="298" t="s">
        <v>289</v>
      </c>
      <c r="E1041" s="298" t="s">
        <v>311</v>
      </c>
      <c r="F1041" s="484" t="str">
        <f>'Character Sheet'!$C$9</f>
        <v/>
      </c>
      <c r="G1041" s="298" t="s">
        <v>294</v>
      </c>
      <c r="H1041" s="298" t="s">
        <v>335</v>
      </c>
      <c r="I1041" s="298" t="s">
        <v>1156</v>
      </c>
      <c r="J1041" s="298" t="s">
        <v>315</v>
      </c>
      <c r="K1041" s="298" t="s">
        <v>632</v>
      </c>
      <c r="L1041" s="298" t="s">
        <v>4524</v>
      </c>
      <c r="M1041" s="301" t="s">
        <v>315</v>
      </c>
      <c r="N1041" s="301" t="s">
        <v>315</v>
      </c>
      <c r="O1041" s="301" t="s">
        <v>5583</v>
      </c>
      <c r="P1041" s="301" t="s">
        <v>5583</v>
      </c>
      <c r="Q1041" s="301" t="s">
        <v>5583</v>
      </c>
      <c r="R1041" s="301" t="s">
        <v>5583</v>
      </c>
      <c r="S1041" s="301" t="s">
        <v>5583</v>
      </c>
      <c r="T1041" s="301" t="s">
        <v>5583</v>
      </c>
      <c r="U1041" s="301" t="s">
        <v>5583</v>
      </c>
      <c r="V1041" s="301" t="s">
        <v>5583</v>
      </c>
      <c r="W1041" s="298" t="s">
        <v>315</v>
      </c>
      <c r="X1041" s="298" t="s">
        <v>815</v>
      </c>
    </row>
    <row r="1042">
      <c r="A1042" s="295" t="s">
        <v>5584</v>
      </c>
      <c r="B1042" s="298">
        <v>3.0</v>
      </c>
      <c r="C1042" s="298" t="s">
        <v>522</v>
      </c>
      <c r="D1042" s="298" t="s">
        <v>151</v>
      </c>
      <c r="E1042" s="298" t="s">
        <v>290</v>
      </c>
      <c r="F1042" s="484" t="str">
        <f>'Character Sheet'!$B$9</f>
        <v/>
      </c>
      <c r="G1042" s="298" t="s">
        <v>294</v>
      </c>
      <c r="H1042" s="298" t="s">
        <v>352</v>
      </c>
      <c r="I1042" s="298" t="s">
        <v>955</v>
      </c>
      <c r="J1042" s="298" t="s">
        <v>336</v>
      </c>
      <c r="K1042" s="298" t="s">
        <v>632</v>
      </c>
      <c r="L1042" s="298" t="s">
        <v>4524</v>
      </c>
      <c r="M1042" s="301" t="s">
        <v>315</v>
      </c>
      <c r="N1042" s="301" t="s">
        <v>315</v>
      </c>
      <c r="O1042" s="301" t="s">
        <v>5585</v>
      </c>
      <c r="P1042" s="301" t="s">
        <v>5585</v>
      </c>
      <c r="Q1042" s="301" t="s">
        <v>5586</v>
      </c>
      <c r="R1042" s="301" t="s">
        <v>5586</v>
      </c>
      <c r="S1042" s="301" t="s">
        <v>5587</v>
      </c>
      <c r="T1042" s="301" t="s">
        <v>5587</v>
      </c>
      <c r="U1042" s="301" t="s">
        <v>5588</v>
      </c>
      <c r="V1042" s="301" t="s">
        <v>5588</v>
      </c>
      <c r="W1042" s="298" t="s">
        <v>315</v>
      </c>
      <c r="X1042" s="298" t="s">
        <v>306</v>
      </c>
    </row>
    <row r="1043">
      <c r="A1043" s="295" t="s">
        <v>5589</v>
      </c>
      <c r="B1043" s="298">
        <v>3.0</v>
      </c>
      <c r="C1043" s="298" t="s">
        <v>522</v>
      </c>
      <c r="D1043" s="298" t="s">
        <v>289</v>
      </c>
      <c r="E1043" s="298" t="s">
        <v>290</v>
      </c>
      <c r="F1043" s="484" t="str">
        <f>'Character Sheet'!$C$9</f>
        <v/>
      </c>
      <c r="G1043" s="298" t="s">
        <v>294</v>
      </c>
      <c r="H1043" s="298" t="s">
        <v>708</v>
      </c>
      <c r="I1043" s="298" t="s">
        <v>1000</v>
      </c>
      <c r="J1043" s="298" t="s">
        <v>173</v>
      </c>
      <c r="K1043" s="298" t="s">
        <v>298</v>
      </c>
      <c r="L1043" s="298" t="s">
        <v>4524</v>
      </c>
      <c r="M1043" s="301" t="s">
        <v>315</v>
      </c>
      <c r="N1043" s="301" t="s">
        <v>315</v>
      </c>
      <c r="O1043" s="301" t="s">
        <v>5590</v>
      </c>
      <c r="P1043" s="301" t="s">
        <v>5590</v>
      </c>
      <c r="Q1043" s="301" t="s">
        <v>5591</v>
      </c>
      <c r="R1043" s="301" t="s">
        <v>5591</v>
      </c>
      <c r="S1043" s="301" t="s">
        <v>5592</v>
      </c>
      <c r="T1043" s="301" t="s">
        <v>5592</v>
      </c>
      <c r="U1043" s="301" t="s">
        <v>5593</v>
      </c>
      <c r="V1043" s="301" t="s">
        <v>5593</v>
      </c>
      <c r="W1043" s="298" t="s">
        <v>315</v>
      </c>
      <c r="X1043" s="298" t="s">
        <v>678</v>
      </c>
    </row>
    <row r="1044">
      <c r="A1044" s="295" t="s">
        <v>5594</v>
      </c>
      <c r="B1044" s="298">
        <v>3.0</v>
      </c>
      <c r="C1044" s="298" t="s">
        <v>522</v>
      </c>
      <c r="D1044" s="298" t="s">
        <v>462</v>
      </c>
      <c r="E1044" s="298" t="s">
        <v>290</v>
      </c>
      <c r="F1044" s="484" t="str">
        <f>'Character Sheet'!$B$9</f>
        <v/>
      </c>
      <c r="G1044" s="298" t="s">
        <v>493</v>
      </c>
      <c r="H1044" s="298" t="s">
        <v>295</v>
      </c>
      <c r="I1044" s="298" t="s">
        <v>952</v>
      </c>
      <c r="J1044" s="298" t="s">
        <v>315</v>
      </c>
      <c r="K1044" s="298" t="s">
        <v>478</v>
      </c>
      <c r="L1044" s="298" t="s">
        <v>4524</v>
      </c>
      <c r="M1044" s="301" t="s">
        <v>315</v>
      </c>
      <c r="N1044" s="301" t="s">
        <v>315</v>
      </c>
      <c r="O1044" s="301" t="s">
        <v>5595</v>
      </c>
      <c r="P1044" s="301" t="s">
        <v>5596</v>
      </c>
      <c r="Q1044" s="301" t="s">
        <v>5597</v>
      </c>
      <c r="R1044" s="301" t="s">
        <v>5598</v>
      </c>
      <c r="S1044" s="301" t="s">
        <v>5599</v>
      </c>
      <c r="T1044" s="301" t="s">
        <v>5600</v>
      </c>
      <c r="U1044" s="301" t="s">
        <v>5601</v>
      </c>
      <c r="V1044" s="301" t="s">
        <v>5602</v>
      </c>
      <c r="W1044" s="298" t="s">
        <v>315</v>
      </c>
      <c r="X1044" s="298" t="s">
        <v>569</v>
      </c>
    </row>
    <row r="1045">
      <c r="A1045" s="295" t="s">
        <v>5603</v>
      </c>
      <c r="B1045" s="298">
        <v>3.0</v>
      </c>
      <c r="C1045" s="298" t="s">
        <v>522</v>
      </c>
      <c r="D1045" s="298" t="s">
        <v>421</v>
      </c>
      <c r="E1045" s="298" t="s">
        <v>311</v>
      </c>
      <c r="F1045" s="484" t="str">
        <f>'Character Sheet'!$B$9</f>
        <v/>
      </c>
      <c r="G1045" s="298" t="s">
        <v>477</v>
      </c>
      <c r="H1045" s="298" t="s">
        <v>324</v>
      </c>
      <c r="I1045" s="298" t="s">
        <v>324</v>
      </c>
      <c r="J1045" s="298" t="s">
        <v>315</v>
      </c>
      <c r="K1045" s="298" t="s">
        <v>1129</v>
      </c>
      <c r="L1045" s="298" t="s">
        <v>4524</v>
      </c>
      <c r="M1045" s="301" t="s">
        <v>315</v>
      </c>
      <c r="N1045" s="301" t="s">
        <v>315</v>
      </c>
      <c r="O1045" s="301" t="s">
        <v>5604</v>
      </c>
      <c r="P1045" s="301" t="s">
        <v>5604</v>
      </c>
      <c r="Q1045" s="301" t="s">
        <v>5604</v>
      </c>
      <c r="R1045" s="301" t="s">
        <v>5604</v>
      </c>
      <c r="S1045" s="301" t="s">
        <v>5604</v>
      </c>
      <c r="T1045" s="301" t="s">
        <v>5604</v>
      </c>
      <c r="U1045" s="301" t="s">
        <v>5604</v>
      </c>
      <c r="V1045" s="301" t="s">
        <v>5604</v>
      </c>
      <c r="W1045" s="298" t="s">
        <v>315</v>
      </c>
      <c r="X1045" s="298" t="s">
        <v>5605</v>
      </c>
    </row>
    <row r="1046">
      <c r="A1046" s="295" t="s">
        <v>5606</v>
      </c>
      <c r="B1046" s="298">
        <v>3.0</v>
      </c>
      <c r="C1046" s="298" t="s">
        <v>522</v>
      </c>
      <c r="D1046" s="298" t="s">
        <v>289</v>
      </c>
      <c r="E1046" s="298" t="s">
        <v>290</v>
      </c>
      <c r="F1046" s="484" t="str">
        <f>'Character Sheet'!$B$9</f>
        <v/>
      </c>
      <c r="G1046" s="298" t="s">
        <v>477</v>
      </c>
      <c r="H1046" s="298" t="s">
        <v>324</v>
      </c>
      <c r="I1046" s="298" t="s">
        <v>884</v>
      </c>
      <c r="J1046" s="298" t="s">
        <v>173</v>
      </c>
      <c r="K1046" s="298" t="s">
        <v>298</v>
      </c>
      <c r="L1046" s="298" t="s">
        <v>4524</v>
      </c>
      <c r="M1046" s="301" t="s">
        <v>315</v>
      </c>
      <c r="N1046" s="301" t="s">
        <v>315</v>
      </c>
      <c r="O1046" s="301" t="s">
        <v>5607</v>
      </c>
      <c r="P1046" s="301" t="s">
        <v>5608</v>
      </c>
      <c r="Q1046" s="301" t="s">
        <v>5609</v>
      </c>
      <c r="R1046" s="301" t="s">
        <v>5610</v>
      </c>
      <c r="S1046" s="301" t="s">
        <v>5611</v>
      </c>
      <c r="T1046" s="301" t="s">
        <v>5612</v>
      </c>
      <c r="U1046" s="301" t="s">
        <v>5613</v>
      </c>
      <c r="V1046" s="301" t="s">
        <v>5614</v>
      </c>
      <c r="W1046" s="298" t="s">
        <v>315</v>
      </c>
      <c r="X1046" s="298" t="s">
        <v>5605</v>
      </c>
    </row>
    <row r="1047">
      <c r="A1047" s="295" t="s">
        <v>5615</v>
      </c>
      <c r="B1047" s="298">
        <v>3.0</v>
      </c>
      <c r="C1047" s="298" t="s">
        <v>522</v>
      </c>
      <c r="D1047" s="298" t="s">
        <v>289</v>
      </c>
      <c r="E1047" s="298" t="s">
        <v>290</v>
      </c>
      <c r="F1047" s="484" t="str">
        <f>'Character Sheet'!$B$9</f>
        <v/>
      </c>
      <c r="G1047" s="298" t="s">
        <v>477</v>
      </c>
      <c r="H1047" s="298" t="s">
        <v>324</v>
      </c>
      <c r="I1047" s="298" t="s">
        <v>324</v>
      </c>
      <c r="J1047" s="298" t="s">
        <v>315</v>
      </c>
      <c r="K1047" s="298" t="s">
        <v>298</v>
      </c>
      <c r="L1047" s="298" t="s">
        <v>4524</v>
      </c>
      <c r="M1047" s="301" t="s">
        <v>315</v>
      </c>
      <c r="N1047" s="301" t="s">
        <v>315</v>
      </c>
      <c r="O1047" s="301" t="s">
        <v>5616</v>
      </c>
      <c r="P1047" s="301" t="s">
        <v>5616</v>
      </c>
      <c r="Q1047" s="301" t="s">
        <v>5617</v>
      </c>
      <c r="R1047" s="301" t="s">
        <v>5617</v>
      </c>
      <c r="S1047" s="301" t="s">
        <v>5617</v>
      </c>
      <c r="T1047" s="301" t="s">
        <v>5617</v>
      </c>
      <c r="U1047" s="301" t="s">
        <v>5617</v>
      </c>
      <c r="V1047" s="301" t="s">
        <v>5617</v>
      </c>
      <c r="W1047" s="298" t="s">
        <v>315</v>
      </c>
      <c r="X1047" s="298" t="s">
        <v>5605</v>
      </c>
    </row>
    <row r="1048">
      <c r="A1048" s="295" t="s">
        <v>5618</v>
      </c>
      <c r="B1048" s="298">
        <v>3.0</v>
      </c>
      <c r="C1048" s="298" t="s">
        <v>522</v>
      </c>
      <c r="D1048" s="298" t="s">
        <v>421</v>
      </c>
      <c r="E1048" s="298" t="s">
        <v>290</v>
      </c>
      <c r="F1048" s="484" t="str">
        <f>'Character Sheet'!$B$9</f>
        <v/>
      </c>
      <c r="G1048" s="298" t="s">
        <v>477</v>
      </c>
      <c r="H1048" s="298" t="s">
        <v>324</v>
      </c>
      <c r="I1048" s="298" t="s">
        <v>324</v>
      </c>
      <c r="J1048" s="298" t="s">
        <v>315</v>
      </c>
      <c r="K1048" s="298" t="s">
        <v>2509</v>
      </c>
      <c r="L1048" s="298" t="s">
        <v>4524</v>
      </c>
      <c r="M1048" s="301" t="s">
        <v>315</v>
      </c>
      <c r="N1048" s="301" t="s">
        <v>315</v>
      </c>
      <c r="O1048" s="301" t="s">
        <v>5619</v>
      </c>
      <c r="P1048" s="301" t="s">
        <v>5620</v>
      </c>
      <c r="Q1048" s="301" t="s">
        <v>5621</v>
      </c>
      <c r="R1048" s="301" t="s">
        <v>5622</v>
      </c>
      <c r="S1048" s="301" t="s">
        <v>5623</v>
      </c>
      <c r="T1048" s="301" t="s">
        <v>5624</v>
      </c>
      <c r="U1048" s="301" t="s">
        <v>5625</v>
      </c>
      <c r="V1048" s="301" t="s">
        <v>5626</v>
      </c>
      <c r="W1048" s="298" t="s">
        <v>315</v>
      </c>
      <c r="X1048" s="298" t="s">
        <v>5605</v>
      </c>
    </row>
    <row r="1049">
      <c r="A1049" s="295" t="s">
        <v>5627</v>
      </c>
      <c r="B1049" s="298">
        <v>3.0</v>
      </c>
      <c r="C1049" s="298" t="s">
        <v>522</v>
      </c>
      <c r="D1049" s="298" t="s">
        <v>289</v>
      </c>
      <c r="E1049" s="298" t="s">
        <v>290</v>
      </c>
      <c r="F1049" s="484" t="str">
        <f>'Character Sheet'!$C$9</f>
        <v/>
      </c>
      <c r="G1049" s="298" t="s">
        <v>294</v>
      </c>
      <c r="H1049" s="298" t="s">
        <v>295</v>
      </c>
      <c r="I1049" s="298" t="s">
        <v>955</v>
      </c>
      <c r="J1049" s="298" t="s">
        <v>407</v>
      </c>
      <c r="K1049" s="298" t="s">
        <v>298</v>
      </c>
      <c r="L1049" s="298" t="s">
        <v>4524</v>
      </c>
      <c r="M1049" s="301" t="s">
        <v>315</v>
      </c>
      <c r="N1049" s="301" t="s">
        <v>315</v>
      </c>
      <c r="O1049" s="301" t="s">
        <v>5628</v>
      </c>
      <c r="P1049" s="301" t="s">
        <v>5628</v>
      </c>
      <c r="Q1049" s="301" t="s">
        <v>5629</v>
      </c>
      <c r="R1049" s="301" t="s">
        <v>5629</v>
      </c>
      <c r="S1049" s="301" t="s">
        <v>5630</v>
      </c>
      <c r="T1049" s="301" t="s">
        <v>5630</v>
      </c>
      <c r="U1049" s="301" t="s">
        <v>5631</v>
      </c>
      <c r="V1049" s="301" t="s">
        <v>5631</v>
      </c>
      <c r="W1049" s="298" t="s">
        <v>315</v>
      </c>
      <c r="X1049" s="298" t="s">
        <v>678</v>
      </c>
    </row>
    <row r="1050">
      <c r="A1050" s="486" t="s">
        <v>5632</v>
      </c>
      <c r="B1050" s="487">
        <v>4.0</v>
      </c>
      <c r="C1050" s="487" t="s">
        <v>522</v>
      </c>
      <c r="D1050" s="487" t="s">
        <v>151</v>
      </c>
      <c r="E1050" s="487" t="s">
        <v>311</v>
      </c>
      <c r="F1050" s="488" t="str">
        <f>'Character Sheet'!$B$9</f>
        <v/>
      </c>
      <c r="G1050" s="487" t="s">
        <v>493</v>
      </c>
      <c r="H1050" s="487" t="s">
        <v>3579</v>
      </c>
      <c r="I1050" s="487" t="s">
        <v>324</v>
      </c>
      <c r="J1050" s="487" t="s">
        <v>315</v>
      </c>
      <c r="K1050" s="487" t="s">
        <v>298</v>
      </c>
      <c r="L1050" s="487" t="s">
        <v>4524</v>
      </c>
      <c r="M1050" s="489" t="s">
        <v>315</v>
      </c>
      <c r="N1050" s="489" t="s">
        <v>315</v>
      </c>
      <c r="O1050" s="489" t="s">
        <v>315</v>
      </c>
      <c r="P1050" s="489" t="s">
        <v>5633</v>
      </c>
      <c r="Q1050" s="489" t="s">
        <v>5633</v>
      </c>
      <c r="R1050" s="489" t="s">
        <v>5633</v>
      </c>
      <c r="S1050" s="489" t="s">
        <v>5633</v>
      </c>
      <c r="T1050" s="489" t="s">
        <v>5633</v>
      </c>
      <c r="U1050" s="489" t="s">
        <v>5633</v>
      </c>
      <c r="V1050" s="489" t="s">
        <v>5633</v>
      </c>
      <c r="W1050" s="487" t="s">
        <v>315</v>
      </c>
      <c r="X1050" s="487" t="s">
        <v>306</v>
      </c>
    </row>
    <row r="1051">
      <c r="A1051" s="295" t="s">
        <v>5634</v>
      </c>
      <c r="B1051" s="298">
        <v>4.0</v>
      </c>
      <c r="C1051" s="298" t="s">
        <v>432</v>
      </c>
      <c r="D1051" s="298" t="s">
        <v>334</v>
      </c>
      <c r="E1051" s="298" t="s">
        <v>311</v>
      </c>
      <c r="F1051" s="484" t="str">
        <f>'Character Sheet'!$C$9</f>
        <v/>
      </c>
      <c r="G1051" s="298" t="s">
        <v>294</v>
      </c>
      <c r="H1051" s="298" t="s">
        <v>295</v>
      </c>
      <c r="I1051" s="298" t="s">
        <v>296</v>
      </c>
      <c r="J1051" s="298" t="s">
        <v>192</v>
      </c>
      <c r="K1051" s="298" t="s">
        <v>1174</v>
      </c>
      <c r="L1051" s="298" t="s">
        <v>4524</v>
      </c>
      <c r="M1051" s="301" t="s">
        <v>315</v>
      </c>
      <c r="N1051" s="301" t="s">
        <v>315</v>
      </c>
      <c r="O1051" s="301" t="s">
        <v>315</v>
      </c>
      <c r="P1051" s="301" t="s">
        <v>5635</v>
      </c>
      <c r="Q1051" s="301" t="s">
        <v>5635</v>
      </c>
      <c r="R1051" s="301" t="s">
        <v>5635</v>
      </c>
      <c r="S1051" s="301" t="s">
        <v>5635</v>
      </c>
      <c r="T1051" s="301" t="s">
        <v>5635</v>
      </c>
      <c r="U1051" s="301" t="s">
        <v>5635</v>
      </c>
      <c r="V1051" s="301" t="s">
        <v>5635</v>
      </c>
      <c r="W1051" s="298" t="s">
        <v>315</v>
      </c>
      <c r="X1051" s="298" t="s">
        <v>815</v>
      </c>
    </row>
    <row r="1052">
      <c r="A1052" s="295" t="s">
        <v>5636</v>
      </c>
      <c r="B1052" s="298">
        <v>4.0</v>
      </c>
      <c r="C1052" s="298" t="s">
        <v>288</v>
      </c>
      <c r="D1052" s="298" t="s">
        <v>421</v>
      </c>
      <c r="E1052" s="298" t="s">
        <v>290</v>
      </c>
      <c r="F1052" s="484" t="str">
        <f>'Character Sheet'!$K$9</f>
        <v/>
      </c>
      <c r="G1052" s="298" t="s">
        <v>493</v>
      </c>
      <c r="H1052" s="298" t="s">
        <v>324</v>
      </c>
      <c r="I1052" s="298" t="s">
        <v>324</v>
      </c>
      <c r="J1052" s="298" t="s">
        <v>315</v>
      </c>
      <c r="K1052" s="298" t="s">
        <v>632</v>
      </c>
      <c r="L1052" s="298" t="s">
        <v>4524</v>
      </c>
      <c r="M1052" s="301" t="s">
        <v>315</v>
      </c>
      <c r="N1052" s="301" t="s">
        <v>315</v>
      </c>
      <c r="O1052" s="301" t="s">
        <v>315</v>
      </c>
      <c r="P1052" s="301" t="s">
        <v>5637</v>
      </c>
      <c r="Q1052" s="301" t="s">
        <v>5637</v>
      </c>
      <c r="R1052" s="301" t="s">
        <v>5638</v>
      </c>
      <c r="S1052" s="301" t="s">
        <v>5638</v>
      </c>
      <c r="T1052" s="301" t="s">
        <v>5639</v>
      </c>
      <c r="U1052" s="301" t="s">
        <v>5639</v>
      </c>
      <c r="V1052" s="301" t="s">
        <v>5640</v>
      </c>
      <c r="W1052" s="298" t="s">
        <v>315</v>
      </c>
      <c r="X1052" s="298" t="s">
        <v>966</v>
      </c>
    </row>
    <row r="1053">
      <c r="A1053" s="295" t="s">
        <v>5641</v>
      </c>
      <c r="B1053" s="298">
        <v>4.0</v>
      </c>
      <c r="C1053" s="298" t="s">
        <v>522</v>
      </c>
      <c r="D1053" s="298" t="s">
        <v>462</v>
      </c>
      <c r="E1053" s="298" t="s">
        <v>290</v>
      </c>
      <c r="F1053" s="484" t="str">
        <f>'Character Sheet'!$C$9</f>
        <v/>
      </c>
      <c r="G1053" s="298" t="s">
        <v>2188</v>
      </c>
      <c r="H1053" s="298" t="s">
        <v>3579</v>
      </c>
      <c r="I1053" s="298" t="s">
        <v>435</v>
      </c>
      <c r="J1053" s="298" t="s">
        <v>315</v>
      </c>
      <c r="K1053" s="298" t="s">
        <v>325</v>
      </c>
      <c r="L1053" s="298" t="s">
        <v>4524</v>
      </c>
      <c r="M1053" s="301" t="s">
        <v>315</v>
      </c>
      <c r="N1053" s="301" t="s">
        <v>315</v>
      </c>
      <c r="O1053" s="301" t="s">
        <v>315</v>
      </c>
      <c r="P1053" s="301" t="s">
        <v>5642</v>
      </c>
      <c r="Q1053" s="301" t="s">
        <v>5642</v>
      </c>
      <c r="R1053" s="301" t="s">
        <v>5642</v>
      </c>
      <c r="S1053" s="301" t="s">
        <v>5643</v>
      </c>
      <c r="T1053" s="301" t="s">
        <v>5643</v>
      </c>
      <c r="U1053" s="301" t="s">
        <v>5643</v>
      </c>
      <c r="V1053" s="301" t="s">
        <v>5644</v>
      </c>
      <c r="W1053" s="298" t="s">
        <v>315</v>
      </c>
      <c r="X1053" s="298" t="s">
        <v>306</v>
      </c>
    </row>
    <row r="1054">
      <c r="A1054" s="295" t="s">
        <v>5645</v>
      </c>
      <c r="B1054" s="298">
        <v>4.0</v>
      </c>
      <c r="C1054" s="298" t="s">
        <v>288</v>
      </c>
      <c r="D1054" s="298" t="s">
        <v>289</v>
      </c>
      <c r="E1054" s="298" t="s">
        <v>290</v>
      </c>
      <c r="F1054" s="484" t="str">
        <f>'Character Sheet'!$E$9</f>
        <v/>
      </c>
      <c r="G1054" s="298" t="s">
        <v>674</v>
      </c>
      <c r="H1054" s="298" t="s">
        <v>5646</v>
      </c>
      <c r="I1054" s="298" t="s">
        <v>315</v>
      </c>
      <c r="J1054" s="298" t="s">
        <v>407</v>
      </c>
      <c r="K1054" s="298" t="s">
        <v>632</v>
      </c>
      <c r="L1054" s="298" t="s">
        <v>4524</v>
      </c>
      <c r="M1054" s="301" t="s">
        <v>315</v>
      </c>
      <c r="N1054" s="301" t="s">
        <v>315</v>
      </c>
      <c r="O1054" s="301" t="s">
        <v>315</v>
      </c>
      <c r="P1054" s="301" t="s">
        <v>5647</v>
      </c>
      <c r="Q1054" s="301" t="s">
        <v>5648</v>
      </c>
      <c r="R1054" s="301" t="s">
        <v>5649</v>
      </c>
      <c r="S1054" s="301" t="s">
        <v>5650</v>
      </c>
      <c r="T1054" s="301" t="s">
        <v>5651</v>
      </c>
      <c r="U1054" s="301" t="s">
        <v>5652</v>
      </c>
      <c r="V1054" s="301" t="s">
        <v>5653</v>
      </c>
      <c r="W1054" s="298" t="s">
        <v>315</v>
      </c>
      <c r="X1054" s="298" t="s">
        <v>966</v>
      </c>
    </row>
    <row r="1055">
      <c r="A1055" s="295" t="s">
        <v>5654</v>
      </c>
      <c r="B1055" s="298">
        <v>4.0</v>
      </c>
      <c r="C1055" s="298" t="s">
        <v>288</v>
      </c>
      <c r="D1055" s="298" t="s">
        <v>289</v>
      </c>
      <c r="E1055" s="298" t="s">
        <v>290</v>
      </c>
      <c r="F1055" s="484" t="str">
        <f>'Character Sheet'!$K$9</f>
        <v/>
      </c>
      <c r="G1055" s="298" t="s">
        <v>493</v>
      </c>
      <c r="H1055" s="298" t="s">
        <v>324</v>
      </c>
      <c r="I1055" s="298" t="s">
        <v>324</v>
      </c>
      <c r="J1055" s="298" t="s">
        <v>203</v>
      </c>
      <c r="K1055" s="298" t="s">
        <v>632</v>
      </c>
      <c r="L1055" s="298" t="s">
        <v>4524</v>
      </c>
      <c r="M1055" s="301" t="s">
        <v>315</v>
      </c>
      <c r="N1055" s="301" t="s">
        <v>315</v>
      </c>
      <c r="O1055" s="301" t="s">
        <v>315</v>
      </c>
      <c r="P1055" s="301" t="s">
        <v>5655</v>
      </c>
      <c r="Q1055" s="301" t="s">
        <v>5655</v>
      </c>
      <c r="R1055" s="301" t="s">
        <v>5655</v>
      </c>
      <c r="S1055" s="301" t="s">
        <v>5656</v>
      </c>
      <c r="T1055" s="301" t="s">
        <v>5656</v>
      </c>
      <c r="U1055" s="301" t="s">
        <v>5656</v>
      </c>
      <c r="V1055" s="301" t="s">
        <v>5657</v>
      </c>
      <c r="W1055" s="298" t="s">
        <v>315</v>
      </c>
      <c r="X1055" s="298" t="s">
        <v>966</v>
      </c>
    </row>
    <row r="1056">
      <c r="A1056" s="295" t="s">
        <v>5658</v>
      </c>
      <c r="B1056" s="298">
        <v>4.0</v>
      </c>
      <c r="C1056" s="298" t="s">
        <v>522</v>
      </c>
      <c r="D1056" s="298" t="s">
        <v>359</v>
      </c>
      <c r="E1056" s="298" t="s">
        <v>290</v>
      </c>
      <c r="F1056" s="484" t="str">
        <f>'Character Sheet'!$C$9</f>
        <v/>
      </c>
      <c r="G1056" s="298" t="s">
        <v>294</v>
      </c>
      <c r="H1056" s="298" t="s">
        <v>324</v>
      </c>
      <c r="I1056" s="298" t="s">
        <v>2763</v>
      </c>
      <c r="J1056" s="298" t="s">
        <v>192</v>
      </c>
      <c r="K1056" s="298" t="s">
        <v>632</v>
      </c>
      <c r="L1056" s="298" t="s">
        <v>4524</v>
      </c>
      <c r="M1056" s="301" t="s">
        <v>315</v>
      </c>
      <c r="N1056" s="301" t="s">
        <v>315</v>
      </c>
      <c r="O1056" s="301" t="s">
        <v>315</v>
      </c>
      <c r="P1056" s="301" t="s">
        <v>5659</v>
      </c>
      <c r="Q1056" s="301" t="s">
        <v>5660</v>
      </c>
      <c r="R1056" s="301" t="s">
        <v>5661</v>
      </c>
      <c r="S1056" s="301" t="s">
        <v>5662</v>
      </c>
      <c r="T1056" s="301" t="s">
        <v>5663</v>
      </c>
      <c r="U1056" s="301" t="s">
        <v>5664</v>
      </c>
      <c r="V1056" s="301" t="s">
        <v>5665</v>
      </c>
      <c r="W1056" s="298" t="s">
        <v>315</v>
      </c>
      <c r="X1056" s="298" t="s">
        <v>306</v>
      </c>
    </row>
    <row r="1057">
      <c r="A1057" s="295" t="s">
        <v>5666</v>
      </c>
      <c r="B1057" s="298">
        <v>4.0</v>
      </c>
      <c r="C1057" s="298" t="s">
        <v>522</v>
      </c>
      <c r="D1057" s="298" t="s">
        <v>289</v>
      </c>
      <c r="E1057" s="298" t="s">
        <v>311</v>
      </c>
      <c r="F1057" s="484" t="str">
        <f>'Character Sheet'!$B$9</f>
        <v/>
      </c>
      <c r="G1057" s="298" t="s">
        <v>493</v>
      </c>
      <c r="H1057" s="298" t="s">
        <v>324</v>
      </c>
      <c r="I1057" s="298" t="s">
        <v>324</v>
      </c>
      <c r="J1057" s="298" t="s">
        <v>315</v>
      </c>
      <c r="K1057" s="298" t="s">
        <v>1174</v>
      </c>
      <c r="L1057" s="298" t="s">
        <v>4524</v>
      </c>
      <c r="M1057" s="301" t="s">
        <v>315</v>
      </c>
      <c r="N1057" s="301" t="s">
        <v>315</v>
      </c>
      <c r="O1057" s="301" t="s">
        <v>315</v>
      </c>
      <c r="P1057" s="301" t="s">
        <v>5667</v>
      </c>
      <c r="Q1057" s="301" t="s">
        <v>5667</v>
      </c>
      <c r="R1057" s="301" t="s">
        <v>5667</v>
      </c>
      <c r="S1057" s="301" t="s">
        <v>5667</v>
      </c>
      <c r="T1057" s="301" t="s">
        <v>5667</v>
      </c>
      <c r="U1057" s="301" t="s">
        <v>5667</v>
      </c>
      <c r="V1057" s="301" t="s">
        <v>5667</v>
      </c>
      <c r="W1057" s="298" t="s">
        <v>315</v>
      </c>
      <c r="X1057" s="298" t="s">
        <v>678</v>
      </c>
    </row>
    <row r="1058">
      <c r="A1058" s="295" t="s">
        <v>5668</v>
      </c>
      <c r="B1058" s="298">
        <v>4.0</v>
      </c>
      <c r="C1058" s="298" t="s">
        <v>522</v>
      </c>
      <c r="D1058" s="298" t="s">
        <v>359</v>
      </c>
      <c r="E1058" s="298" t="s">
        <v>311</v>
      </c>
      <c r="F1058" s="484" t="str">
        <f>'Character Sheet'!$B$9</f>
        <v/>
      </c>
      <c r="G1058" s="298" t="s">
        <v>477</v>
      </c>
      <c r="H1058" s="298" t="s">
        <v>708</v>
      </c>
      <c r="I1058" s="298" t="s">
        <v>296</v>
      </c>
      <c r="J1058" s="298" t="s">
        <v>192</v>
      </c>
      <c r="K1058" s="298" t="s">
        <v>478</v>
      </c>
      <c r="L1058" s="298" t="s">
        <v>4524</v>
      </c>
      <c r="M1058" s="301" t="s">
        <v>315</v>
      </c>
      <c r="N1058" s="301" t="s">
        <v>315</v>
      </c>
      <c r="O1058" s="301" t="s">
        <v>315</v>
      </c>
      <c r="P1058" s="301" t="s">
        <v>5669</v>
      </c>
      <c r="Q1058" s="301" t="s">
        <v>5669</v>
      </c>
      <c r="R1058" s="301" t="s">
        <v>5669</v>
      </c>
      <c r="S1058" s="301" t="s">
        <v>5669</v>
      </c>
      <c r="T1058" s="301" t="s">
        <v>5669</v>
      </c>
      <c r="U1058" s="301" t="s">
        <v>5669</v>
      </c>
      <c r="V1058" s="301" t="s">
        <v>5669</v>
      </c>
      <c r="W1058" s="298" t="s">
        <v>315</v>
      </c>
      <c r="X1058" s="298" t="s">
        <v>306</v>
      </c>
    </row>
    <row r="1059">
      <c r="A1059" s="295" t="s">
        <v>5670</v>
      </c>
      <c r="B1059" s="298">
        <v>4.0</v>
      </c>
      <c r="C1059" s="298" t="s">
        <v>522</v>
      </c>
      <c r="D1059" s="298" t="s">
        <v>359</v>
      </c>
      <c r="E1059" s="298" t="s">
        <v>290</v>
      </c>
      <c r="F1059" s="484" t="str">
        <f>'Character Sheet'!$B$9</f>
        <v/>
      </c>
      <c r="G1059" s="298" t="s">
        <v>477</v>
      </c>
      <c r="H1059" s="298" t="s">
        <v>324</v>
      </c>
      <c r="I1059" s="298" t="s">
        <v>324</v>
      </c>
      <c r="J1059" s="298" t="s">
        <v>315</v>
      </c>
      <c r="K1059" s="298" t="s">
        <v>424</v>
      </c>
      <c r="L1059" s="298" t="s">
        <v>4524</v>
      </c>
      <c r="M1059" s="301" t="s">
        <v>315</v>
      </c>
      <c r="N1059" s="301" t="s">
        <v>315</v>
      </c>
      <c r="O1059" s="301" t="s">
        <v>315</v>
      </c>
      <c r="P1059" s="301" t="s">
        <v>5671</v>
      </c>
      <c r="Q1059" s="301" t="s">
        <v>5671</v>
      </c>
      <c r="R1059" s="301" t="s">
        <v>5671</v>
      </c>
      <c r="S1059" s="301" t="s">
        <v>5672</v>
      </c>
      <c r="T1059" s="301" t="s">
        <v>5672</v>
      </c>
      <c r="U1059" s="301" t="s">
        <v>5672</v>
      </c>
      <c r="V1059" s="301" t="s">
        <v>5672</v>
      </c>
      <c r="W1059" s="298" t="s">
        <v>315</v>
      </c>
      <c r="X1059" s="298" t="s">
        <v>306</v>
      </c>
    </row>
    <row r="1060">
      <c r="A1060" s="295" t="s">
        <v>5673</v>
      </c>
      <c r="B1060" s="298">
        <v>4.0</v>
      </c>
      <c r="C1060" s="298" t="s">
        <v>522</v>
      </c>
      <c r="D1060" s="298" t="s">
        <v>321</v>
      </c>
      <c r="E1060" s="298" t="s">
        <v>290</v>
      </c>
      <c r="F1060" s="484" t="str">
        <f>'Character Sheet'!$C$9</f>
        <v/>
      </c>
      <c r="G1060" s="298" t="s">
        <v>294</v>
      </c>
      <c r="H1060" s="298" t="s">
        <v>295</v>
      </c>
      <c r="I1060" s="298" t="s">
        <v>296</v>
      </c>
      <c r="J1060" s="298" t="s">
        <v>746</v>
      </c>
      <c r="K1060" s="298" t="s">
        <v>424</v>
      </c>
      <c r="L1060" s="298" t="s">
        <v>4524</v>
      </c>
      <c r="M1060" s="301" t="s">
        <v>315</v>
      </c>
      <c r="N1060" s="301" t="s">
        <v>315</v>
      </c>
      <c r="O1060" s="301" t="s">
        <v>315</v>
      </c>
      <c r="P1060" s="301" t="s">
        <v>5674</v>
      </c>
      <c r="Q1060" s="301" t="s">
        <v>5675</v>
      </c>
      <c r="R1060" s="301" t="s">
        <v>5676</v>
      </c>
      <c r="S1060" s="301" t="s">
        <v>5677</v>
      </c>
      <c r="T1060" s="301" t="s">
        <v>5678</v>
      </c>
      <c r="U1060" s="301" t="s">
        <v>5679</v>
      </c>
      <c r="V1060" s="301" t="s">
        <v>5680</v>
      </c>
      <c r="W1060" s="298" t="s">
        <v>315</v>
      </c>
      <c r="X1060" s="298" t="s">
        <v>4778</v>
      </c>
    </row>
    <row r="1061">
      <c r="A1061" s="295" t="s">
        <v>5681</v>
      </c>
      <c r="B1061" s="298">
        <v>4.0</v>
      </c>
      <c r="C1061" s="298" t="s">
        <v>522</v>
      </c>
      <c r="D1061" s="298" t="s">
        <v>462</v>
      </c>
      <c r="E1061" s="298" t="s">
        <v>311</v>
      </c>
      <c r="F1061" s="484" t="str">
        <f>'Character Sheet'!$C$9</f>
        <v/>
      </c>
      <c r="G1061" s="298" t="s">
        <v>294</v>
      </c>
      <c r="H1061" s="298" t="s">
        <v>360</v>
      </c>
      <c r="I1061" s="298" t="s">
        <v>296</v>
      </c>
      <c r="J1061" s="298" t="s">
        <v>173</v>
      </c>
      <c r="K1061" s="298" t="s">
        <v>1174</v>
      </c>
      <c r="L1061" s="298" t="s">
        <v>4524</v>
      </c>
      <c r="M1061" s="301" t="s">
        <v>315</v>
      </c>
      <c r="N1061" s="301" t="s">
        <v>315</v>
      </c>
      <c r="O1061" s="301" t="s">
        <v>315</v>
      </c>
      <c r="P1061" s="301" t="s">
        <v>5682</v>
      </c>
      <c r="Q1061" s="301" t="s">
        <v>5682</v>
      </c>
      <c r="R1061" s="301" t="s">
        <v>5682</v>
      </c>
      <c r="S1061" s="301" t="s">
        <v>5682</v>
      </c>
      <c r="T1061" s="301" t="s">
        <v>5682</v>
      </c>
      <c r="U1061" s="301" t="s">
        <v>5682</v>
      </c>
      <c r="V1061" s="301" t="s">
        <v>5682</v>
      </c>
      <c r="W1061" s="298" t="s">
        <v>315</v>
      </c>
      <c r="X1061" s="298" t="s">
        <v>306</v>
      </c>
    </row>
    <row r="1062">
      <c r="A1062" s="295" t="s">
        <v>5683</v>
      </c>
      <c r="B1062" s="298">
        <v>4.0</v>
      </c>
      <c r="C1062" s="298" t="s">
        <v>522</v>
      </c>
      <c r="D1062" s="298" t="s">
        <v>289</v>
      </c>
      <c r="E1062" s="298" t="s">
        <v>290</v>
      </c>
      <c r="F1062" s="484" t="str">
        <f>'Character Sheet'!$C$9</f>
        <v/>
      </c>
      <c r="G1062" s="298" t="s">
        <v>294</v>
      </c>
      <c r="H1062" s="298" t="s">
        <v>295</v>
      </c>
      <c r="I1062" s="298" t="s">
        <v>296</v>
      </c>
      <c r="J1062" s="298" t="s">
        <v>746</v>
      </c>
      <c r="K1062" s="298" t="s">
        <v>298</v>
      </c>
      <c r="L1062" s="298" t="s">
        <v>4524</v>
      </c>
      <c r="M1062" s="301" t="s">
        <v>315</v>
      </c>
      <c r="N1062" s="301" t="s">
        <v>315</v>
      </c>
      <c r="O1062" s="301" t="s">
        <v>315</v>
      </c>
      <c r="P1062" s="301" t="s">
        <v>5684</v>
      </c>
      <c r="Q1062" s="301" t="s">
        <v>5685</v>
      </c>
      <c r="R1062" s="301" t="s">
        <v>5686</v>
      </c>
      <c r="S1062" s="301" t="s">
        <v>5687</v>
      </c>
      <c r="T1062" s="301" t="s">
        <v>5688</v>
      </c>
      <c r="U1062" s="301" t="s">
        <v>5689</v>
      </c>
      <c r="V1062" s="301" t="s">
        <v>5690</v>
      </c>
      <c r="W1062" s="298" t="s">
        <v>315</v>
      </c>
      <c r="X1062" s="298" t="s">
        <v>678</v>
      </c>
    </row>
    <row r="1063">
      <c r="A1063" s="295" t="s">
        <v>5691</v>
      </c>
      <c r="B1063" s="298">
        <v>4.0</v>
      </c>
      <c r="C1063" s="298" t="s">
        <v>522</v>
      </c>
      <c r="D1063" s="298" t="s">
        <v>359</v>
      </c>
      <c r="E1063" s="298" t="s">
        <v>311</v>
      </c>
      <c r="F1063" s="484" t="str">
        <f>'Character Sheet'!$C$9</f>
        <v/>
      </c>
      <c r="G1063" s="298" t="s">
        <v>294</v>
      </c>
      <c r="H1063" s="298" t="s">
        <v>295</v>
      </c>
      <c r="I1063" s="298" t="s">
        <v>296</v>
      </c>
      <c r="J1063" s="298" t="s">
        <v>192</v>
      </c>
      <c r="K1063" s="298" t="s">
        <v>1174</v>
      </c>
      <c r="L1063" s="298" t="s">
        <v>4524</v>
      </c>
      <c r="M1063" s="301" t="s">
        <v>315</v>
      </c>
      <c r="N1063" s="301" t="s">
        <v>315</v>
      </c>
      <c r="O1063" s="301" t="s">
        <v>315</v>
      </c>
      <c r="P1063" s="301" t="s">
        <v>5692</v>
      </c>
      <c r="Q1063" s="301" t="s">
        <v>5692</v>
      </c>
      <c r="R1063" s="301" t="s">
        <v>5692</v>
      </c>
      <c r="S1063" s="301" t="s">
        <v>5692</v>
      </c>
      <c r="T1063" s="301" t="s">
        <v>5692</v>
      </c>
      <c r="U1063" s="301" t="s">
        <v>5692</v>
      </c>
      <c r="V1063" s="301" t="s">
        <v>5692</v>
      </c>
      <c r="W1063" s="298" t="s">
        <v>315</v>
      </c>
      <c r="X1063" s="298" t="s">
        <v>306</v>
      </c>
    </row>
    <row r="1064">
      <c r="A1064" s="295" t="s">
        <v>5693</v>
      </c>
      <c r="B1064" s="298">
        <v>4.0</v>
      </c>
      <c r="C1064" s="298" t="s">
        <v>522</v>
      </c>
      <c r="D1064" s="298" t="s">
        <v>289</v>
      </c>
      <c r="E1064" s="298" t="s">
        <v>290</v>
      </c>
      <c r="F1064" s="484" t="str">
        <f>'Character Sheet'!$C$9</f>
        <v/>
      </c>
      <c r="G1064" s="298" t="s">
        <v>294</v>
      </c>
      <c r="H1064" s="298" t="s">
        <v>324</v>
      </c>
      <c r="I1064" s="298" t="s">
        <v>2763</v>
      </c>
      <c r="J1064" s="298" t="s">
        <v>315</v>
      </c>
      <c r="K1064" s="298" t="s">
        <v>632</v>
      </c>
      <c r="L1064" s="298" t="s">
        <v>4524</v>
      </c>
      <c r="M1064" s="301" t="s">
        <v>315</v>
      </c>
      <c r="N1064" s="301" t="s">
        <v>315</v>
      </c>
      <c r="O1064" s="301" t="s">
        <v>315</v>
      </c>
      <c r="P1064" s="301" t="s">
        <v>5694</v>
      </c>
      <c r="Q1064" s="301" t="s">
        <v>5694</v>
      </c>
      <c r="R1064" s="301" t="s">
        <v>5695</v>
      </c>
      <c r="S1064" s="301" t="s">
        <v>5695</v>
      </c>
      <c r="T1064" s="301" t="s">
        <v>5696</v>
      </c>
      <c r="U1064" s="301" t="s">
        <v>5696</v>
      </c>
      <c r="V1064" s="301" t="s">
        <v>5697</v>
      </c>
      <c r="W1064" s="298" t="s">
        <v>315</v>
      </c>
      <c r="X1064" s="298" t="s">
        <v>306</v>
      </c>
    </row>
    <row r="1065">
      <c r="A1065" s="295" t="s">
        <v>5698</v>
      </c>
      <c r="B1065" s="298">
        <v>4.0</v>
      </c>
      <c r="C1065" s="298" t="s">
        <v>288</v>
      </c>
      <c r="D1065" s="298" t="s">
        <v>289</v>
      </c>
      <c r="E1065" s="298" t="s">
        <v>290</v>
      </c>
      <c r="F1065" s="484" t="str">
        <f>'Character Sheet'!$C$9</f>
        <v/>
      </c>
      <c r="G1065" s="298" t="s">
        <v>294</v>
      </c>
      <c r="H1065" s="298" t="s">
        <v>324</v>
      </c>
      <c r="I1065" s="298" t="s">
        <v>2763</v>
      </c>
      <c r="J1065" s="298" t="s">
        <v>336</v>
      </c>
      <c r="K1065" s="298" t="s">
        <v>632</v>
      </c>
      <c r="L1065" s="298" t="s">
        <v>4524</v>
      </c>
      <c r="M1065" s="301" t="s">
        <v>315</v>
      </c>
      <c r="N1065" s="301" t="s">
        <v>315</v>
      </c>
      <c r="O1065" s="301" t="s">
        <v>315</v>
      </c>
      <c r="P1065" s="301" t="s">
        <v>5699</v>
      </c>
      <c r="Q1065" s="301" t="s">
        <v>5699</v>
      </c>
      <c r="R1065" s="301" t="s">
        <v>5700</v>
      </c>
      <c r="S1065" s="301" t="s">
        <v>5700</v>
      </c>
      <c r="T1065" s="301" t="s">
        <v>5701</v>
      </c>
      <c r="U1065" s="301" t="s">
        <v>5701</v>
      </c>
      <c r="V1065" s="301" t="s">
        <v>5702</v>
      </c>
      <c r="W1065" s="298" t="s">
        <v>315</v>
      </c>
      <c r="X1065" s="298" t="s">
        <v>966</v>
      </c>
    </row>
    <row r="1066">
      <c r="A1066" s="295" t="s">
        <v>5703</v>
      </c>
      <c r="B1066" s="298">
        <v>4.0</v>
      </c>
      <c r="C1066" s="298" t="s">
        <v>522</v>
      </c>
      <c r="D1066" s="298" t="s">
        <v>151</v>
      </c>
      <c r="E1066" s="298" t="s">
        <v>290</v>
      </c>
      <c r="F1066" s="484" t="str">
        <f>'Character Sheet'!$B$9</f>
        <v/>
      </c>
      <c r="G1066" s="298" t="s">
        <v>493</v>
      </c>
      <c r="H1066" s="298" t="s">
        <v>324</v>
      </c>
      <c r="I1066" s="298" t="s">
        <v>324</v>
      </c>
      <c r="J1066" s="298" t="s">
        <v>315</v>
      </c>
      <c r="K1066" s="298" t="s">
        <v>298</v>
      </c>
      <c r="L1066" s="298" t="s">
        <v>4524</v>
      </c>
      <c r="M1066" s="301" t="s">
        <v>315</v>
      </c>
      <c r="N1066" s="301" t="s">
        <v>315</v>
      </c>
      <c r="O1066" s="301" t="s">
        <v>315</v>
      </c>
      <c r="P1066" s="301" t="s">
        <v>5704</v>
      </c>
      <c r="Q1066" s="301" t="s">
        <v>5705</v>
      </c>
      <c r="R1066" s="301" t="s">
        <v>5706</v>
      </c>
      <c r="S1066" s="301" t="s">
        <v>5707</v>
      </c>
      <c r="T1066" s="301" t="s">
        <v>5708</v>
      </c>
      <c r="U1066" s="301" t="s">
        <v>5709</v>
      </c>
      <c r="V1066" s="301" t="s">
        <v>5710</v>
      </c>
      <c r="W1066" s="298" t="s">
        <v>315</v>
      </c>
      <c r="X1066" s="298" t="s">
        <v>306</v>
      </c>
    </row>
    <row r="1067">
      <c r="A1067" s="295" t="s">
        <v>5711</v>
      </c>
      <c r="B1067" s="298">
        <v>4.0</v>
      </c>
      <c r="C1067" s="298" t="s">
        <v>522</v>
      </c>
      <c r="D1067" s="298" t="s">
        <v>462</v>
      </c>
      <c r="E1067" s="298" t="s">
        <v>311</v>
      </c>
      <c r="F1067" s="484" t="str">
        <f>'Character Sheet'!$K$9</f>
        <v/>
      </c>
      <c r="G1067" s="298" t="s">
        <v>493</v>
      </c>
      <c r="H1067" s="298" t="s">
        <v>324</v>
      </c>
      <c r="I1067" s="298" t="s">
        <v>324</v>
      </c>
      <c r="J1067" s="298" t="s">
        <v>315</v>
      </c>
      <c r="K1067" s="298" t="s">
        <v>298</v>
      </c>
      <c r="L1067" s="298" t="s">
        <v>4524</v>
      </c>
      <c r="M1067" s="301" t="s">
        <v>315</v>
      </c>
      <c r="N1067" s="301" t="s">
        <v>315</v>
      </c>
      <c r="O1067" s="301" t="s">
        <v>315</v>
      </c>
      <c r="P1067" s="301" t="s">
        <v>5712</v>
      </c>
      <c r="Q1067" s="301" t="s">
        <v>5712</v>
      </c>
      <c r="R1067" s="301" t="s">
        <v>5712</v>
      </c>
      <c r="S1067" s="301" t="s">
        <v>5712</v>
      </c>
      <c r="T1067" s="301" t="s">
        <v>5712</v>
      </c>
      <c r="U1067" s="301" t="s">
        <v>5712</v>
      </c>
      <c r="V1067" s="301" t="s">
        <v>5712</v>
      </c>
      <c r="W1067" s="298" t="s">
        <v>315</v>
      </c>
      <c r="X1067" s="298" t="s">
        <v>306</v>
      </c>
    </row>
    <row r="1068">
      <c r="A1068" s="295" t="s">
        <v>5713</v>
      </c>
      <c r="B1068" s="298">
        <v>4.0</v>
      </c>
      <c r="C1068" s="298" t="s">
        <v>288</v>
      </c>
      <c r="D1068" s="298" t="s">
        <v>151</v>
      </c>
      <c r="E1068" s="298" t="s">
        <v>290</v>
      </c>
      <c r="F1068" s="484" t="str">
        <f>'Character Sheet'!$C$9</f>
        <v/>
      </c>
      <c r="G1068" s="298" t="s">
        <v>294</v>
      </c>
      <c r="H1068" s="298" t="s">
        <v>494</v>
      </c>
      <c r="I1068" s="298" t="s">
        <v>3354</v>
      </c>
      <c r="J1068" s="298" t="s">
        <v>173</v>
      </c>
      <c r="K1068" s="298" t="s">
        <v>632</v>
      </c>
      <c r="L1068" s="298" t="s">
        <v>4524</v>
      </c>
      <c r="M1068" s="301" t="s">
        <v>315</v>
      </c>
      <c r="N1068" s="301" t="s">
        <v>315</v>
      </c>
      <c r="O1068" s="301" t="s">
        <v>315</v>
      </c>
      <c r="P1068" s="301" t="s">
        <v>5714</v>
      </c>
      <c r="Q1068" s="301" t="s">
        <v>5715</v>
      </c>
      <c r="R1068" s="301" t="s">
        <v>5716</v>
      </c>
      <c r="S1068" s="301" t="s">
        <v>5717</v>
      </c>
      <c r="T1068" s="301" t="s">
        <v>5718</v>
      </c>
      <c r="U1068" s="301" t="s">
        <v>5719</v>
      </c>
      <c r="V1068" s="301" t="s">
        <v>5720</v>
      </c>
      <c r="W1068" s="298" t="s">
        <v>315</v>
      </c>
      <c r="X1068" s="298" t="s">
        <v>966</v>
      </c>
    </row>
    <row r="1069">
      <c r="A1069" s="295" t="s">
        <v>5721</v>
      </c>
      <c r="B1069" s="298">
        <v>4.0</v>
      </c>
      <c r="C1069" s="298" t="s">
        <v>522</v>
      </c>
      <c r="D1069" s="298" t="s">
        <v>289</v>
      </c>
      <c r="E1069" s="298" t="s">
        <v>290</v>
      </c>
      <c r="F1069" s="484" t="str">
        <f>'Character Sheet'!$C$9</f>
        <v/>
      </c>
      <c r="G1069" s="298" t="s">
        <v>294</v>
      </c>
      <c r="H1069" s="298" t="s">
        <v>352</v>
      </c>
      <c r="I1069" s="298" t="s">
        <v>2777</v>
      </c>
      <c r="J1069" s="298" t="s">
        <v>315</v>
      </c>
      <c r="K1069" s="298" t="s">
        <v>632</v>
      </c>
      <c r="L1069" s="298" t="s">
        <v>4524</v>
      </c>
      <c r="M1069" s="301" t="s">
        <v>315</v>
      </c>
      <c r="N1069" s="301" t="s">
        <v>315</v>
      </c>
      <c r="O1069" s="301" t="s">
        <v>315</v>
      </c>
      <c r="P1069" s="301" t="s">
        <v>5722</v>
      </c>
      <c r="Q1069" s="301" t="s">
        <v>5723</v>
      </c>
      <c r="R1069" s="301" t="s">
        <v>5724</v>
      </c>
      <c r="S1069" s="301" t="s">
        <v>5725</v>
      </c>
      <c r="T1069" s="301" t="s">
        <v>5726</v>
      </c>
      <c r="U1069" s="301" t="s">
        <v>5727</v>
      </c>
      <c r="V1069" s="301" t="s">
        <v>5728</v>
      </c>
      <c r="W1069" s="298" t="s">
        <v>315</v>
      </c>
      <c r="X1069" s="298" t="s">
        <v>306</v>
      </c>
    </row>
    <row r="1070">
      <c r="A1070" s="295" t="s">
        <v>5729</v>
      </c>
      <c r="B1070" s="298">
        <v>4.0</v>
      </c>
      <c r="C1070" s="298" t="s">
        <v>522</v>
      </c>
      <c r="D1070" s="298" t="s">
        <v>359</v>
      </c>
      <c r="E1070" s="298" t="s">
        <v>311</v>
      </c>
      <c r="F1070" s="484" t="str">
        <f>'Character Sheet'!$C$9</f>
        <v/>
      </c>
      <c r="G1070" s="298" t="s">
        <v>294</v>
      </c>
      <c r="H1070" s="298" t="s">
        <v>324</v>
      </c>
      <c r="I1070" s="298" t="s">
        <v>861</v>
      </c>
      <c r="J1070" s="298" t="s">
        <v>315</v>
      </c>
      <c r="K1070" s="298" t="s">
        <v>424</v>
      </c>
      <c r="L1070" s="298" t="s">
        <v>4524</v>
      </c>
      <c r="M1070" s="301" t="s">
        <v>315</v>
      </c>
      <c r="N1070" s="301" t="s">
        <v>315</v>
      </c>
      <c r="O1070" s="301" t="s">
        <v>315</v>
      </c>
      <c r="P1070" s="301" t="s">
        <v>5730</v>
      </c>
      <c r="Q1070" s="301" t="s">
        <v>5730</v>
      </c>
      <c r="R1070" s="301" t="s">
        <v>5730</v>
      </c>
      <c r="S1070" s="301" t="s">
        <v>5730</v>
      </c>
      <c r="T1070" s="301" t="s">
        <v>5730</v>
      </c>
      <c r="U1070" s="301" t="s">
        <v>5730</v>
      </c>
      <c r="V1070" s="301" t="s">
        <v>5730</v>
      </c>
      <c r="W1070" s="298" t="s">
        <v>315</v>
      </c>
      <c r="X1070" s="298" t="s">
        <v>306</v>
      </c>
    </row>
    <row r="1071">
      <c r="A1071" s="295" t="s">
        <v>5731</v>
      </c>
      <c r="B1071" s="298">
        <v>4.0</v>
      </c>
      <c r="C1071" s="298" t="s">
        <v>522</v>
      </c>
      <c r="D1071" s="298" t="s">
        <v>359</v>
      </c>
      <c r="E1071" s="298" t="s">
        <v>311</v>
      </c>
      <c r="F1071" s="484" t="str">
        <f>'Character Sheet'!$C$9</f>
        <v/>
      </c>
      <c r="G1071" s="298" t="s">
        <v>294</v>
      </c>
      <c r="H1071" s="298" t="s">
        <v>295</v>
      </c>
      <c r="I1071" s="298" t="s">
        <v>296</v>
      </c>
      <c r="J1071" s="298" t="s">
        <v>192</v>
      </c>
      <c r="K1071" s="298" t="s">
        <v>478</v>
      </c>
      <c r="L1071" s="298" t="s">
        <v>4524</v>
      </c>
      <c r="M1071" s="301" t="s">
        <v>315</v>
      </c>
      <c r="N1071" s="301" t="s">
        <v>315</v>
      </c>
      <c r="O1071" s="301" t="s">
        <v>315</v>
      </c>
      <c r="P1071" s="301" t="s">
        <v>5732</v>
      </c>
      <c r="Q1071" s="301" t="s">
        <v>5732</v>
      </c>
      <c r="R1071" s="301" t="s">
        <v>5732</v>
      </c>
      <c r="S1071" s="301" t="s">
        <v>5732</v>
      </c>
      <c r="T1071" s="301" t="s">
        <v>5732</v>
      </c>
      <c r="U1071" s="301" t="s">
        <v>5732</v>
      </c>
      <c r="V1071" s="301" t="s">
        <v>5732</v>
      </c>
      <c r="W1071" s="298" t="s">
        <v>315</v>
      </c>
      <c r="X1071" s="298" t="s">
        <v>306</v>
      </c>
    </row>
    <row r="1072">
      <c r="A1072" s="295" t="s">
        <v>5733</v>
      </c>
      <c r="B1072" s="298">
        <v>4.0</v>
      </c>
      <c r="C1072" s="298" t="s">
        <v>288</v>
      </c>
      <c r="D1072" s="298" t="s">
        <v>151</v>
      </c>
      <c r="E1072" s="298" t="s">
        <v>290</v>
      </c>
      <c r="F1072" s="484" t="str">
        <f>'Character Sheet'!$C$9</f>
        <v/>
      </c>
      <c r="G1072" s="298" t="s">
        <v>294</v>
      </c>
      <c r="H1072" s="298" t="s">
        <v>352</v>
      </c>
      <c r="I1072" s="298" t="s">
        <v>1000</v>
      </c>
      <c r="J1072" s="298" t="s">
        <v>315</v>
      </c>
      <c r="K1072" s="298" t="s">
        <v>632</v>
      </c>
      <c r="L1072" s="298" t="s">
        <v>4524</v>
      </c>
      <c r="M1072" s="301" t="s">
        <v>315</v>
      </c>
      <c r="N1072" s="301" t="s">
        <v>315</v>
      </c>
      <c r="O1072" s="301" t="s">
        <v>315</v>
      </c>
      <c r="P1072" s="301" t="s">
        <v>5734</v>
      </c>
      <c r="Q1072" s="301" t="s">
        <v>5734</v>
      </c>
      <c r="R1072" s="301" t="s">
        <v>5735</v>
      </c>
      <c r="S1072" s="301" t="s">
        <v>5735</v>
      </c>
      <c r="T1072" s="301" t="s">
        <v>5736</v>
      </c>
      <c r="U1072" s="301" t="s">
        <v>5736</v>
      </c>
      <c r="V1072" s="301" t="s">
        <v>5737</v>
      </c>
      <c r="W1072" s="298" t="s">
        <v>315</v>
      </c>
      <c r="X1072" s="298" t="s">
        <v>966</v>
      </c>
    </row>
    <row r="1073">
      <c r="A1073" s="295" t="s">
        <v>5738</v>
      </c>
      <c r="B1073" s="298">
        <v>4.0</v>
      </c>
      <c r="C1073" s="298" t="s">
        <v>288</v>
      </c>
      <c r="D1073" s="298" t="s">
        <v>421</v>
      </c>
      <c r="E1073" s="298" t="s">
        <v>290</v>
      </c>
      <c r="F1073" s="484" t="str">
        <f>'Character Sheet'!$C$9</f>
        <v/>
      </c>
      <c r="G1073" s="298" t="s">
        <v>294</v>
      </c>
      <c r="H1073" s="298" t="s">
        <v>295</v>
      </c>
      <c r="I1073" s="298" t="s">
        <v>296</v>
      </c>
      <c r="J1073" s="298" t="s">
        <v>315</v>
      </c>
      <c r="K1073" s="298" t="s">
        <v>632</v>
      </c>
      <c r="L1073" s="298" t="s">
        <v>4524</v>
      </c>
      <c r="M1073" s="301" t="s">
        <v>315</v>
      </c>
      <c r="N1073" s="301" t="s">
        <v>315</v>
      </c>
      <c r="O1073" s="301" t="s">
        <v>315</v>
      </c>
      <c r="P1073" s="301" t="s">
        <v>5739</v>
      </c>
      <c r="Q1073" s="301" t="s">
        <v>5739</v>
      </c>
      <c r="R1073" s="301" t="s">
        <v>5739</v>
      </c>
      <c r="S1073" s="301" t="s">
        <v>5740</v>
      </c>
      <c r="T1073" s="301" t="s">
        <v>5740</v>
      </c>
      <c r="U1073" s="301" t="s">
        <v>5740</v>
      </c>
      <c r="V1073" s="301" t="s">
        <v>5741</v>
      </c>
      <c r="W1073" s="298" t="s">
        <v>315</v>
      </c>
      <c r="X1073" s="298" t="s">
        <v>966</v>
      </c>
    </row>
    <row r="1074">
      <c r="A1074" s="295" t="s">
        <v>5742</v>
      </c>
      <c r="B1074" s="298">
        <v>4.0</v>
      </c>
      <c r="C1074" s="298" t="s">
        <v>288</v>
      </c>
      <c r="D1074" s="298" t="s">
        <v>334</v>
      </c>
      <c r="E1074" s="298" t="s">
        <v>311</v>
      </c>
      <c r="F1074" s="484" t="str">
        <f>'Character Sheet'!$C$9</f>
        <v/>
      </c>
      <c r="G1074" s="298" t="s">
        <v>294</v>
      </c>
      <c r="H1074" s="298" t="s">
        <v>295</v>
      </c>
      <c r="I1074" s="298" t="s">
        <v>2763</v>
      </c>
      <c r="J1074" s="298" t="s">
        <v>315</v>
      </c>
      <c r="K1074" s="298" t="s">
        <v>424</v>
      </c>
      <c r="L1074" s="298" t="s">
        <v>4524</v>
      </c>
      <c r="M1074" s="301" t="s">
        <v>315</v>
      </c>
      <c r="N1074" s="301" t="s">
        <v>315</v>
      </c>
      <c r="O1074" s="301" t="s">
        <v>315</v>
      </c>
      <c r="P1074" s="301" t="s">
        <v>5743</v>
      </c>
      <c r="Q1074" s="301" t="s">
        <v>5743</v>
      </c>
      <c r="R1074" s="301" t="s">
        <v>5743</v>
      </c>
      <c r="S1074" s="301" t="s">
        <v>5743</v>
      </c>
      <c r="T1074" s="301" t="s">
        <v>5743</v>
      </c>
      <c r="U1074" s="301" t="s">
        <v>5743</v>
      </c>
      <c r="V1074" s="301" t="s">
        <v>5743</v>
      </c>
      <c r="W1074" s="298" t="s">
        <v>315</v>
      </c>
      <c r="X1074" s="298" t="s">
        <v>966</v>
      </c>
    </row>
    <row r="1075">
      <c r="A1075" s="295" t="s">
        <v>5744</v>
      </c>
      <c r="B1075" s="298">
        <v>4.0</v>
      </c>
      <c r="C1075" s="298" t="s">
        <v>522</v>
      </c>
      <c r="D1075" s="298" t="s">
        <v>289</v>
      </c>
      <c r="E1075" s="298" t="s">
        <v>311</v>
      </c>
      <c r="F1075" s="484" t="str">
        <f>'Character Sheet'!$B$9</f>
        <v/>
      </c>
      <c r="G1075" s="298" t="s">
        <v>477</v>
      </c>
      <c r="H1075" s="298" t="s">
        <v>324</v>
      </c>
      <c r="I1075" s="298" t="s">
        <v>2607</v>
      </c>
      <c r="J1075" s="298" t="s">
        <v>315</v>
      </c>
      <c r="K1075" s="298" t="s">
        <v>298</v>
      </c>
      <c r="L1075" s="298" t="s">
        <v>4524</v>
      </c>
      <c r="M1075" s="301" t="s">
        <v>315</v>
      </c>
      <c r="N1075" s="301" t="s">
        <v>315</v>
      </c>
      <c r="O1075" s="301" t="s">
        <v>315</v>
      </c>
      <c r="P1075" s="301" t="s">
        <v>5745</v>
      </c>
      <c r="Q1075" s="301" t="s">
        <v>5745</v>
      </c>
      <c r="R1075" s="301" t="s">
        <v>5745</v>
      </c>
      <c r="S1075" s="301" t="s">
        <v>5745</v>
      </c>
      <c r="T1075" s="301" t="s">
        <v>5745</v>
      </c>
      <c r="U1075" s="301" t="s">
        <v>5745</v>
      </c>
      <c r="V1075" s="301" t="s">
        <v>5745</v>
      </c>
      <c r="W1075" s="298" t="s">
        <v>315</v>
      </c>
      <c r="X1075" s="298" t="s">
        <v>306</v>
      </c>
    </row>
    <row r="1076">
      <c r="A1076" s="295" t="s">
        <v>5746</v>
      </c>
      <c r="B1076" s="298">
        <v>4.0</v>
      </c>
      <c r="C1076" s="298" t="s">
        <v>522</v>
      </c>
      <c r="D1076" s="298" t="s">
        <v>421</v>
      </c>
      <c r="E1076" s="298" t="s">
        <v>290</v>
      </c>
      <c r="F1076" s="484" t="str">
        <f>'Character Sheet'!$K$9</f>
        <v/>
      </c>
      <c r="G1076" s="298" t="s">
        <v>493</v>
      </c>
      <c r="H1076" s="298" t="s">
        <v>324</v>
      </c>
      <c r="I1076" s="298" t="s">
        <v>324</v>
      </c>
      <c r="J1076" s="298" t="s">
        <v>315</v>
      </c>
      <c r="K1076" s="298" t="s">
        <v>298</v>
      </c>
      <c r="L1076" s="298" t="s">
        <v>4524</v>
      </c>
      <c r="M1076" s="301" t="s">
        <v>315</v>
      </c>
      <c r="N1076" s="301" t="s">
        <v>315</v>
      </c>
      <c r="O1076" s="301" t="s">
        <v>315</v>
      </c>
      <c r="P1076" s="301" t="s">
        <v>5747</v>
      </c>
      <c r="Q1076" s="301" t="s">
        <v>5748</v>
      </c>
      <c r="R1076" s="301" t="s">
        <v>5749</v>
      </c>
      <c r="S1076" s="301" t="s">
        <v>5750</v>
      </c>
      <c r="T1076" s="301" t="s">
        <v>5751</v>
      </c>
      <c r="U1076" s="301" t="s">
        <v>5752</v>
      </c>
      <c r="V1076" s="301" t="s">
        <v>5753</v>
      </c>
      <c r="W1076" s="298" t="s">
        <v>315</v>
      </c>
      <c r="X1076" s="298" t="s">
        <v>306</v>
      </c>
    </row>
    <row r="1077">
      <c r="A1077" s="295" t="s">
        <v>5754</v>
      </c>
      <c r="B1077" s="298">
        <v>4.0</v>
      </c>
      <c r="C1077" s="298" t="s">
        <v>522</v>
      </c>
      <c r="D1077" s="298" t="s">
        <v>421</v>
      </c>
      <c r="E1077" s="298" t="s">
        <v>290</v>
      </c>
      <c r="F1077" s="484" t="str">
        <f>'Character Sheet'!$K$9</f>
        <v/>
      </c>
      <c r="G1077" s="298" t="s">
        <v>477</v>
      </c>
      <c r="H1077" s="298" t="s">
        <v>324</v>
      </c>
      <c r="I1077" s="298" t="s">
        <v>324</v>
      </c>
      <c r="J1077" s="298" t="s">
        <v>315</v>
      </c>
      <c r="K1077" s="298" t="s">
        <v>298</v>
      </c>
      <c r="L1077" s="298" t="s">
        <v>4524</v>
      </c>
      <c r="M1077" s="301" t="s">
        <v>315</v>
      </c>
      <c r="N1077" s="301" t="s">
        <v>315</v>
      </c>
      <c r="O1077" s="301" t="s">
        <v>315</v>
      </c>
      <c r="P1077" s="301" t="s">
        <v>5755</v>
      </c>
      <c r="Q1077" s="301" t="s">
        <v>5756</v>
      </c>
      <c r="R1077" s="301" t="s">
        <v>5757</v>
      </c>
      <c r="S1077" s="301" t="s">
        <v>5758</v>
      </c>
      <c r="T1077" s="301" t="s">
        <v>5759</v>
      </c>
      <c r="U1077" s="301" t="s">
        <v>5760</v>
      </c>
      <c r="V1077" s="301" t="s">
        <v>5761</v>
      </c>
      <c r="W1077" s="298" t="s">
        <v>315</v>
      </c>
      <c r="X1077" s="298" t="s">
        <v>306</v>
      </c>
    </row>
    <row r="1078">
      <c r="A1078" s="295" t="s">
        <v>5762</v>
      </c>
      <c r="B1078" s="298">
        <v>4.0</v>
      </c>
      <c r="C1078" s="298" t="s">
        <v>522</v>
      </c>
      <c r="D1078" s="298" t="s">
        <v>462</v>
      </c>
      <c r="E1078" s="298" t="s">
        <v>311</v>
      </c>
      <c r="F1078" s="484" t="str">
        <f>'Character Sheet'!$C$9</f>
        <v/>
      </c>
      <c r="G1078" s="298" t="s">
        <v>294</v>
      </c>
      <c r="H1078" s="298" t="s">
        <v>295</v>
      </c>
      <c r="I1078" s="298" t="s">
        <v>4801</v>
      </c>
      <c r="J1078" s="298" t="s">
        <v>315</v>
      </c>
      <c r="K1078" s="298" t="s">
        <v>632</v>
      </c>
      <c r="L1078" s="298" t="s">
        <v>4524</v>
      </c>
      <c r="M1078" s="301" t="s">
        <v>315</v>
      </c>
      <c r="N1078" s="301" t="s">
        <v>315</v>
      </c>
      <c r="O1078" s="301" t="s">
        <v>315</v>
      </c>
      <c r="P1078" s="301" t="s">
        <v>5763</v>
      </c>
      <c r="Q1078" s="301" t="s">
        <v>5763</v>
      </c>
      <c r="R1078" s="301" t="s">
        <v>5763</v>
      </c>
      <c r="S1078" s="301" t="s">
        <v>5763</v>
      </c>
      <c r="T1078" s="301" t="s">
        <v>5763</v>
      </c>
      <c r="U1078" s="301" t="s">
        <v>5763</v>
      </c>
      <c r="V1078" s="301" t="s">
        <v>5763</v>
      </c>
      <c r="W1078" s="298" t="s">
        <v>315</v>
      </c>
      <c r="X1078" s="298" t="s">
        <v>306</v>
      </c>
    </row>
    <row r="1079">
      <c r="A1079" s="295" t="s">
        <v>5764</v>
      </c>
      <c r="B1079" s="298">
        <v>4.0</v>
      </c>
      <c r="C1079" s="298" t="s">
        <v>288</v>
      </c>
      <c r="D1079" s="298" t="s">
        <v>321</v>
      </c>
      <c r="E1079" s="298" t="s">
        <v>290</v>
      </c>
      <c r="F1079" s="484" t="str">
        <f>'Character Sheet'!$E$9</f>
        <v/>
      </c>
      <c r="G1079" s="298" t="s">
        <v>674</v>
      </c>
      <c r="H1079" s="298" t="s">
        <v>360</v>
      </c>
      <c r="I1079" s="298" t="s">
        <v>315</v>
      </c>
      <c r="J1079" s="298" t="s">
        <v>192</v>
      </c>
      <c r="K1079" s="298" t="s">
        <v>632</v>
      </c>
      <c r="L1079" s="298" t="s">
        <v>4524</v>
      </c>
      <c r="M1079" s="301" t="s">
        <v>315</v>
      </c>
      <c r="N1079" s="301" t="s">
        <v>315</v>
      </c>
      <c r="O1079" s="301" t="s">
        <v>315</v>
      </c>
      <c r="P1079" s="301" t="s">
        <v>5765</v>
      </c>
      <c r="Q1079" s="301" t="s">
        <v>5766</v>
      </c>
      <c r="R1079" s="301" t="s">
        <v>5767</v>
      </c>
      <c r="S1079" s="301" t="s">
        <v>5768</v>
      </c>
      <c r="T1079" s="301" t="s">
        <v>5769</v>
      </c>
      <c r="U1079" s="301" t="s">
        <v>5770</v>
      </c>
      <c r="V1079" s="301" t="s">
        <v>5771</v>
      </c>
      <c r="W1079" s="298" t="s">
        <v>315</v>
      </c>
      <c r="X1079" s="298" t="s">
        <v>966</v>
      </c>
    </row>
    <row r="1080">
      <c r="A1080" s="295" t="s">
        <v>5772</v>
      </c>
      <c r="B1080" s="298">
        <v>4.0</v>
      </c>
      <c r="C1080" s="298" t="s">
        <v>522</v>
      </c>
      <c r="D1080" s="298" t="s">
        <v>334</v>
      </c>
      <c r="E1080" s="298" t="s">
        <v>290</v>
      </c>
      <c r="F1080" s="484" t="str">
        <f>'Character Sheet'!$C$9</f>
        <v/>
      </c>
      <c r="G1080" s="298" t="s">
        <v>294</v>
      </c>
      <c r="H1080" s="298" t="s">
        <v>324</v>
      </c>
      <c r="I1080" s="298" t="s">
        <v>2051</v>
      </c>
      <c r="J1080" s="298" t="s">
        <v>336</v>
      </c>
      <c r="K1080" s="298" t="s">
        <v>298</v>
      </c>
      <c r="L1080" s="298" t="s">
        <v>4524</v>
      </c>
      <c r="M1080" s="301" t="s">
        <v>315</v>
      </c>
      <c r="N1080" s="301" t="s">
        <v>315</v>
      </c>
      <c r="O1080" s="301" t="s">
        <v>315</v>
      </c>
      <c r="P1080" s="301" t="s">
        <v>5773</v>
      </c>
      <c r="Q1080" s="301" t="s">
        <v>5774</v>
      </c>
      <c r="R1080" s="301" t="s">
        <v>5775</v>
      </c>
      <c r="S1080" s="301" t="s">
        <v>5776</v>
      </c>
      <c r="T1080" s="301" t="s">
        <v>5777</v>
      </c>
      <c r="U1080" s="301" t="s">
        <v>5778</v>
      </c>
      <c r="V1080" s="301" t="s">
        <v>5779</v>
      </c>
      <c r="W1080" s="298" t="s">
        <v>315</v>
      </c>
      <c r="X1080" s="298" t="s">
        <v>306</v>
      </c>
    </row>
    <row r="1081">
      <c r="A1081" s="295" t="s">
        <v>5780</v>
      </c>
      <c r="B1081" s="298">
        <v>4.0</v>
      </c>
      <c r="C1081" s="298" t="s">
        <v>432</v>
      </c>
      <c r="D1081" s="298" t="s">
        <v>334</v>
      </c>
      <c r="E1081" s="298" t="s">
        <v>290</v>
      </c>
      <c r="F1081" s="484" t="str">
        <f>'Character Sheet'!$C$9</f>
        <v/>
      </c>
      <c r="G1081" s="298" t="s">
        <v>294</v>
      </c>
      <c r="H1081" s="298" t="s">
        <v>324</v>
      </c>
      <c r="I1081" s="298" t="s">
        <v>324</v>
      </c>
      <c r="J1081" s="298" t="s">
        <v>315</v>
      </c>
      <c r="K1081" s="298" t="s">
        <v>325</v>
      </c>
      <c r="L1081" s="298" t="s">
        <v>4524</v>
      </c>
      <c r="M1081" s="301" t="s">
        <v>315</v>
      </c>
      <c r="N1081" s="301" t="s">
        <v>315</v>
      </c>
      <c r="O1081" s="301" t="s">
        <v>315</v>
      </c>
      <c r="P1081" s="301" t="s">
        <v>5781</v>
      </c>
      <c r="Q1081" s="301" t="s">
        <v>5782</v>
      </c>
      <c r="R1081" s="301" t="s">
        <v>5783</v>
      </c>
      <c r="S1081" s="301" t="s">
        <v>5784</v>
      </c>
      <c r="T1081" s="301" t="s">
        <v>5785</v>
      </c>
      <c r="U1081" s="301" t="s">
        <v>5786</v>
      </c>
      <c r="V1081" s="301" t="s">
        <v>5787</v>
      </c>
      <c r="W1081" s="298" t="s">
        <v>315</v>
      </c>
      <c r="X1081" s="298" t="s">
        <v>569</v>
      </c>
    </row>
    <row r="1082">
      <c r="A1082" s="295" t="s">
        <v>5788</v>
      </c>
      <c r="B1082" s="298">
        <v>4.0</v>
      </c>
      <c r="C1082" s="298" t="s">
        <v>288</v>
      </c>
      <c r="D1082" s="298" t="s">
        <v>334</v>
      </c>
      <c r="E1082" s="298" t="s">
        <v>311</v>
      </c>
      <c r="F1082" s="484" t="str">
        <f>'Character Sheet'!$C$9</f>
        <v/>
      </c>
      <c r="G1082" s="298" t="s">
        <v>294</v>
      </c>
      <c r="H1082" s="298" t="s">
        <v>360</v>
      </c>
      <c r="I1082" s="298" t="s">
        <v>2763</v>
      </c>
      <c r="J1082" s="298" t="s">
        <v>192</v>
      </c>
      <c r="K1082" s="298" t="s">
        <v>424</v>
      </c>
      <c r="L1082" s="298" t="s">
        <v>4524</v>
      </c>
      <c r="M1082" s="301" t="s">
        <v>315</v>
      </c>
      <c r="N1082" s="301" t="s">
        <v>315</v>
      </c>
      <c r="O1082" s="301" t="s">
        <v>315</v>
      </c>
      <c r="P1082" s="301" t="s">
        <v>5789</v>
      </c>
      <c r="Q1082" s="301" t="s">
        <v>5789</v>
      </c>
      <c r="R1082" s="301" t="s">
        <v>5789</v>
      </c>
      <c r="S1082" s="301" t="s">
        <v>5789</v>
      </c>
      <c r="T1082" s="301" t="s">
        <v>5789</v>
      </c>
      <c r="U1082" s="301" t="s">
        <v>5789</v>
      </c>
      <c r="V1082" s="301" t="s">
        <v>5789</v>
      </c>
      <c r="W1082" s="298" t="s">
        <v>315</v>
      </c>
      <c r="X1082" s="298" t="s">
        <v>966</v>
      </c>
    </row>
    <row r="1083">
      <c r="A1083" s="295" t="s">
        <v>5790</v>
      </c>
      <c r="B1083" s="298">
        <v>4.0</v>
      </c>
      <c r="C1083" s="298" t="s">
        <v>522</v>
      </c>
      <c r="D1083" s="298" t="s">
        <v>462</v>
      </c>
      <c r="E1083" s="298" t="s">
        <v>290</v>
      </c>
      <c r="F1083" s="484" t="str">
        <f>'Character Sheet'!$C$9</f>
        <v/>
      </c>
      <c r="G1083" s="298" t="s">
        <v>294</v>
      </c>
      <c r="H1083" s="298" t="s">
        <v>324</v>
      </c>
      <c r="I1083" s="298" t="s">
        <v>324</v>
      </c>
      <c r="J1083" s="298" t="s">
        <v>315</v>
      </c>
      <c r="K1083" s="298" t="s">
        <v>632</v>
      </c>
      <c r="L1083" s="298" t="s">
        <v>4524</v>
      </c>
      <c r="M1083" s="301" t="s">
        <v>315</v>
      </c>
      <c r="N1083" s="301" t="s">
        <v>315</v>
      </c>
      <c r="O1083" s="301" t="s">
        <v>315</v>
      </c>
      <c r="P1083" s="301" t="s">
        <v>5791</v>
      </c>
      <c r="Q1083" s="301" t="s">
        <v>5791</v>
      </c>
      <c r="R1083" s="301" t="s">
        <v>5792</v>
      </c>
      <c r="S1083" s="301" t="s">
        <v>5792</v>
      </c>
      <c r="T1083" s="301" t="s">
        <v>5793</v>
      </c>
      <c r="U1083" s="301" t="s">
        <v>5793</v>
      </c>
      <c r="V1083" s="301" t="s">
        <v>5793</v>
      </c>
      <c r="W1083" s="298" t="s">
        <v>315</v>
      </c>
      <c r="X1083" s="298" t="s">
        <v>2920</v>
      </c>
    </row>
    <row r="1084">
      <c r="A1084" s="295" t="s">
        <v>5794</v>
      </c>
      <c r="B1084" s="298">
        <v>4.0</v>
      </c>
      <c r="C1084" s="298" t="s">
        <v>522</v>
      </c>
      <c r="D1084" s="298" t="s">
        <v>334</v>
      </c>
      <c r="E1084" s="298" t="s">
        <v>311</v>
      </c>
      <c r="F1084" s="484" t="str">
        <f>'Character Sheet'!$K$9</f>
        <v/>
      </c>
      <c r="G1084" s="298" t="s">
        <v>493</v>
      </c>
      <c r="H1084" s="298" t="s">
        <v>295</v>
      </c>
      <c r="I1084" s="298" t="s">
        <v>296</v>
      </c>
      <c r="J1084" s="298" t="s">
        <v>192</v>
      </c>
      <c r="K1084" s="298" t="s">
        <v>1174</v>
      </c>
      <c r="L1084" s="298" t="s">
        <v>4524</v>
      </c>
      <c r="M1084" s="301" t="s">
        <v>315</v>
      </c>
      <c r="N1084" s="301" t="s">
        <v>315</v>
      </c>
      <c r="O1084" s="301" t="s">
        <v>315</v>
      </c>
      <c r="P1084" s="301" t="s">
        <v>5795</v>
      </c>
      <c r="Q1084" s="301" t="s">
        <v>5795</v>
      </c>
      <c r="R1084" s="301" t="s">
        <v>5795</v>
      </c>
      <c r="S1084" s="301" t="s">
        <v>5795</v>
      </c>
      <c r="T1084" s="301" t="s">
        <v>5795</v>
      </c>
      <c r="U1084" s="301" t="s">
        <v>5795</v>
      </c>
      <c r="V1084" s="301" t="s">
        <v>5795</v>
      </c>
      <c r="W1084" s="298" t="s">
        <v>315</v>
      </c>
      <c r="X1084" s="298" t="s">
        <v>3125</v>
      </c>
    </row>
    <row r="1085">
      <c r="A1085" s="295" t="s">
        <v>5796</v>
      </c>
      <c r="B1085" s="298">
        <v>4.0</v>
      </c>
      <c r="C1085" s="298" t="s">
        <v>522</v>
      </c>
      <c r="D1085" s="298" t="s">
        <v>421</v>
      </c>
      <c r="E1085" s="298" t="s">
        <v>290</v>
      </c>
      <c r="F1085" s="484" t="str">
        <f>'Character Sheet'!$K$9</f>
        <v/>
      </c>
      <c r="G1085" s="298" t="s">
        <v>477</v>
      </c>
      <c r="H1085" s="298" t="s">
        <v>360</v>
      </c>
      <c r="I1085" s="298" t="s">
        <v>296</v>
      </c>
      <c r="J1085" s="298" t="s">
        <v>315</v>
      </c>
      <c r="K1085" s="298" t="s">
        <v>298</v>
      </c>
      <c r="L1085" s="298" t="s">
        <v>4524</v>
      </c>
      <c r="M1085" s="301" t="s">
        <v>315</v>
      </c>
      <c r="N1085" s="301" t="s">
        <v>315</v>
      </c>
      <c r="O1085" s="301" t="s">
        <v>315</v>
      </c>
      <c r="P1085" s="301" t="s">
        <v>5797</v>
      </c>
      <c r="Q1085" s="301" t="s">
        <v>5797</v>
      </c>
      <c r="R1085" s="301" t="s">
        <v>5798</v>
      </c>
      <c r="S1085" s="301" t="s">
        <v>5798</v>
      </c>
      <c r="T1085" s="301" t="s">
        <v>5799</v>
      </c>
      <c r="U1085" s="301" t="s">
        <v>5799</v>
      </c>
      <c r="V1085" s="301" t="s">
        <v>5800</v>
      </c>
      <c r="W1085" s="298" t="s">
        <v>315</v>
      </c>
      <c r="X1085" s="298" t="s">
        <v>306</v>
      </c>
    </row>
    <row r="1086">
      <c r="A1086" s="295" t="s">
        <v>5801</v>
      </c>
      <c r="B1086" s="298">
        <v>4.0</v>
      </c>
      <c r="C1086" s="298" t="s">
        <v>288</v>
      </c>
      <c r="D1086" s="298" t="s">
        <v>421</v>
      </c>
      <c r="E1086" s="298" t="s">
        <v>290</v>
      </c>
      <c r="F1086" s="484" t="str">
        <f>'Character Sheet'!$C$9</f>
        <v/>
      </c>
      <c r="G1086" s="298" t="s">
        <v>294</v>
      </c>
      <c r="H1086" s="298" t="s">
        <v>295</v>
      </c>
      <c r="I1086" s="298" t="s">
        <v>2763</v>
      </c>
      <c r="J1086" s="298" t="s">
        <v>315</v>
      </c>
      <c r="K1086" s="298" t="s">
        <v>632</v>
      </c>
      <c r="L1086" s="298" t="s">
        <v>4524</v>
      </c>
      <c r="M1086" s="301" t="s">
        <v>315</v>
      </c>
      <c r="N1086" s="301" t="s">
        <v>315</v>
      </c>
      <c r="O1086" s="301" t="s">
        <v>315</v>
      </c>
      <c r="P1086" s="301" t="s">
        <v>5802</v>
      </c>
      <c r="Q1086" s="301" t="s">
        <v>5802</v>
      </c>
      <c r="R1086" s="301" t="s">
        <v>5802</v>
      </c>
      <c r="S1086" s="301" t="s">
        <v>5802</v>
      </c>
      <c r="T1086" s="301" t="s">
        <v>5803</v>
      </c>
      <c r="U1086" s="301" t="s">
        <v>5803</v>
      </c>
      <c r="V1086" s="301" t="s">
        <v>5803</v>
      </c>
      <c r="W1086" s="298" t="s">
        <v>315</v>
      </c>
      <c r="X1086" s="298" t="s">
        <v>966</v>
      </c>
    </row>
    <row r="1087">
      <c r="A1087" s="295" t="s">
        <v>5804</v>
      </c>
      <c r="B1087" s="298">
        <v>4.0</v>
      </c>
      <c r="C1087" s="298" t="s">
        <v>288</v>
      </c>
      <c r="D1087" s="298" t="s">
        <v>334</v>
      </c>
      <c r="E1087" s="298" t="s">
        <v>311</v>
      </c>
      <c r="F1087" s="484" t="str">
        <f>'Character Sheet'!$C$9</f>
        <v/>
      </c>
      <c r="G1087" s="298" t="s">
        <v>294</v>
      </c>
      <c r="H1087" s="298" t="s">
        <v>295</v>
      </c>
      <c r="I1087" s="298" t="s">
        <v>296</v>
      </c>
      <c r="J1087" s="298" t="s">
        <v>192</v>
      </c>
      <c r="K1087" s="298" t="s">
        <v>632</v>
      </c>
      <c r="L1087" s="298" t="s">
        <v>4524</v>
      </c>
      <c r="M1087" s="301" t="s">
        <v>315</v>
      </c>
      <c r="N1087" s="301" t="s">
        <v>315</v>
      </c>
      <c r="O1087" s="301" t="s">
        <v>315</v>
      </c>
      <c r="P1087" s="301" t="s">
        <v>5805</v>
      </c>
      <c r="Q1087" s="301" t="s">
        <v>5805</v>
      </c>
      <c r="R1087" s="301" t="s">
        <v>5805</v>
      </c>
      <c r="S1087" s="301" t="s">
        <v>5805</v>
      </c>
      <c r="T1087" s="301" t="s">
        <v>5805</v>
      </c>
      <c r="U1087" s="301" t="s">
        <v>5805</v>
      </c>
      <c r="V1087" s="301" t="s">
        <v>5805</v>
      </c>
      <c r="W1087" s="298" t="s">
        <v>315</v>
      </c>
      <c r="X1087" s="298" t="s">
        <v>966</v>
      </c>
    </row>
    <row r="1088">
      <c r="A1088" s="295" t="s">
        <v>5806</v>
      </c>
      <c r="B1088" s="298">
        <v>4.0</v>
      </c>
      <c r="C1088" s="298" t="s">
        <v>288</v>
      </c>
      <c r="D1088" s="298" t="s">
        <v>321</v>
      </c>
      <c r="E1088" s="298" t="s">
        <v>311</v>
      </c>
      <c r="F1088" s="484" t="str">
        <f>'Character Sheet'!$C$9</f>
        <v/>
      </c>
      <c r="G1088" s="298" t="s">
        <v>2188</v>
      </c>
      <c r="H1088" s="298" t="s">
        <v>295</v>
      </c>
      <c r="I1088" s="298" t="s">
        <v>296</v>
      </c>
      <c r="J1088" s="298" t="s">
        <v>315</v>
      </c>
      <c r="K1088" s="298" t="s">
        <v>632</v>
      </c>
      <c r="L1088" s="298" t="s">
        <v>4524</v>
      </c>
      <c r="M1088" s="301" t="s">
        <v>315</v>
      </c>
      <c r="N1088" s="301" t="s">
        <v>315</v>
      </c>
      <c r="O1088" s="301" t="s">
        <v>315</v>
      </c>
      <c r="P1088" s="301" t="s">
        <v>5807</v>
      </c>
      <c r="Q1088" s="301" t="s">
        <v>5807</v>
      </c>
      <c r="R1088" s="301" t="s">
        <v>5807</v>
      </c>
      <c r="S1088" s="301" t="s">
        <v>5807</v>
      </c>
      <c r="T1088" s="301" t="s">
        <v>5807</v>
      </c>
      <c r="U1088" s="301" t="s">
        <v>5807</v>
      </c>
      <c r="V1088" s="301" t="s">
        <v>5807</v>
      </c>
      <c r="W1088" s="298" t="s">
        <v>315</v>
      </c>
      <c r="X1088" s="298" t="s">
        <v>966</v>
      </c>
    </row>
    <row r="1089">
      <c r="A1089" s="295" t="s">
        <v>5808</v>
      </c>
      <c r="B1089" s="298">
        <v>4.0</v>
      </c>
      <c r="C1089" s="298" t="s">
        <v>522</v>
      </c>
      <c r="D1089" s="298" t="s">
        <v>310</v>
      </c>
      <c r="E1089" s="298" t="s">
        <v>290</v>
      </c>
      <c r="F1089" s="484" t="str">
        <f>'Character Sheet'!$B$9</f>
        <v/>
      </c>
      <c r="G1089" s="298" t="s">
        <v>493</v>
      </c>
      <c r="H1089" s="298" t="s">
        <v>324</v>
      </c>
      <c r="I1089" s="298" t="s">
        <v>861</v>
      </c>
      <c r="J1089" s="298" t="s">
        <v>315</v>
      </c>
      <c r="K1089" s="298" t="s">
        <v>478</v>
      </c>
      <c r="L1089" s="298" t="s">
        <v>4524</v>
      </c>
      <c r="M1089" s="301" t="s">
        <v>315</v>
      </c>
      <c r="N1089" s="301" t="s">
        <v>315</v>
      </c>
      <c r="O1089" s="301" t="s">
        <v>315</v>
      </c>
      <c r="P1089" s="301" t="s">
        <v>5809</v>
      </c>
      <c r="Q1089" s="301" t="s">
        <v>5809</v>
      </c>
      <c r="R1089" s="301" t="s">
        <v>5809</v>
      </c>
      <c r="S1089" s="301" t="s">
        <v>5810</v>
      </c>
      <c r="T1089" s="301" t="s">
        <v>5810</v>
      </c>
      <c r="U1089" s="301" t="s">
        <v>5810</v>
      </c>
      <c r="V1089" s="301" t="s">
        <v>5810</v>
      </c>
      <c r="W1089" s="298" t="s">
        <v>315</v>
      </c>
      <c r="X1089" s="298" t="s">
        <v>306</v>
      </c>
    </row>
    <row r="1090">
      <c r="A1090" s="295" t="s">
        <v>5811</v>
      </c>
      <c r="B1090" s="298">
        <v>4.0</v>
      </c>
      <c r="C1090" s="298" t="s">
        <v>432</v>
      </c>
      <c r="D1090" s="298" t="s">
        <v>151</v>
      </c>
      <c r="E1090" s="298" t="s">
        <v>311</v>
      </c>
      <c r="F1090" s="484" t="str">
        <f>'Character Sheet'!$C$9</f>
        <v/>
      </c>
      <c r="G1090" s="298" t="s">
        <v>294</v>
      </c>
      <c r="H1090" s="298" t="s">
        <v>295</v>
      </c>
      <c r="I1090" s="298" t="s">
        <v>296</v>
      </c>
      <c r="J1090" s="298" t="s">
        <v>192</v>
      </c>
      <c r="K1090" s="298" t="s">
        <v>1129</v>
      </c>
      <c r="L1090" s="298" t="s">
        <v>4524</v>
      </c>
      <c r="M1090" s="301" t="s">
        <v>315</v>
      </c>
      <c r="N1090" s="301" t="s">
        <v>315</v>
      </c>
      <c r="O1090" s="301" t="s">
        <v>315</v>
      </c>
      <c r="P1090" s="301" t="s">
        <v>5812</v>
      </c>
      <c r="Q1090" s="301" t="s">
        <v>5812</v>
      </c>
      <c r="R1090" s="301" t="s">
        <v>5812</v>
      </c>
      <c r="S1090" s="301" t="s">
        <v>5812</v>
      </c>
      <c r="T1090" s="301" t="s">
        <v>5812</v>
      </c>
      <c r="U1090" s="301" t="s">
        <v>5812</v>
      </c>
      <c r="V1090" s="301" t="s">
        <v>5812</v>
      </c>
      <c r="W1090" s="298" t="s">
        <v>315</v>
      </c>
      <c r="X1090" s="298" t="s">
        <v>569</v>
      </c>
    </row>
    <row r="1091">
      <c r="A1091" s="295" t="s">
        <v>5813</v>
      </c>
      <c r="B1091" s="298">
        <v>4.0</v>
      </c>
      <c r="C1091" s="298" t="s">
        <v>522</v>
      </c>
      <c r="D1091" s="298" t="s">
        <v>359</v>
      </c>
      <c r="E1091" s="298" t="s">
        <v>311</v>
      </c>
      <c r="F1091" s="484" t="str">
        <f>'Character Sheet'!$H$9</f>
        <v/>
      </c>
      <c r="G1091" s="298" t="s">
        <v>477</v>
      </c>
      <c r="H1091" s="298" t="s">
        <v>324</v>
      </c>
      <c r="I1091" s="298" t="s">
        <v>324</v>
      </c>
      <c r="J1091" s="298" t="s">
        <v>315</v>
      </c>
      <c r="K1091" s="298" t="s">
        <v>298</v>
      </c>
      <c r="L1091" s="298" t="s">
        <v>4524</v>
      </c>
      <c r="M1091" s="301" t="s">
        <v>315</v>
      </c>
      <c r="N1091" s="301" t="s">
        <v>315</v>
      </c>
      <c r="O1091" s="301" t="s">
        <v>315</v>
      </c>
      <c r="P1091" s="301" t="s">
        <v>5814</v>
      </c>
      <c r="Q1091" s="301" t="s">
        <v>5814</v>
      </c>
      <c r="R1091" s="301" t="s">
        <v>5814</v>
      </c>
      <c r="S1091" s="301" t="s">
        <v>5814</v>
      </c>
      <c r="T1091" s="301" t="s">
        <v>5814</v>
      </c>
      <c r="U1091" s="301" t="s">
        <v>5814</v>
      </c>
      <c r="V1091" s="301" t="s">
        <v>5814</v>
      </c>
      <c r="W1091" s="298" t="s">
        <v>315</v>
      </c>
      <c r="X1091" s="298" t="s">
        <v>306</v>
      </c>
    </row>
    <row r="1092">
      <c r="A1092" s="295" t="s">
        <v>5815</v>
      </c>
      <c r="B1092" s="298">
        <v>4.0</v>
      </c>
      <c r="C1092" s="298" t="s">
        <v>522</v>
      </c>
      <c r="D1092" s="298" t="s">
        <v>321</v>
      </c>
      <c r="E1092" s="298" t="s">
        <v>290</v>
      </c>
      <c r="F1092" s="484" t="str">
        <f>'Character Sheet'!$C$9</f>
        <v/>
      </c>
      <c r="G1092" s="298" t="s">
        <v>493</v>
      </c>
      <c r="H1092" s="298" t="s">
        <v>324</v>
      </c>
      <c r="I1092" s="298" t="s">
        <v>324</v>
      </c>
      <c r="J1092" s="298" t="s">
        <v>315</v>
      </c>
      <c r="K1092" s="298" t="s">
        <v>632</v>
      </c>
      <c r="L1092" s="298" t="s">
        <v>4524</v>
      </c>
      <c r="M1092" s="301" t="s">
        <v>315</v>
      </c>
      <c r="N1092" s="301" t="s">
        <v>315</v>
      </c>
      <c r="O1092" s="301" t="s">
        <v>315</v>
      </c>
      <c r="P1092" s="301" t="s">
        <v>5816</v>
      </c>
      <c r="Q1092" s="301" t="s">
        <v>5816</v>
      </c>
      <c r="R1092" s="301" t="s">
        <v>5817</v>
      </c>
      <c r="S1092" s="301" t="s">
        <v>5817</v>
      </c>
      <c r="T1092" s="301" t="s">
        <v>5818</v>
      </c>
      <c r="U1092" s="301" t="s">
        <v>5818</v>
      </c>
      <c r="V1092" s="301" t="s">
        <v>5818</v>
      </c>
      <c r="W1092" s="298" t="s">
        <v>315</v>
      </c>
      <c r="X1092" s="298" t="s">
        <v>306</v>
      </c>
    </row>
    <row r="1093">
      <c r="A1093" s="295" t="s">
        <v>5819</v>
      </c>
      <c r="B1093" s="298">
        <v>4.0</v>
      </c>
      <c r="C1093" s="298" t="s">
        <v>432</v>
      </c>
      <c r="D1093" s="298" t="s">
        <v>321</v>
      </c>
      <c r="E1093" s="298" t="s">
        <v>311</v>
      </c>
      <c r="F1093" s="484" t="str">
        <f>'Character Sheet'!$C$9</f>
        <v/>
      </c>
      <c r="G1093" s="298" t="s">
        <v>294</v>
      </c>
      <c r="H1093" s="298" t="s">
        <v>295</v>
      </c>
      <c r="I1093" s="298" t="s">
        <v>296</v>
      </c>
      <c r="J1093" s="298" t="s">
        <v>192</v>
      </c>
      <c r="K1093" s="298" t="s">
        <v>2509</v>
      </c>
      <c r="L1093" s="298" t="s">
        <v>4524</v>
      </c>
      <c r="M1093" s="301" t="s">
        <v>315</v>
      </c>
      <c r="N1093" s="301" t="s">
        <v>315</v>
      </c>
      <c r="O1093" s="301" t="s">
        <v>315</v>
      </c>
      <c r="P1093" s="301" t="s">
        <v>5820</v>
      </c>
      <c r="Q1093" s="301" t="s">
        <v>5820</v>
      </c>
      <c r="R1093" s="301" t="s">
        <v>5820</v>
      </c>
      <c r="S1093" s="301" t="s">
        <v>5820</v>
      </c>
      <c r="T1093" s="301" t="s">
        <v>5820</v>
      </c>
      <c r="U1093" s="301" t="s">
        <v>5820</v>
      </c>
      <c r="V1093" s="301" t="s">
        <v>5820</v>
      </c>
      <c r="W1093" s="298" t="s">
        <v>315</v>
      </c>
      <c r="X1093" s="298" t="s">
        <v>569</v>
      </c>
    </row>
    <row r="1094">
      <c r="A1094" s="295" t="s">
        <v>5821</v>
      </c>
      <c r="B1094" s="298">
        <v>4.0</v>
      </c>
      <c r="C1094" s="298" t="s">
        <v>522</v>
      </c>
      <c r="D1094" s="298" t="s">
        <v>310</v>
      </c>
      <c r="E1094" s="298" t="s">
        <v>311</v>
      </c>
      <c r="F1094" s="484" t="str">
        <f>'Character Sheet'!$K$9</f>
        <v/>
      </c>
      <c r="G1094" s="298" t="s">
        <v>493</v>
      </c>
      <c r="H1094" s="298" t="s">
        <v>324</v>
      </c>
      <c r="I1094" s="298" t="s">
        <v>324</v>
      </c>
      <c r="J1094" s="298" t="s">
        <v>315</v>
      </c>
      <c r="K1094" s="298" t="s">
        <v>298</v>
      </c>
      <c r="L1094" s="298" t="s">
        <v>4524</v>
      </c>
      <c r="M1094" s="301" t="s">
        <v>315</v>
      </c>
      <c r="N1094" s="301" t="s">
        <v>315</v>
      </c>
      <c r="O1094" s="301" t="s">
        <v>315</v>
      </c>
      <c r="P1094" s="301" t="s">
        <v>5822</v>
      </c>
      <c r="Q1094" s="301" t="s">
        <v>5822</v>
      </c>
      <c r="R1094" s="301" t="s">
        <v>5822</v>
      </c>
      <c r="S1094" s="301" t="s">
        <v>5822</v>
      </c>
      <c r="T1094" s="301" t="s">
        <v>5822</v>
      </c>
      <c r="U1094" s="301" t="s">
        <v>5822</v>
      </c>
      <c r="V1094" s="301" t="s">
        <v>5822</v>
      </c>
      <c r="W1094" s="298" t="s">
        <v>315</v>
      </c>
      <c r="X1094" s="298" t="s">
        <v>306</v>
      </c>
    </row>
    <row r="1095">
      <c r="A1095" s="295" t="s">
        <v>5823</v>
      </c>
      <c r="B1095" s="298">
        <v>4.0</v>
      </c>
      <c r="C1095" s="298" t="s">
        <v>522</v>
      </c>
      <c r="D1095" s="298" t="s">
        <v>334</v>
      </c>
      <c r="E1095" s="298" t="s">
        <v>311</v>
      </c>
      <c r="F1095" s="484" t="str">
        <f>'Character Sheet'!$K$9</f>
        <v/>
      </c>
      <c r="G1095" s="298" t="s">
        <v>477</v>
      </c>
      <c r="H1095" s="298" t="s">
        <v>324</v>
      </c>
      <c r="I1095" s="298" t="s">
        <v>324</v>
      </c>
      <c r="J1095" s="298" t="s">
        <v>315</v>
      </c>
      <c r="K1095" s="298" t="s">
        <v>298</v>
      </c>
      <c r="L1095" s="298" t="s">
        <v>4524</v>
      </c>
      <c r="M1095" s="301" t="s">
        <v>315</v>
      </c>
      <c r="N1095" s="301" t="s">
        <v>315</v>
      </c>
      <c r="O1095" s="301" t="s">
        <v>315</v>
      </c>
      <c r="P1095" s="301" t="s">
        <v>5824</v>
      </c>
      <c r="Q1095" s="301" t="s">
        <v>5824</v>
      </c>
      <c r="R1095" s="301" t="s">
        <v>5824</v>
      </c>
      <c r="S1095" s="301" t="s">
        <v>5824</v>
      </c>
      <c r="T1095" s="301" t="s">
        <v>5824</v>
      </c>
      <c r="U1095" s="301" t="s">
        <v>5824</v>
      </c>
      <c r="V1095" s="301" t="s">
        <v>5824</v>
      </c>
      <c r="W1095" s="298" t="s">
        <v>315</v>
      </c>
      <c r="X1095" s="298" t="s">
        <v>306</v>
      </c>
    </row>
    <row r="1096">
      <c r="A1096" s="295" t="s">
        <v>5825</v>
      </c>
      <c r="B1096" s="298">
        <v>4.0</v>
      </c>
      <c r="C1096" s="298" t="s">
        <v>522</v>
      </c>
      <c r="D1096" s="298" t="s">
        <v>462</v>
      </c>
      <c r="E1096" s="298" t="s">
        <v>290</v>
      </c>
      <c r="F1096" s="484" t="str">
        <f>'Character Sheet'!$C$9</f>
        <v/>
      </c>
      <c r="G1096" s="298" t="s">
        <v>294</v>
      </c>
      <c r="H1096" s="298" t="s">
        <v>324</v>
      </c>
      <c r="I1096" s="298" t="s">
        <v>1174</v>
      </c>
      <c r="J1096" s="298" t="s">
        <v>180</v>
      </c>
      <c r="K1096" s="298" t="s">
        <v>298</v>
      </c>
      <c r="L1096" s="298" t="s">
        <v>4524</v>
      </c>
      <c r="M1096" s="301" t="s">
        <v>315</v>
      </c>
      <c r="N1096" s="301" t="s">
        <v>315</v>
      </c>
      <c r="O1096" s="301" t="s">
        <v>315</v>
      </c>
      <c r="P1096" s="301" t="s">
        <v>5826</v>
      </c>
      <c r="Q1096" s="301" t="s">
        <v>5827</v>
      </c>
      <c r="R1096" s="301" t="s">
        <v>5828</v>
      </c>
      <c r="S1096" s="301" t="s">
        <v>5829</v>
      </c>
      <c r="T1096" s="301" t="s">
        <v>5830</v>
      </c>
      <c r="U1096" s="301" t="s">
        <v>5831</v>
      </c>
      <c r="V1096" s="301" t="s">
        <v>5832</v>
      </c>
      <c r="W1096" s="298" t="s">
        <v>315</v>
      </c>
      <c r="X1096" s="298" t="s">
        <v>306</v>
      </c>
    </row>
    <row r="1097">
      <c r="A1097" s="295" t="s">
        <v>5833</v>
      </c>
      <c r="B1097" s="298">
        <v>4.0</v>
      </c>
      <c r="C1097" s="298" t="s">
        <v>522</v>
      </c>
      <c r="D1097" s="298" t="s">
        <v>310</v>
      </c>
      <c r="E1097" s="298" t="s">
        <v>311</v>
      </c>
      <c r="F1097" s="484" t="str">
        <f>'Character Sheet'!$K$9</f>
        <v/>
      </c>
      <c r="G1097" s="298" t="s">
        <v>477</v>
      </c>
      <c r="H1097" s="298" t="s">
        <v>324</v>
      </c>
      <c r="I1097" s="298" t="s">
        <v>324</v>
      </c>
      <c r="J1097" s="298" t="s">
        <v>315</v>
      </c>
      <c r="K1097" s="298" t="s">
        <v>298</v>
      </c>
      <c r="L1097" s="298" t="s">
        <v>4524</v>
      </c>
      <c r="M1097" s="301" t="s">
        <v>315</v>
      </c>
      <c r="N1097" s="301" t="s">
        <v>315</v>
      </c>
      <c r="O1097" s="301" t="s">
        <v>315</v>
      </c>
      <c r="P1097" s="301" t="s">
        <v>5834</v>
      </c>
      <c r="Q1097" s="301" t="s">
        <v>5834</v>
      </c>
      <c r="R1097" s="301" t="s">
        <v>5834</v>
      </c>
      <c r="S1097" s="301" t="s">
        <v>5834</v>
      </c>
      <c r="T1097" s="301" t="s">
        <v>5834</v>
      </c>
      <c r="U1097" s="301" t="s">
        <v>5834</v>
      </c>
      <c r="V1097" s="301" t="s">
        <v>5834</v>
      </c>
      <c r="W1097" s="298" t="s">
        <v>315</v>
      </c>
      <c r="X1097" s="298" t="s">
        <v>306</v>
      </c>
    </row>
    <row r="1098">
      <c r="A1098" s="295" t="s">
        <v>5835</v>
      </c>
      <c r="B1098" s="298">
        <v>4.0</v>
      </c>
      <c r="C1098" s="298" t="s">
        <v>522</v>
      </c>
      <c r="D1098" s="298" t="s">
        <v>334</v>
      </c>
      <c r="E1098" s="298" t="s">
        <v>290</v>
      </c>
      <c r="F1098" s="484" t="str">
        <f>'Character Sheet'!$C$9</f>
        <v/>
      </c>
      <c r="G1098" s="298" t="s">
        <v>294</v>
      </c>
      <c r="H1098" s="298" t="s">
        <v>335</v>
      </c>
      <c r="I1098" s="298" t="s">
        <v>5836</v>
      </c>
      <c r="J1098" s="298" t="s">
        <v>315</v>
      </c>
      <c r="K1098" s="298" t="s">
        <v>632</v>
      </c>
      <c r="L1098" s="298" t="s">
        <v>4524</v>
      </c>
      <c r="M1098" s="301" t="s">
        <v>315</v>
      </c>
      <c r="N1098" s="301" t="s">
        <v>315</v>
      </c>
      <c r="O1098" s="301" t="s">
        <v>315</v>
      </c>
      <c r="P1098" s="301" t="s">
        <v>5837</v>
      </c>
      <c r="Q1098" s="301" t="s">
        <v>5838</v>
      </c>
      <c r="R1098" s="301" t="s">
        <v>5839</v>
      </c>
      <c r="S1098" s="301" t="s">
        <v>5840</v>
      </c>
      <c r="T1098" s="301" t="s">
        <v>5841</v>
      </c>
      <c r="U1098" s="301" t="s">
        <v>5842</v>
      </c>
      <c r="V1098" s="301" t="s">
        <v>5843</v>
      </c>
      <c r="W1098" s="298" t="s">
        <v>315</v>
      </c>
      <c r="X1098" s="298" t="s">
        <v>306</v>
      </c>
    </row>
    <row r="1099">
      <c r="A1099" s="295" t="s">
        <v>5844</v>
      </c>
      <c r="B1099" s="298">
        <v>4.0</v>
      </c>
      <c r="C1099" s="298" t="s">
        <v>522</v>
      </c>
      <c r="D1099" s="298" t="s">
        <v>462</v>
      </c>
      <c r="E1099" s="298" t="s">
        <v>311</v>
      </c>
      <c r="F1099" s="484" t="str">
        <f>'Character Sheet'!$C$9</f>
        <v/>
      </c>
      <c r="G1099" s="298" t="s">
        <v>294</v>
      </c>
      <c r="H1099" s="298" t="s">
        <v>324</v>
      </c>
      <c r="I1099" s="298" t="s">
        <v>324</v>
      </c>
      <c r="J1099" s="298" t="s">
        <v>315</v>
      </c>
      <c r="K1099" s="298" t="s">
        <v>632</v>
      </c>
      <c r="L1099" s="298" t="s">
        <v>4524</v>
      </c>
      <c r="M1099" s="301" t="s">
        <v>315</v>
      </c>
      <c r="N1099" s="301" t="s">
        <v>315</v>
      </c>
      <c r="O1099" s="301" t="s">
        <v>315</v>
      </c>
      <c r="P1099" s="301" t="s">
        <v>5845</v>
      </c>
      <c r="Q1099" s="301" t="s">
        <v>5846</v>
      </c>
      <c r="R1099" s="301" t="s">
        <v>5846</v>
      </c>
      <c r="S1099" s="301" t="s">
        <v>5846</v>
      </c>
      <c r="T1099" s="301" t="s">
        <v>5846</v>
      </c>
      <c r="U1099" s="301" t="s">
        <v>5846</v>
      </c>
      <c r="V1099" s="301" t="s">
        <v>5846</v>
      </c>
      <c r="W1099" s="298" t="s">
        <v>315</v>
      </c>
      <c r="X1099" s="298" t="s">
        <v>306</v>
      </c>
    </row>
    <row r="1100">
      <c r="A1100" s="295" t="s">
        <v>5847</v>
      </c>
      <c r="B1100" s="298">
        <v>4.0</v>
      </c>
      <c r="C1100" s="298" t="s">
        <v>522</v>
      </c>
      <c r="D1100" s="298" t="s">
        <v>289</v>
      </c>
      <c r="E1100" s="298" t="s">
        <v>311</v>
      </c>
      <c r="F1100" s="484" t="str">
        <f>'Character Sheet'!$B$9</f>
        <v/>
      </c>
      <c r="G1100" s="298" t="s">
        <v>493</v>
      </c>
      <c r="H1100" s="298" t="s">
        <v>295</v>
      </c>
      <c r="I1100" s="298" t="s">
        <v>952</v>
      </c>
      <c r="J1100" s="298" t="s">
        <v>315</v>
      </c>
      <c r="K1100" s="298" t="s">
        <v>478</v>
      </c>
      <c r="L1100" s="298" t="s">
        <v>4524</v>
      </c>
      <c r="M1100" s="301" t="s">
        <v>315</v>
      </c>
      <c r="N1100" s="301" t="s">
        <v>315</v>
      </c>
      <c r="O1100" s="301" t="s">
        <v>315</v>
      </c>
      <c r="P1100" s="301" t="s">
        <v>5848</v>
      </c>
      <c r="Q1100" s="301" t="s">
        <v>5848</v>
      </c>
      <c r="R1100" s="301" t="s">
        <v>5848</v>
      </c>
      <c r="S1100" s="301" t="s">
        <v>5848</v>
      </c>
      <c r="T1100" s="301" t="s">
        <v>5848</v>
      </c>
      <c r="U1100" s="301" t="s">
        <v>5848</v>
      </c>
      <c r="V1100" s="301" t="s">
        <v>5848</v>
      </c>
      <c r="W1100" s="298" t="s">
        <v>315</v>
      </c>
      <c r="X1100" s="298" t="s">
        <v>306</v>
      </c>
    </row>
    <row r="1101">
      <c r="A1101" s="295" t="s">
        <v>5849</v>
      </c>
      <c r="B1101" s="298">
        <v>4.0</v>
      </c>
      <c r="C1101" s="298" t="s">
        <v>522</v>
      </c>
      <c r="D1101" s="298" t="s">
        <v>151</v>
      </c>
      <c r="E1101" s="298" t="s">
        <v>290</v>
      </c>
      <c r="F1101" s="484" t="str">
        <f>'Character Sheet'!$B$9</f>
        <v/>
      </c>
      <c r="G1101" s="298" t="s">
        <v>493</v>
      </c>
      <c r="H1101" s="298" t="s">
        <v>324</v>
      </c>
      <c r="I1101" s="298" t="s">
        <v>324</v>
      </c>
      <c r="J1101" s="298" t="s">
        <v>315</v>
      </c>
      <c r="K1101" s="298" t="s">
        <v>632</v>
      </c>
      <c r="L1101" s="298" t="s">
        <v>4524</v>
      </c>
      <c r="M1101" s="301" t="s">
        <v>315</v>
      </c>
      <c r="N1101" s="301" t="s">
        <v>315</v>
      </c>
      <c r="O1101" s="301" t="s">
        <v>315</v>
      </c>
      <c r="P1101" s="301" t="s">
        <v>5850</v>
      </c>
      <c r="Q1101" s="301" t="s">
        <v>5851</v>
      </c>
      <c r="R1101" s="301" t="s">
        <v>5852</v>
      </c>
      <c r="S1101" s="301" t="s">
        <v>5853</v>
      </c>
      <c r="T1101" s="301" t="s">
        <v>5854</v>
      </c>
      <c r="U1101" s="301" t="s">
        <v>5855</v>
      </c>
      <c r="V1101" s="301" t="s">
        <v>5856</v>
      </c>
      <c r="W1101" s="298" t="s">
        <v>315</v>
      </c>
      <c r="X1101" s="298" t="s">
        <v>306</v>
      </c>
    </row>
    <row r="1102">
      <c r="A1102" s="295" t="s">
        <v>5857</v>
      </c>
      <c r="B1102" s="298">
        <v>4.0</v>
      </c>
      <c r="C1102" s="298" t="s">
        <v>522</v>
      </c>
      <c r="D1102" s="298" t="s">
        <v>359</v>
      </c>
      <c r="E1102" s="298" t="s">
        <v>290</v>
      </c>
      <c r="F1102" s="484" t="str">
        <f>'Character Sheet'!$C$9</f>
        <v/>
      </c>
      <c r="G1102" s="298" t="s">
        <v>294</v>
      </c>
      <c r="H1102" s="298" t="s">
        <v>324</v>
      </c>
      <c r="I1102" s="298" t="s">
        <v>861</v>
      </c>
      <c r="J1102" s="298" t="s">
        <v>746</v>
      </c>
      <c r="K1102" s="298" t="s">
        <v>298</v>
      </c>
      <c r="L1102" s="298" t="s">
        <v>4524</v>
      </c>
      <c r="M1102" s="301" t="s">
        <v>315</v>
      </c>
      <c r="N1102" s="301" t="s">
        <v>315</v>
      </c>
      <c r="O1102" s="301" t="s">
        <v>315</v>
      </c>
      <c r="P1102" s="301" t="s">
        <v>5858</v>
      </c>
      <c r="Q1102" s="301" t="s">
        <v>5859</v>
      </c>
      <c r="R1102" s="301" t="s">
        <v>5860</v>
      </c>
      <c r="S1102" s="301" t="s">
        <v>5861</v>
      </c>
      <c r="T1102" s="301" t="s">
        <v>5862</v>
      </c>
      <c r="U1102" s="301" t="s">
        <v>5863</v>
      </c>
      <c r="V1102" s="301" t="s">
        <v>5864</v>
      </c>
      <c r="W1102" s="298" t="s">
        <v>315</v>
      </c>
      <c r="X1102" s="298" t="s">
        <v>5074</v>
      </c>
    </row>
    <row r="1103">
      <c r="A1103" s="295" t="s">
        <v>5865</v>
      </c>
      <c r="B1103" s="298">
        <v>4.0</v>
      </c>
      <c r="C1103" s="298" t="s">
        <v>288</v>
      </c>
      <c r="D1103" s="298" t="s">
        <v>359</v>
      </c>
      <c r="E1103" s="298" t="s">
        <v>290</v>
      </c>
      <c r="F1103" s="484" t="str">
        <f>'Character Sheet'!$C$9</f>
        <v/>
      </c>
      <c r="G1103" s="298" t="s">
        <v>294</v>
      </c>
      <c r="H1103" s="298" t="s">
        <v>324</v>
      </c>
      <c r="I1103" s="298" t="s">
        <v>2763</v>
      </c>
      <c r="J1103" s="298" t="s">
        <v>192</v>
      </c>
      <c r="K1103" s="298" t="s">
        <v>424</v>
      </c>
      <c r="L1103" s="298" t="s">
        <v>4524</v>
      </c>
      <c r="M1103" s="301" t="s">
        <v>315</v>
      </c>
      <c r="N1103" s="301" t="s">
        <v>315</v>
      </c>
      <c r="O1103" s="301" t="s">
        <v>315</v>
      </c>
      <c r="P1103" s="301" t="s">
        <v>5866</v>
      </c>
      <c r="Q1103" s="301" t="s">
        <v>5866</v>
      </c>
      <c r="R1103" s="301" t="s">
        <v>5867</v>
      </c>
      <c r="S1103" s="301" t="s">
        <v>5867</v>
      </c>
      <c r="T1103" s="301" t="s">
        <v>5868</v>
      </c>
      <c r="U1103" s="301" t="s">
        <v>5868</v>
      </c>
      <c r="V1103" s="301" t="s">
        <v>5869</v>
      </c>
      <c r="W1103" s="298" t="s">
        <v>315</v>
      </c>
      <c r="X1103" s="298" t="s">
        <v>966</v>
      </c>
    </row>
    <row r="1104">
      <c r="A1104" s="295" t="s">
        <v>5870</v>
      </c>
      <c r="B1104" s="298">
        <v>4.0</v>
      </c>
      <c r="C1104" s="298" t="s">
        <v>522</v>
      </c>
      <c r="D1104" s="298" t="s">
        <v>310</v>
      </c>
      <c r="E1104" s="298" t="s">
        <v>311</v>
      </c>
      <c r="F1104" s="484" t="str">
        <f>'Character Sheet'!$B$9</f>
        <v/>
      </c>
      <c r="G1104" s="298" t="s">
        <v>477</v>
      </c>
      <c r="H1104" s="298" t="s">
        <v>324</v>
      </c>
      <c r="I1104" s="298" t="s">
        <v>324</v>
      </c>
      <c r="J1104" s="298" t="s">
        <v>315</v>
      </c>
      <c r="K1104" s="298" t="s">
        <v>298</v>
      </c>
      <c r="L1104" s="298" t="s">
        <v>4524</v>
      </c>
      <c r="M1104" s="301" t="s">
        <v>315</v>
      </c>
      <c r="N1104" s="301" t="s">
        <v>315</v>
      </c>
      <c r="O1104" s="301" t="s">
        <v>315</v>
      </c>
      <c r="P1104" s="301" t="s">
        <v>5871</v>
      </c>
      <c r="Q1104" s="301" t="s">
        <v>5871</v>
      </c>
      <c r="R1104" s="301" t="s">
        <v>5871</v>
      </c>
      <c r="S1104" s="301" t="s">
        <v>5871</v>
      </c>
      <c r="T1104" s="301" t="s">
        <v>5871</v>
      </c>
      <c r="U1104" s="301" t="s">
        <v>5871</v>
      </c>
      <c r="V1104" s="301" t="s">
        <v>5871</v>
      </c>
      <c r="W1104" s="298" t="s">
        <v>315</v>
      </c>
      <c r="X1104" s="298" t="s">
        <v>569</v>
      </c>
    </row>
    <row r="1105">
      <c r="A1105" s="295" t="s">
        <v>5872</v>
      </c>
      <c r="B1105" s="298">
        <v>4.0</v>
      </c>
      <c r="C1105" s="298" t="s">
        <v>522</v>
      </c>
      <c r="D1105" s="298" t="s">
        <v>421</v>
      </c>
      <c r="E1105" s="298" t="s">
        <v>311</v>
      </c>
      <c r="F1105" s="484" t="str">
        <f>'Character Sheet'!$K$9</f>
        <v/>
      </c>
      <c r="G1105" s="298" t="s">
        <v>493</v>
      </c>
      <c r="H1105" s="298" t="s">
        <v>324</v>
      </c>
      <c r="I1105" s="298" t="s">
        <v>324</v>
      </c>
      <c r="J1105" s="298" t="s">
        <v>315</v>
      </c>
      <c r="K1105" s="298" t="s">
        <v>298</v>
      </c>
      <c r="L1105" s="298" t="s">
        <v>4524</v>
      </c>
      <c r="M1105" s="301" t="s">
        <v>315</v>
      </c>
      <c r="N1105" s="301" t="s">
        <v>315</v>
      </c>
      <c r="O1105" s="301" t="s">
        <v>315</v>
      </c>
      <c r="P1105" s="301" t="s">
        <v>5873</v>
      </c>
      <c r="Q1105" s="301" t="s">
        <v>5873</v>
      </c>
      <c r="R1105" s="301" t="s">
        <v>5873</v>
      </c>
      <c r="S1105" s="301" t="s">
        <v>5873</v>
      </c>
      <c r="T1105" s="301" t="s">
        <v>5873</v>
      </c>
      <c r="U1105" s="301" t="s">
        <v>5873</v>
      </c>
      <c r="V1105" s="301" t="s">
        <v>5873</v>
      </c>
      <c r="W1105" s="298" t="s">
        <v>315</v>
      </c>
      <c r="X1105" s="298" t="s">
        <v>306</v>
      </c>
    </row>
    <row r="1106">
      <c r="A1106" s="295" t="s">
        <v>5874</v>
      </c>
      <c r="B1106" s="298">
        <v>4.0</v>
      </c>
      <c r="C1106" s="298" t="s">
        <v>522</v>
      </c>
      <c r="D1106" s="298" t="s">
        <v>334</v>
      </c>
      <c r="E1106" s="298" t="s">
        <v>290</v>
      </c>
      <c r="F1106" s="484" t="str">
        <f>'Character Sheet'!$B$9</f>
        <v/>
      </c>
      <c r="G1106" s="298" t="s">
        <v>493</v>
      </c>
      <c r="H1106" s="298" t="s">
        <v>324</v>
      </c>
      <c r="I1106" s="298" t="s">
        <v>324</v>
      </c>
      <c r="J1106" s="298" t="s">
        <v>315</v>
      </c>
      <c r="K1106" s="298" t="s">
        <v>632</v>
      </c>
      <c r="L1106" s="298" t="s">
        <v>4524</v>
      </c>
      <c r="M1106" s="301" t="s">
        <v>315</v>
      </c>
      <c r="N1106" s="301" t="s">
        <v>315</v>
      </c>
      <c r="O1106" s="301" t="s">
        <v>315</v>
      </c>
      <c r="P1106" s="301" t="s">
        <v>5875</v>
      </c>
      <c r="Q1106" s="301" t="s">
        <v>5876</v>
      </c>
      <c r="R1106" s="301" t="s">
        <v>5877</v>
      </c>
      <c r="S1106" s="301" t="s">
        <v>5878</v>
      </c>
      <c r="T1106" s="301" t="s">
        <v>5879</v>
      </c>
      <c r="U1106" s="301" t="s">
        <v>5880</v>
      </c>
      <c r="V1106" s="301" t="s">
        <v>5881</v>
      </c>
      <c r="W1106" s="298" t="s">
        <v>315</v>
      </c>
      <c r="X1106" s="298" t="s">
        <v>306</v>
      </c>
    </row>
    <row r="1107">
      <c r="A1107" s="295" t="s">
        <v>5882</v>
      </c>
      <c r="B1107" s="298">
        <v>4.0</v>
      </c>
      <c r="C1107" s="298" t="s">
        <v>522</v>
      </c>
      <c r="D1107" s="298" t="s">
        <v>462</v>
      </c>
      <c r="E1107" s="298" t="s">
        <v>290</v>
      </c>
      <c r="F1107" s="484" t="str">
        <f>'Character Sheet'!$B$9</f>
        <v/>
      </c>
      <c r="G1107" s="298" t="s">
        <v>128</v>
      </c>
      <c r="H1107" s="298" t="s">
        <v>335</v>
      </c>
      <c r="I1107" s="298" t="s">
        <v>435</v>
      </c>
      <c r="J1107" s="298" t="s">
        <v>315</v>
      </c>
      <c r="K1107" s="298" t="s">
        <v>632</v>
      </c>
      <c r="L1107" s="298" t="s">
        <v>4524</v>
      </c>
      <c r="M1107" s="301" t="s">
        <v>315</v>
      </c>
      <c r="N1107" s="301" t="s">
        <v>315</v>
      </c>
      <c r="O1107" s="301" t="s">
        <v>315</v>
      </c>
      <c r="P1107" s="301" t="s">
        <v>5883</v>
      </c>
      <c r="Q1107" s="301" t="s">
        <v>5883</v>
      </c>
      <c r="R1107" s="301" t="s">
        <v>5883</v>
      </c>
      <c r="S1107" s="301" t="s">
        <v>5883</v>
      </c>
      <c r="T1107" s="301" t="s">
        <v>5884</v>
      </c>
      <c r="U1107" s="301" t="s">
        <v>5884</v>
      </c>
      <c r="V1107" s="301" t="s">
        <v>5884</v>
      </c>
      <c r="W1107" s="298" t="s">
        <v>315</v>
      </c>
      <c r="X1107" s="298" t="s">
        <v>306</v>
      </c>
    </row>
    <row r="1108">
      <c r="A1108" s="295" t="s">
        <v>5885</v>
      </c>
      <c r="B1108" s="298">
        <v>4.0</v>
      </c>
      <c r="C1108" s="298" t="s">
        <v>522</v>
      </c>
      <c r="D1108" s="298" t="s">
        <v>421</v>
      </c>
      <c r="E1108" s="298" t="s">
        <v>290</v>
      </c>
      <c r="F1108" s="484" t="str">
        <f>'Character Sheet'!$C$9</f>
        <v/>
      </c>
      <c r="G1108" s="298" t="s">
        <v>294</v>
      </c>
      <c r="H1108" s="298" t="s">
        <v>324</v>
      </c>
      <c r="I1108" s="298" t="s">
        <v>2763</v>
      </c>
      <c r="J1108" s="298" t="s">
        <v>315</v>
      </c>
      <c r="K1108" s="298" t="s">
        <v>424</v>
      </c>
      <c r="L1108" s="298" t="s">
        <v>4524</v>
      </c>
      <c r="M1108" s="301" t="s">
        <v>315</v>
      </c>
      <c r="N1108" s="301" t="s">
        <v>315</v>
      </c>
      <c r="O1108" s="301" t="s">
        <v>315</v>
      </c>
      <c r="P1108" s="301" t="s">
        <v>5886</v>
      </c>
      <c r="Q1108" s="301" t="s">
        <v>5887</v>
      </c>
      <c r="R1108" s="301" t="s">
        <v>5888</v>
      </c>
      <c r="S1108" s="301" t="s">
        <v>5889</v>
      </c>
      <c r="T1108" s="301" t="s">
        <v>5890</v>
      </c>
      <c r="U1108" s="301" t="s">
        <v>5891</v>
      </c>
      <c r="V1108" s="301" t="s">
        <v>5892</v>
      </c>
      <c r="W1108" s="298" t="s">
        <v>315</v>
      </c>
      <c r="X1108" s="298" t="s">
        <v>306</v>
      </c>
    </row>
    <row r="1109">
      <c r="A1109" s="295" t="s">
        <v>5893</v>
      </c>
      <c r="B1109" s="298">
        <v>4.0</v>
      </c>
      <c r="C1109" s="298" t="s">
        <v>522</v>
      </c>
      <c r="D1109" s="298" t="s">
        <v>310</v>
      </c>
      <c r="E1109" s="298" t="s">
        <v>290</v>
      </c>
      <c r="F1109" s="484" t="str">
        <f>'Character Sheet'!$E$9</f>
        <v/>
      </c>
      <c r="G1109" s="298" t="s">
        <v>674</v>
      </c>
      <c r="H1109" s="298" t="s">
        <v>5894</v>
      </c>
      <c r="I1109" s="298" t="s">
        <v>315</v>
      </c>
      <c r="J1109" s="298" t="s">
        <v>315</v>
      </c>
      <c r="K1109" s="298" t="s">
        <v>298</v>
      </c>
      <c r="L1109" s="298" t="s">
        <v>4524</v>
      </c>
      <c r="M1109" s="301" t="s">
        <v>315</v>
      </c>
      <c r="N1109" s="301" t="s">
        <v>315</v>
      </c>
      <c r="O1109" s="301" t="s">
        <v>315</v>
      </c>
      <c r="P1109" s="301" t="s">
        <v>5895</v>
      </c>
      <c r="Q1109" s="301" t="s">
        <v>5896</v>
      </c>
      <c r="R1109" s="301" t="s">
        <v>5896</v>
      </c>
      <c r="S1109" s="301" t="s">
        <v>5896</v>
      </c>
      <c r="T1109" s="301" t="s">
        <v>5896</v>
      </c>
      <c r="U1109" s="301" t="s">
        <v>5896</v>
      </c>
      <c r="V1109" s="301" t="s">
        <v>5896</v>
      </c>
      <c r="W1109" s="298" t="s">
        <v>315</v>
      </c>
      <c r="X1109" s="298" t="s">
        <v>306</v>
      </c>
    </row>
    <row r="1110">
      <c r="A1110" s="295" t="s">
        <v>5897</v>
      </c>
      <c r="B1110" s="298">
        <v>4.0</v>
      </c>
      <c r="C1110" s="298" t="s">
        <v>432</v>
      </c>
      <c r="D1110" s="298" t="s">
        <v>289</v>
      </c>
      <c r="E1110" s="298" t="s">
        <v>290</v>
      </c>
      <c r="F1110" s="484" t="str">
        <f>'Character Sheet'!$C$9</f>
        <v/>
      </c>
      <c r="G1110" s="298" t="s">
        <v>294</v>
      </c>
      <c r="H1110" s="298" t="s">
        <v>360</v>
      </c>
      <c r="I1110" s="298" t="s">
        <v>296</v>
      </c>
      <c r="J1110" s="298" t="s">
        <v>746</v>
      </c>
      <c r="K1110" s="298" t="s">
        <v>632</v>
      </c>
      <c r="L1110" s="298" t="s">
        <v>4524</v>
      </c>
      <c r="M1110" s="301" t="s">
        <v>315</v>
      </c>
      <c r="N1110" s="301" t="s">
        <v>315</v>
      </c>
      <c r="O1110" s="301" t="s">
        <v>315</v>
      </c>
      <c r="P1110" s="301" t="s">
        <v>5898</v>
      </c>
      <c r="Q1110" s="301" t="s">
        <v>5899</v>
      </c>
      <c r="R1110" s="301" t="s">
        <v>5900</v>
      </c>
      <c r="S1110" s="301" t="s">
        <v>5901</v>
      </c>
      <c r="T1110" s="301" t="s">
        <v>5902</v>
      </c>
      <c r="U1110" s="301" t="s">
        <v>5903</v>
      </c>
      <c r="V1110" s="301" t="s">
        <v>5904</v>
      </c>
      <c r="W1110" s="298" t="s">
        <v>315</v>
      </c>
      <c r="X1110" s="298" t="s">
        <v>569</v>
      </c>
    </row>
    <row r="1111">
      <c r="A1111" s="295" t="s">
        <v>5905</v>
      </c>
      <c r="B1111" s="298">
        <v>4.0</v>
      </c>
      <c r="C1111" s="298" t="s">
        <v>522</v>
      </c>
      <c r="D1111" s="298" t="s">
        <v>334</v>
      </c>
      <c r="E1111" s="298" t="s">
        <v>290</v>
      </c>
      <c r="F1111" s="484" t="str">
        <f>'Character Sheet'!$N$9</f>
        <v/>
      </c>
      <c r="G1111" s="298" t="s">
        <v>493</v>
      </c>
      <c r="H1111" s="298" t="s">
        <v>2993</v>
      </c>
      <c r="I1111" s="298" t="s">
        <v>1174</v>
      </c>
      <c r="J1111" s="298" t="s">
        <v>315</v>
      </c>
      <c r="K1111" s="298" t="s">
        <v>298</v>
      </c>
      <c r="L1111" s="298" t="s">
        <v>4524</v>
      </c>
      <c r="M1111" s="301" t="s">
        <v>315</v>
      </c>
      <c r="N1111" s="301" t="s">
        <v>315</v>
      </c>
      <c r="O1111" s="301" t="s">
        <v>315</v>
      </c>
      <c r="P1111" s="301" t="s">
        <v>5906</v>
      </c>
      <c r="Q1111" s="301" t="s">
        <v>5907</v>
      </c>
      <c r="R1111" s="301" t="s">
        <v>5908</v>
      </c>
      <c r="S1111" s="301" t="s">
        <v>5909</v>
      </c>
      <c r="T1111" s="301" t="s">
        <v>5910</v>
      </c>
      <c r="U1111" s="301" t="s">
        <v>5911</v>
      </c>
      <c r="V1111" s="301" t="s">
        <v>5912</v>
      </c>
      <c r="W1111" s="298" t="s">
        <v>315</v>
      </c>
      <c r="X1111" s="298" t="s">
        <v>306</v>
      </c>
    </row>
    <row r="1112">
      <c r="A1112" s="295" t="s">
        <v>5913</v>
      </c>
      <c r="B1112" s="298">
        <v>4.0</v>
      </c>
      <c r="C1112" s="298" t="s">
        <v>288</v>
      </c>
      <c r="D1112" s="298" t="s">
        <v>310</v>
      </c>
      <c r="E1112" s="298" t="s">
        <v>290</v>
      </c>
      <c r="F1112" s="484" t="str">
        <f>'Character Sheet'!$C$9</f>
        <v/>
      </c>
      <c r="G1112" s="298" t="s">
        <v>294</v>
      </c>
      <c r="H1112" s="298" t="s">
        <v>324</v>
      </c>
      <c r="I1112" s="298" t="s">
        <v>861</v>
      </c>
      <c r="J1112" s="298" t="s">
        <v>746</v>
      </c>
      <c r="K1112" s="298" t="s">
        <v>298</v>
      </c>
      <c r="L1112" s="298" t="s">
        <v>4524</v>
      </c>
      <c r="M1112" s="301" t="s">
        <v>315</v>
      </c>
      <c r="N1112" s="301" t="s">
        <v>315</v>
      </c>
      <c r="O1112" s="301" t="s">
        <v>315</v>
      </c>
      <c r="P1112" s="301" t="s">
        <v>5914</v>
      </c>
      <c r="Q1112" s="301" t="s">
        <v>5915</v>
      </c>
      <c r="R1112" s="301" t="s">
        <v>5916</v>
      </c>
      <c r="S1112" s="301" t="s">
        <v>5917</v>
      </c>
      <c r="T1112" s="301" t="s">
        <v>5918</v>
      </c>
      <c r="U1112" s="301" t="s">
        <v>5919</v>
      </c>
      <c r="V1112" s="301" t="s">
        <v>5920</v>
      </c>
      <c r="W1112" s="298" t="s">
        <v>315</v>
      </c>
      <c r="X1112" s="298" t="s">
        <v>966</v>
      </c>
    </row>
    <row r="1113">
      <c r="A1113" s="295" t="s">
        <v>5921</v>
      </c>
      <c r="B1113" s="298">
        <v>4.0</v>
      </c>
      <c r="C1113" s="298" t="s">
        <v>522</v>
      </c>
      <c r="D1113" s="298" t="s">
        <v>421</v>
      </c>
      <c r="E1113" s="298" t="s">
        <v>311</v>
      </c>
      <c r="F1113" s="484" t="str">
        <f>'Character Sheet'!$K$9</f>
        <v/>
      </c>
      <c r="G1113" s="298" t="s">
        <v>493</v>
      </c>
      <c r="H1113" s="298" t="s">
        <v>295</v>
      </c>
      <c r="I1113" s="298" t="s">
        <v>296</v>
      </c>
      <c r="J1113" s="298" t="s">
        <v>336</v>
      </c>
      <c r="K1113" s="298" t="s">
        <v>298</v>
      </c>
      <c r="L1113" s="298" t="s">
        <v>4524</v>
      </c>
      <c r="M1113" s="301" t="s">
        <v>315</v>
      </c>
      <c r="N1113" s="301" t="s">
        <v>315</v>
      </c>
      <c r="O1113" s="301" t="s">
        <v>315</v>
      </c>
      <c r="P1113" s="301" t="s">
        <v>5922</v>
      </c>
      <c r="Q1113" s="301" t="s">
        <v>5922</v>
      </c>
      <c r="R1113" s="301" t="s">
        <v>5922</v>
      </c>
      <c r="S1113" s="301" t="s">
        <v>5922</v>
      </c>
      <c r="T1113" s="301" t="s">
        <v>5922</v>
      </c>
      <c r="U1113" s="301" t="s">
        <v>5922</v>
      </c>
      <c r="V1113" s="301" t="s">
        <v>5922</v>
      </c>
      <c r="W1113" s="298" t="s">
        <v>315</v>
      </c>
      <c r="X1113" s="298" t="s">
        <v>306</v>
      </c>
    </row>
    <row r="1114">
      <c r="A1114" s="295" t="s">
        <v>5923</v>
      </c>
      <c r="B1114" s="298">
        <v>4.0</v>
      </c>
      <c r="C1114" s="298" t="s">
        <v>288</v>
      </c>
      <c r="D1114" s="298" t="s">
        <v>359</v>
      </c>
      <c r="E1114" s="298" t="s">
        <v>311</v>
      </c>
      <c r="F1114" s="484" t="str">
        <f>'Character Sheet'!$C$9</f>
        <v/>
      </c>
      <c r="G1114" s="298" t="s">
        <v>294</v>
      </c>
      <c r="H1114" s="298" t="s">
        <v>324</v>
      </c>
      <c r="I1114" s="298" t="s">
        <v>861</v>
      </c>
      <c r="J1114" s="298" t="s">
        <v>192</v>
      </c>
      <c r="K1114" s="298" t="s">
        <v>1174</v>
      </c>
      <c r="L1114" s="298" t="s">
        <v>4524</v>
      </c>
      <c r="M1114" s="301" t="s">
        <v>315</v>
      </c>
      <c r="N1114" s="301" t="s">
        <v>315</v>
      </c>
      <c r="O1114" s="301" t="s">
        <v>315</v>
      </c>
      <c r="P1114" s="301" t="s">
        <v>5924</v>
      </c>
      <c r="Q1114" s="301" t="s">
        <v>5924</v>
      </c>
      <c r="R1114" s="301" t="s">
        <v>5924</v>
      </c>
      <c r="S1114" s="301" t="s">
        <v>5924</v>
      </c>
      <c r="T1114" s="301" t="s">
        <v>5924</v>
      </c>
      <c r="U1114" s="301" t="s">
        <v>5924</v>
      </c>
      <c r="V1114" s="301" t="s">
        <v>5924</v>
      </c>
      <c r="W1114" s="298" t="s">
        <v>315</v>
      </c>
      <c r="X1114" s="298" t="s">
        <v>966</v>
      </c>
    </row>
    <row r="1115">
      <c r="A1115" s="295" t="s">
        <v>5925</v>
      </c>
      <c r="B1115" s="298">
        <v>4.0</v>
      </c>
      <c r="C1115" s="298" t="s">
        <v>522</v>
      </c>
      <c r="D1115" s="298" t="s">
        <v>289</v>
      </c>
      <c r="E1115" s="298" t="s">
        <v>290</v>
      </c>
      <c r="F1115" s="484" t="str">
        <f>'Character Sheet'!$B$9</f>
        <v/>
      </c>
      <c r="G1115" s="298" t="s">
        <v>493</v>
      </c>
      <c r="H1115" s="298" t="s">
        <v>335</v>
      </c>
      <c r="I1115" s="298" t="s">
        <v>1156</v>
      </c>
      <c r="J1115" s="298" t="s">
        <v>315</v>
      </c>
      <c r="K1115" s="298" t="s">
        <v>632</v>
      </c>
      <c r="L1115" s="298" t="s">
        <v>4524</v>
      </c>
      <c r="M1115" s="301" t="s">
        <v>315</v>
      </c>
      <c r="N1115" s="301" t="s">
        <v>315</v>
      </c>
      <c r="O1115" s="301" t="s">
        <v>315</v>
      </c>
      <c r="P1115" s="301" t="s">
        <v>5926</v>
      </c>
      <c r="Q1115" s="301" t="s">
        <v>5926</v>
      </c>
      <c r="R1115" s="301" t="s">
        <v>5926</v>
      </c>
      <c r="S1115" s="301" t="s">
        <v>5926</v>
      </c>
      <c r="T1115" s="301" t="s">
        <v>5927</v>
      </c>
      <c r="U1115" s="301" t="s">
        <v>5927</v>
      </c>
      <c r="V1115" s="301" t="s">
        <v>5927</v>
      </c>
      <c r="W1115" s="298" t="s">
        <v>315</v>
      </c>
      <c r="X1115" s="298" t="s">
        <v>318</v>
      </c>
    </row>
    <row r="1116">
      <c r="A1116" s="295" t="s">
        <v>5928</v>
      </c>
      <c r="B1116" s="298">
        <v>4.0</v>
      </c>
      <c r="C1116" s="298" t="s">
        <v>522</v>
      </c>
      <c r="D1116" s="298" t="s">
        <v>421</v>
      </c>
      <c r="E1116" s="298" t="s">
        <v>311</v>
      </c>
      <c r="F1116" s="298" t="s">
        <v>625</v>
      </c>
      <c r="G1116" s="298" t="s">
        <v>294</v>
      </c>
      <c r="H1116" s="298" t="s">
        <v>313</v>
      </c>
      <c r="I1116" s="298" t="s">
        <v>315</v>
      </c>
      <c r="J1116" s="298" t="s">
        <v>315</v>
      </c>
      <c r="K1116" s="298" t="s">
        <v>675</v>
      </c>
      <c r="L1116" s="298" t="s">
        <v>4524</v>
      </c>
      <c r="M1116" s="301" t="s">
        <v>315</v>
      </c>
      <c r="N1116" s="301" t="s">
        <v>315</v>
      </c>
      <c r="O1116" s="301" t="s">
        <v>315</v>
      </c>
      <c r="P1116" s="301" t="s">
        <v>5929</v>
      </c>
      <c r="Q1116" s="301" t="s">
        <v>5929</v>
      </c>
      <c r="R1116" s="301" t="s">
        <v>5929</v>
      </c>
      <c r="S1116" s="301" t="s">
        <v>5929</v>
      </c>
      <c r="T1116" s="301" t="s">
        <v>5929</v>
      </c>
      <c r="U1116" s="301" t="s">
        <v>5929</v>
      </c>
      <c r="V1116" s="301" t="s">
        <v>5929</v>
      </c>
      <c r="W1116" s="298" t="s">
        <v>315</v>
      </c>
      <c r="X1116" s="298" t="s">
        <v>306</v>
      </c>
    </row>
    <row r="1117">
      <c r="A1117" s="295" t="s">
        <v>5930</v>
      </c>
      <c r="B1117" s="298">
        <v>4.0</v>
      </c>
      <c r="C1117" s="298" t="s">
        <v>432</v>
      </c>
      <c r="D1117" s="298" t="s">
        <v>359</v>
      </c>
      <c r="E1117" s="298" t="s">
        <v>311</v>
      </c>
      <c r="F1117" s="484" t="str">
        <f>'Character Sheet'!$K$9</f>
        <v/>
      </c>
      <c r="G1117" s="298" t="s">
        <v>477</v>
      </c>
      <c r="H1117" s="298" t="s">
        <v>295</v>
      </c>
      <c r="I1117" s="298" t="s">
        <v>5931</v>
      </c>
      <c r="J1117" s="298" t="s">
        <v>192</v>
      </c>
      <c r="K1117" s="298" t="s">
        <v>478</v>
      </c>
      <c r="L1117" s="298" t="s">
        <v>4524</v>
      </c>
      <c r="M1117" s="301" t="s">
        <v>315</v>
      </c>
      <c r="N1117" s="301" t="s">
        <v>315</v>
      </c>
      <c r="O1117" s="301" t="s">
        <v>315</v>
      </c>
      <c r="P1117" s="301" t="s">
        <v>5932</v>
      </c>
      <c r="Q1117" s="301" t="s">
        <v>5932</v>
      </c>
      <c r="R1117" s="301" t="s">
        <v>5932</v>
      </c>
      <c r="S1117" s="301" t="s">
        <v>5932</v>
      </c>
      <c r="T1117" s="301" t="s">
        <v>5932</v>
      </c>
      <c r="U1117" s="301" t="s">
        <v>5932</v>
      </c>
      <c r="V1117" s="301" t="s">
        <v>5932</v>
      </c>
      <c r="W1117" s="298" t="s">
        <v>315</v>
      </c>
      <c r="X1117" s="298" t="s">
        <v>569</v>
      </c>
    </row>
    <row r="1118">
      <c r="A1118" s="295" t="s">
        <v>5933</v>
      </c>
      <c r="B1118" s="298">
        <v>4.0</v>
      </c>
      <c r="C1118" s="298" t="s">
        <v>522</v>
      </c>
      <c r="D1118" s="298" t="s">
        <v>359</v>
      </c>
      <c r="E1118" s="298" t="s">
        <v>311</v>
      </c>
      <c r="F1118" s="484" t="str">
        <f>'Character Sheet'!$C$9</f>
        <v/>
      </c>
      <c r="G1118" s="298" t="s">
        <v>294</v>
      </c>
      <c r="H1118" s="298" t="s">
        <v>295</v>
      </c>
      <c r="I1118" s="298" t="s">
        <v>296</v>
      </c>
      <c r="J1118" s="298" t="s">
        <v>192</v>
      </c>
      <c r="K1118" s="298" t="s">
        <v>1174</v>
      </c>
      <c r="L1118" s="298" t="s">
        <v>4524</v>
      </c>
      <c r="M1118" s="301" t="s">
        <v>315</v>
      </c>
      <c r="N1118" s="301" t="s">
        <v>315</v>
      </c>
      <c r="O1118" s="301" t="s">
        <v>315</v>
      </c>
      <c r="P1118" s="301" t="s">
        <v>5934</v>
      </c>
      <c r="Q1118" s="301" t="s">
        <v>5934</v>
      </c>
      <c r="R1118" s="301" t="s">
        <v>5934</v>
      </c>
      <c r="S1118" s="301" t="s">
        <v>5934</v>
      </c>
      <c r="T1118" s="301" t="s">
        <v>5934</v>
      </c>
      <c r="U1118" s="301" t="s">
        <v>5934</v>
      </c>
      <c r="V1118" s="301" t="s">
        <v>5934</v>
      </c>
      <c r="W1118" s="298" t="s">
        <v>315</v>
      </c>
      <c r="X1118" s="298" t="s">
        <v>306</v>
      </c>
    </row>
    <row r="1119">
      <c r="A1119" s="295" t="s">
        <v>5935</v>
      </c>
      <c r="B1119" s="298">
        <v>4.0</v>
      </c>
      <c r="C1119" s="298" t="s">
        <v>522</v>
      </c>
      <c r="D1119" s="298" t="s">
        <v>462</v>
      </c>
      <c r="E1119" s="298" t="s">
        <v>311</v>
      </c>
      <c r="F1119" s="484" t="str">
        <f>'Character Sheet'!$B$9</f>
        <v/>
      </c>
      <c r="G1119" s="298" t="s">
        <v>493</v>
      </c>
      <c r="H1119" s="298" t="s">
        <v>324</v>
      </c>
      <c r="I1119" s="298" t="s">
        <v>324</v>
      </c>
      <c r="J1119" s="298" t="s">
        <v>315</v>
      </c>
      <c r="K1119" s="298" t="s">
        <v>632</v>
      </c>
      <c r="L1119" s="298" t="s">
        <v>4524</v>
      </c>
      <c r="M1119" s="301" t="s">
        <v>315</v>
      </c>
      <c r="N1119" s="301" t="s">
        <v>315</v>
      </c>
      <c r="O1119" s="301" t="s">
        <v>315</v>
      </c>
      <c r="P1119" s="301" t="s">
        <v>5936</v>
      </c>
      <c r="Q1119" s="301" t="s">
        <v>5936</v>
      </c>
      <c r="R1119" s="301" t="s">
        <v>5936</v>
      </c>
      <c r="S1119" s="301" t="s">
        <v>5936</v>
      </c>
      <c r="T1119" s="301" t="s">
        <v>5936</v>
      </c>
      <c r="U1119" s="301" t="s">
        <v>5936</v>
      </c>
      <c r="V1119" s="301" t="s">
        <v>5936</v>
      </c>
      <c r="W1119" s="298" t="s">
        <v>315</v>
      </c>
      <c r="X1119" s="298" t="s">
        <v>306</v>
      </c>
    </row>
    <row r="1120">
      <c r="A1120" s="295" t="s">
        <v>5937</v>
      </c>
      <c r="B1120" s="298">
        <v>4.0</v>
      </c>
      <c r="C1120" s="298" t="s">
        <v>288</v>
      </c>
      <c r="D1120" s="298" t="s">
        <v>462</v>
      </c>
      <c r="E1120" s="298" t="s">
        <v>311</v>
      </c>
      <c r="F1120" s="484" t="str">
        <f>'Character Sheet'!$C$9</f>
        <v/>
      </c>
      <c r="G1120" s="298" t="s">
        <v>294</v>
      </c>
      <c r="H1120" s="298" t="s">
        <v>295</v>
      </c>
      <c r="I1120" s="298" t="s">
        <v>1174</v>
      </c>
      <c r="J1120" s="298" t="s">
        <v>192</v>
      </c>
      <c r="K1120" s="298" t="s">
        <v>1174</v>
      </c>
      <c r="L1120" s="298" t="s">
        <v>4524</v>
      </c>
      <c r="M1120" s="301" t="s">
        <v>315</v>
      </c>
      <c r="N1120" s="301" t="s">
        <v>315</v>
      </c>
      <c r="O1120" s="301" t="s">
        <v>315</v>
      </c>
      <c r="P1120" s="301" t="s">
        <v>5938</v>
      </c>
      <c r="Q1120" s="301" t="s">
        <v>5938</v>
      </c>
      <c r="R1120" s="301" t="s">
        <v>5938</v>
      </c>
      <c r="S1120" s="301" t="s">
        <v>5938</v>
      </c>
      <c r="T1120" s="301" t="s">
        <v>5938</v>
      </c>
      <c r="U1120" s="301" t="s">
        <v>5938</v>
      </c>
      <c r="V1120" s="301" t="s">
        <v>5938</v>
      </c>
      <c r="W1120" s="298" t="s">
        <v>315</v>
      </c>
      <c r="X1120" s="298" t="s">
        <v>966</v>
      </c>
    </row>
    <row r="1121">
      <c r="A1121" s="295" t="s">
        <v>5939</v>
      </c>
      <c r="B1121" s="298">
        <v>4.0</v>
      </c>
      <c r="C1121" s="298" t="s">
        <v>522</v>
      </c>
      <c r="D1121" s="298" t="s">
        <v>462</v>
      </c>
      <c r="E1121" s="298" t="s">
        <v>290</v>
      </c>
      <c r="F1121" s="484" t="str">
        <f>'Character Sheet'!$C$9</f>
        <v/>
      </c>
      <c r="G1121" s="298" t="s">
        <v>294</v>
      </c>
      <c r="H1121" s="298" t="s">
        <v>324</v>
      </c>
      <c r="I1121" s="298" t="s">
        <v>324</v>
      </c>
      <c r="J1121" s="298" t="s">
        <v>315</v>
      </c>
      <c r="K1121" s="298" t="s">
        <v>632</v>
      </c>
      <c r="L1121" s="298" t="s">
        <v>4524</v>
      </c>
      <c r="M1121" s="301" t="s">
        <v>315</v>
      </c>
      <c r="N1121" s="301" t="s">
        <v>315</v>
      </c>
      <c r="O1121" s="301" t="s">
        <v>315</v>
      </c>
      <c r="P1121" s="301" t="s">
        <v>5940</v>
      </c>
      <c r="Q1121" s="301" t="s">
        <v>5940</v>
      </c>
      <c r="R1121" s="301" t="s">
        <v>5941</v>
      </c>
      <c r="S1121" s="301" t="s">
        <v>5941</v>
      </c>
      <c r="T1121" s="301" t="s">
        <v>5941</v>
      </c>
      <c r="U1121" s="301" t="s">
        <v>5941</v>
      </c>
      <c r="V1121" s="301" t="s">
        <v>5941</v>
      </c>
      <c r="W1121" s="298" t="s">
        <v>315</v>
      </c>
      <c r="X1121" s="298" t="s">
        <v>306</v>
      </c>
    </row>
    <row r="1122">
      <c r="A1122" s="295" t="s">
        <v>5942</v>
      </c>
      <c r="B1122" s="298">
        <v>4.0</v>
      </c>
      <c r="C1122" s="298" t="s">
        <v>288</v>
      </c>
      <c r="D1122" s="298" t="s">
        <v>462</v>
      </c>
      <c r="E1122" s="298" t="s">
        <v>290</v>
      </c>
      <c r="F1122" s="484" t="str">
        <f>'Character Sheet'!$C$9</f>
        <v/>
      </c>
      <c r="G1122" s="298" t="s">
        <v>294</v>
      </c>
      <c r="H1122" s="298" t="s">
        <v>324</v>
      </c>
      <c r="I1122" s="298" t="s">
        <v>324</v>
      </c>
      <c r="J1122" s="298" t="s">
        <v>315</v>
      </c>
      <c r="K1122" s="298" t="s">
        <v>1990</v>
      </c>
      <c r="L1122" s="298" t="s">
        <v>4524</v>
      </c>
      <c r="M1122" s="301" t="s">
        <v>315</v>
      </c>
      <c r="N1122" s="301" t="s">
        <v>315</v>
      </c>
      <c r="O1122" s="301" t="s">
        <v>315</v>
      </c>
      <c r="P1122" s="301" t="s">
        <v>5943</v>
      </c>
      <c r="Q1122" s="301" t="s">
        <v>5943</v>
      </c>
      <c r="R1122" s="301" t="s">
        <v>5944</v>
      </c>
      <c r="S1122" s="301" t="s">
        <v>5944</v>
      </c>
      <c r="T1122" s="301" t="s">
        <v>5945</v>
      </c>
      <c r="U1122" s="301" t="s">
        <v>5945</v>
      </c>
      <c r="V1122" s="301" t="s">
        <v>5946</v>
      </c>
      <c r="W1122" s="298" t="s">
        <v>315</v>
      </c>
      <c r="X1122" s="298" t="s">
        <v>966</v>
      </c>
    </row>
    <row r="1123">
      <c r="A1123" s="295" t="s">
        <v>5947</v>
      </c>
      <c r="B1123" s="298">
        <v>4.0</v>
      </c>
      <c r="C1123" s="298" t="s">
        <v>522</v>
      </c>
      <c r="D1123" s="298" t="s">
        <v>334</v>
      </c>
      <c r="E1123" s="298" t="s">
        <v>290</v>
      </c>
      <c r="F1123" s="484" t="str">
        <f>'Character Sheet'!$C$9</f>
        <v/>
      </c>
      <c r="G1123" s="298" t="s">
        <v>294</v>
      </c>
      <c r="H1123" s="298" t="s">
        <v>335</v>
      </c>
      <c r="I1123" s="298" t="s">
        <v>296</v>
      </c>
      <c r="J1123" s="298" t="s">
        <v>192</v>
      </c>
      <c r="K1123" s="298" t="s">
        <v>298</v>
      </c>
      <c r="L1123" s="298" t="s">
        <v>4524</v>
      </c>
      <c r="M1123" s="301" t="s">
        <v>315</v>
      </c>
      <c r="N1123" s="301" t="s">
        <v>315</v>
      </c>
      <c r="O1123" s="301" t="s">
        <v>315</v>
      </c>
      <c r="P1123" s="301" t="s">
        <v>5948</v>
      </c>
      <c r="Q1123" s="301" t="s">
        <v>5948</v>
      </c>
      <c r="R1123" s="301" t="s">
        <v>5948</v>
      </c>
      <c r="S1123" s="301" t="s">
        <v>5949</v>
      </c>
      <c r="T1123" s="301" t="s">
        <v>5949</v>
      </c>
      <c r="U1123" s="301" t="s">
        <v>5949</v>
      </c>
      <c r="V1123" s="301" t="s">
        <v>5949</v>
      </c>
      <c r="W1123" s="298" t="s">
        <v>315</v>
      </c>
      <c r="X1123" s="298" t="s">
        <v>306</v>
      </c>
    </row>
    <row r="1124">
      <c r="A1124" s="295" t="s">
        <v>5950</v>
      </c>
      <c r="B1124" s="298">
        <v>4.0</v>
      </c>
      <c r="C1124" s="298" t="s">
        <v>522</v>
      </c>
      <c r="D1124" s="298" t="s">
        <v>310</v>
      </c>
      <c r="E1124" s="298" t="s">
        <v>290</v>
      </c>
      <c r="F1124" s="484" t="str">
        <f>'Character Sheet'!$K$9</f>
        <v/>
      </c>
      <c r="G1124" s="298" t="s">
        <v>493</v>
      </c>
      <c r="H1124" s="298" t="s">
        <v>352</v>
      </c>
      <c r="I1124" s="298" t="s">
        <v>780</v>
      </c>
      <c r="J1124" s="298" t="s">
        <v>315</v>
      </c>
      <c r="K1124" s="298" t="s">
        <v>298</v>
      </c>
      <c r="L1124" s="298" t="s">
        <v>4524</v>
      </c>
      <c r="M1124" s="301" t="s">
        <v>315</v>
      </c>
      <c r="N1124" s="301" t="s">
        <v>315</v>
      </c>
      <c r="O1124" s="301" t="s">
        <v>315</v>
      </c>
      <c r="P1124" s="301" t="s">
        <v>5951</v>
      </c>
      <c r="Q1124" s="301" t="s">
        <v>5951</v>
      </c>
      <c r="R1124" s="301" t="s">
        <v>5951</v>
      </c>
      <c r="S1124" s="301" t="s">
        <v>5951</v>
      </c>
      <c r="T1124" s="301" t="s">
        <v>5952</v>
      </c>
      <c r="U1124" s="301" t="s">
        <v>5952</v>
      </c>
      <c r="V1124" s="301" t="s">
        <v>5952</v>
      </c>
      <c r="W1124" s="298" t="s">
        <v>315</v>
      </c>
      <c r="X1124" s="298" t="s">
        <v>306</v>
      </c>
    </row>
    <row r="1125">
      <c r="A1125" s="295" t="s">
        <v>5953</v>
      </c>
      <c r="B1125" s="298">
        <v>4.0</v>
      </c>
      <c r="C1125" s="298" t="s">
        <v>288</v>
      </c>
      <c r="D1125" s="298" t="s">
        <v>334</v>
      </c>
      <c r="E1125" s="298" t="s">
        <v>311</v>
      </c>
      <c r="F1125" s="484" t="str">
        <f>'Character Sheet'!$C$9</f>
        <v/>
      </c>
      <c r="G1125" s="298" t="s">
        <v>294</v>
      </c>
      <c r="H1125" s="298" t="s">
        <v>295</v>
      </c>
      <c r="I1125" s="298" t="s">
        <v>296</v>
      </c>
      <c r="J1125" s="298" t="s">
        <v>315</v>
      </c>
      <c r="K1125" s="298" t="s">
        <v>424</v>
      </c>
      <c r="L1125" s="298" t="s">
        <v>4524</v>
      </c>
      <c r="M1125" s="301" t="s">
        <v>315</v>
      </c>
      <c r="N1125" s="301" t="s">
        <v>315</v>
      </c>
      <c r="O1125" s="301" t="s">
        <v>315</v>
      </c>
      <c r="P1125" s="301" t="s">
        <v>5954</v>
      </c>
      <c r="Q1125" s="301" t="s">
        <v>5954</v>
      </c>
      <c r="R1125" s="301" t="s">
        <v>5954</v>
      </c>
      <c r="S1125" s="301" t="s">
        <v>5954</v>
      </c>
      <c r="T1125" s="301" t="s">
        <v>5954</v>
      </c>
      <c r="U1125" s="301" t="s">
        <v>5954</v>
      </c>
      <c r="V1125" s="301" t="s">
        <v>5954</v>
      </c>
      <c r="W1125" s="298" t="s">
        <v>315</v>
      </c>
      <c r="X1125" s="298" t="s">
        <v>4967</v>
      </c>
    </row>
    <row r="1126">
      <c r="A1126" s="295" t="s">
        <v>5955</v>
      </c>
      <c r="B1126" s="298">
        <v>4.0</v>
      </c>
      <c r="C1126" s="298" t="s">
        <v>522</v>
      </c>
      <c r="D1126" s="298" t="s">
        <v>359</v>
      </c>
      <c r="E1126" s="298" t="s">
        <v>311</v>
      </c>
      <c r="F1126" s="484" t="str">
        <f>'Character Sheet'!$B$9</f>
        <v/>
      </c>
      <c r="G1126" s="298" t="s">
        <v>493</v>
      </c>
      <c r="H1126" s="298" t="s">
        <v>335</v>
      </c>
      <c r="I1126" s="298" t="s">
        <v>296</v>
      </c>
      <c r="J1126" s="298" t="s">
        <v>315</v>
      </c>
      <c r="K1126" s="298" t="s">
        <v>632</v>
      </c>
      <c r="L1126" s="298" t="s">
        <v>4524</v>
      </c>
      <c r="M1126" s="301" t="s">
        <v>315</v>
      </c>
      <c r="N1126" s="301" t="s">
        <v>315</v>
      </c>
      <c r="O1126" s="301" t="s">
        <v>315</v>
      </c>
      <c r="P1126" s="301" t="s">
        <v>5956</v>
      </c>
      <c r="Q1126" s="301" t="s">
        <v>5956</v>
      </c>
      <c r="R1126" s="301" t="s">
        <v>5956</v>
      </c>
      <c r="S1126" s="301" t="s">
        <v>5956</v>
      </c>
      <c r="T1126" s="301" t="s">
        <v>5956</v>
      </c>
      <c r="U1126" s="301" t="s">
        <v>5956</v>
      </c>
      <c r="V1126" s="301" t="s">
        <v>5956</v>
      </c>
      <c r="W1126" s="298" t="s">
        <v>315</v>
      </c>
      <c r="X1126" s="298" t="s">
        <v>306</v>
      </c>
    </row>
    <row r="1127">
      <c r="A1127" s="295" t="s">
        <v>5957</v>
      </c>
      <c r="B1127" s="298">
        <v>4.0</v>
      </c>
      <c r="C1127" s="298" t="s">
        <v>522</v>
      </c>
      <c r="D1127" s="298" t="s">
        <v>289</v>
      </c>
      <c r="E1127" s="298" t="s">
        <v>311</v>
      </c>
      <c r="F1127" s="484" t="str">
        <f>'Character Sheet'!$C$9</f>
        <v/>
      </c>
      <c r="G1127" s="298" t="s">
        <v>294</v>
      </c>
      <c r="H1127" s="298" t="s">
        <v>324</v>
      </c>
      <c r="I1127" s="298" t="s">
        <v>315</v>
      </c>
      <c r="J1127" s="298" t="s">
        <v>315</v>
      </c>
      <c r="K1127" s="298" t="s">
        <v>5958</v>
      </c>
      <c r="L1127" s="298" t="s">
        <v>4524</v>
      </c>
      <c r="M1127" s="301" t="s">
        <v>315</v>
      </c>
      <c r="N1127" s="301" t="s">
        <v>315</v>
      </c>
      <c r="O1127" s="301" t="s">
        <v>315</v>
      </c>
      <c r="P1127" s="301" t="s">
        <v>5959</v>
      </c>
      <c r="Q1127" s="301" t="s">
        <v>5959</v>
      </c>
      <c r="R1127" s="301" t="s">
        <v>5959</v>
      </c>
      <c r="S1127" s="301" t="s">
        <v>5959</v>
      </c>
      <c r="T1127" s="301" t="s">
        <v>5959</v>
      </c>
      <c r="U1127" s="301" t="s">
        <v>5959</v>
      </c>
      <c r="V1127" s="301" t="s">
        <v>5959</v>
      </c>
      <c r="W1127" s="298" t="s">
        <v>315</v>
      </c>
      <c r="X1127" s="298" t="s">
        <v>2920</v>
      </c>
    </row>
    <row r="1128">
      <c r="A1128" s="295" t="s">
        <v>5960</v>
      </c>
      <c r="B1128" s="298">
        <v>4.0</v>
      </c>
      <c r="C1128" s="298" t="s">
        <v>522</v>
      </c>
      <c r="D1128" s="298" t="s">
        <v>289</v>
      </c>
      <c r="E1128" s="298" t="s">
        <v>290</v>
      </c>
      <c r="F1128" s="484" t="str">
        <f>'Character Sheet'!$C$9</f>
        <v/>
      </c>
      <c r="G1128" s="298" t="s">
        <v>294</v>
      </c>
      <c r="H1128" s="298" t="s">
        <v>324</v>
      </c>
      <c r="I1128" s="298" t="s">
        <v>324</v>
      </c>
      <c r="J1128" s="298" t="s">
        <v>315</v>
      </c>
      <c r="K1128" s="298" t="s">
        <v>632</v>
      </c>
      <c r="L1128" s="298" t="s">
        <v>4524</v>
      </c>
      <c r="M1128" s="301" t="s">
        <v>315</v>
      </c>
      <c r="N1128" s="301" t="s">
        <v>315</v>
      </c>
      <c r="O1128" s="301" t="s">
        <v>315</v>
      </c>
      <c r="P1128" s="301" t="s">
        <v>5961</v>
      </c>
      <c r="Q1128" s="301" t="s">
        <v>5962</v>
      </c>
      <c r="R1128" s="301" t="s">
        <v>5962</v>
      </c>
      <c r="S1128" s="301" t="s">
        <v>5962</v>
      </c>
      <c r="T1128" s="301" t="s">
        <v>5962</v>
      </c>
      <c r="U1128" s="301" t="s">
        <v>5962</v>
      </c>
      <c r="V1128" s="301" t="s">
        <v>5962</v>
      </c>
      <c r="W1128" s="298" t="s">
        <v>315</v>
      </c>
      <c r="X1128" s="298" t="s">
        <v>306</v>
      </c>
    </row>
    <row r="1129">
      <c r="A1129" s="295" t="s">
        <v>5963</v>
      </c>
      <c r="B1129" s="298">
        <v>4.0</v>
      </c>
      <c r="C1129" s="298" t="s">
        <v>522</v>
      </c>
      <c r="D1129" s="298" t="s">
        <v>321</v>
      </c>
      <c r="E1129" s="298" t="s">
        <v>311</v>
      </c>
      <c r="F1129" s="484" t="str">
        <f>'Character Sheet'!$C$9</f>
        <v/>
      </c>
      <c r="G1129" s="298" t="s">
        <v>4545</v>
      </c>
      <c r="H1129" s="298" t="s">
        <v>295</v>
      </c>
      <c r="I1129" s="298" t="s">
        <v>296</v>
      </c>
      <c r="J1129" s="298" t="s">
        <v>192</v>
      </c>
      <c r="K1129" s="298" t="s">
        <v>632</v>
      </c>
      <c r="L1129" s="298" t="s">
        <v>4524</v>
      </c>
      <c r="M1129" s="301" t="s">
        <v>315</v>
      </c>
      <c r="N1129" s="301" t="s">
        <v>315</v>
      </c>
      <c r="O1129" s="301" t="s">
        <v>315</v>
      </c>
      <c r="P1129" s="301" t="s">
        <v>5964</v>
      </c>
      <c r="Q1129" s="301" t="s">
        <v>5964</v>
      </c>
      <c r="R1129" s="301" t="s">
        <v>5964</v>
      </c>
      <c r="S1129" s="301" t="s">
        <v>5964</v>
      </c>
      <c r="T1129" s="301" t="s">
        <v>5964</v>
      </c>
      <c r="U1129" s="301" t="s">
        <v>5964</v>
      </c>
      <c r="V1129" s="301" t="s">
        <v>5964</v>
      </c>
      <c r="W1129" s="298" t="s">
        <v>315</v>
      </c>
      <c r="X1129" s="298" t="s">
        <v>306</v>
      </c>
    </row>
    <row r="1130">
      <c r="A1130" s="295" t="s">
        <v>5965</v>
      </c>
      <c r="B1130" s="298">
        <v>4.0</v>
      </c>
      <c r="C1130" s="298" t="s">
        <v>522</v>
      </c>
      <c r="D1130" s="298" t="s">
        <v>421</v>
      </c>
      <c r="E1130" s="298" t="s">
        <v>311</v>
      </c>
      <c r="F1130" s="484" t="str">
        <f>'Character Sheet'!$K$9</f>
        <v/>
      </c>
      <c r="G1130" s="298" t="s">
        <v>477</v>
      </c>
      <c r="H1130" s="298" t="s">
        <v>295</v>
      </c>
      <c r="I1130" s="298" t="s">
        <v>1174</v>
      </c>
      <c r="J1130" s="298" t="s">
        <v>315</v>
      </c>
      <c r="K1130" s="298" t="s">
        <v>298</v>
      </c>
      <c r="L1130" s="298" t="s">
        <v>4524</v>
      </c>
      <c r="M1130" s="301" t="s">
        <v>315</v>
      </c>
      <c r="N1130" s="301" t="s">
        <v>315</v>
      </c>
      <c r="O1130" s="301" t="s">
        <v>315</v>
      </c>
      <c r="P1130" s="301" t="s">
        <v>5966</v>
      </c>
      <c r="Q1130" s="301" t="s">
        <v>5966</v>
      </c>
      <c r="R1130" s="301" t="s">
        <v>5966</v>
      </c>
      <c r="S1130" s="301" t="s">
        <v>5966</v>
      </c>
      <c r="T1130" s="301" t="s">
        <v>5966</v>
      </c>
      <c r="U1130" s="301" t="s">
        <v>5966</v>
      </c>
      <c r="V1130" s="301" t="s">
        <v>5966</v>
      </c>
      <c r="W1130" s="298" t="s">
        <v>315</v>
      </c>
      <c r="X1130" s="298" t="s">
        <v>306</v>
      </c>
    </row>
    <row r="1131">
      <c r="A1131" s="295" t="s">
        <v>5967</v>
      </c>
      <c r="B1131" s="298">
        <v>4.0</v>
      </c>
      <c r="C1131" s="298" t="s">
        <v>522</v>
      </c>
      <c r="D1131" s="298" t="s">
        <v>310</v>
      </c>
      <c r="E1131" s="298" t="s">
        <v>311</v>
      </c>
      <c r="F1131" s="484" t="str">
        <f>'Character Sheet'!$B$9</f>
        <v/>
      </c>
      <c r="G1131" s="298" t="s">
        <v>493</v>
      </c>
      <c r="H1131" s="298" t="s">
        <v>1278</v>
      </c>
      <c r="I1131" s="298" t="s">
        <v>315</v>
      </c>
      <c r="J1131" s="298" t="s">
        <v>315</v>
      </c>
      <c r="K1131" s="298" t="s">
        <v>675</v>
      </c>
      <c r="L1131" s="298" t="s">
        <v>4524</v>
      </c>
      <c r="M1131" s="301" t="s">
        <v>315</v>
      </c>
      <c r="N1131" s="301" t="s">
        <v>315</v>
      </c>
      <c r="O1131" s="301" t="s">
        <v>315</v>
      </c>
      <c r="P1131" s="301" t="s">
        <v>5968</v>
      </c>
      <c r="Q1131" s="301" t="s">
        <v>5968</v>
      </c>
      <c r="R1131" s="301" t="s">
        <v>5968</v>
      </c>
      <c r="S1131" s="301" t="s">
        <v>5968</v>
      </c>
      <c r="T1131" s="301" t="s">
        <v>5968</v>
      </c>
      <c r="U1131" s="301" t="s">
        <v>5968</v>
      </c>
      <c r="V1131" s="301" t="s">
        <v>5968</v>
      </c>
      <c r="W1131" s="298" t="s">
        <v>315</v>
      </c>
      <c r="X1131" s="298" t="s">
        <v>306</v>
      </c>
    </row>
    <row r="1132">
      <c r="A1132" s="295" t="s">
        <v>5969</v>
      </c>
      <c r="B1132" s="298">
        <v>4.0</v>
      </c>
      <c r="C1132" s="298" t="s">
        <v>288</v>
      </c>
      <c r="D1132" s="298" t="s">
        <v>359</v>
      </c>
      <c r="E1132" s="298" t="s">
        <v>311</v>
      </c>
      <c r="F1132" s="484" t="str">
        <f>'Character Sheet'!$C$9</f>
        <v/>
      </c>
      <c r="G1132" s="298" t="s">
        <v>294</v>
      </c>
      <c r="H1132" s="298" t="s">
        <v>360</v>
      </c>
      <c r="I1132" s="298" t="s">
        <v>296</v>
      </c>
      <c r="J1132" s="298" t="s">
        <v>192</v>
      </c>
      <c r="K1132" s="298" t="s">
        <v>424</v>
      </c>
      <c r="L1132" s="298" t="s">
        <v>4524</v>
      </c>
      <c r="M1132" s="301" t="s">
        <v>315</v>
      </c>
      <c r="N1132" s="301" t="s">
        <v>315</v>
      </c>
      <c r="O1132" s="301" t="s">
        <v>315</v>
      </c>
      <c r="P1132" s="301" t="s">
        <v>5970</v>
      </c>
      <c r="Q1132" s="301" t="s">
        <v>5970</v>
      </c>
      <c r="R1132" s="301" t="s">
        <v>5970</v>
      </c>
      <c r="S1132" s="301" t="s">
        <v>5970</v>
      </c>
      <c r="T1132" s="301" t="s">
        <v>5970</v>
      </c>
      <c r="U1132" s="301" t="s">
        <v>5970</v>
      </c>
      <c r="V1132" s="301" t="s">
        <v>5970</v>
      </c>
      <c r="W1132" s="298" t="s">
        <v>315</v>
      </c>
      <c r="X1132" s="298" t="s">
        <v>569</v>
      </c>
    </row>
    <row r="1133">
      <c r="A1133" s="295" t="s">
        <v>5971</v>
      </c>
      <c r="B1133" s="298">
        <v>4.0</v>
      </c>
      <c r="C1133" s="298" t="s">
        <v>432</v>
      </c>
      <c r="D1133" s="298" t="s">
        <v>310</v>
      </c>
      <c r="E1133" s="298" t="s">
        <v>290</v>
      </c>
      <c r="F1133" s="484" t="str">
        <f>'Character Sheet'!$C$9</f>
        <v/>
      </c>
      <c r="G1133" s="298" t="s">
        <v>294</v>
      </c>
      <c r="H1133" s="298" t="s">
        <v>360</v>
      </c>
      <c r="I1133" s="298" t="s">
        <v>1574</v>
      </c>
      <c r="J1133" s="298" t="s">
        <v>192</v>
      </c>
      <c r="K1133" s="298" t="s">
        <v>632</v>
      </c>
      <c r="L1133" s="298" t="s">
        <v>4524</v>
      </c>
      <c r="M1133" s="301" t="s">
        <v>315</v>
      </c>
      <c r="N1133" s="301" t="s">
        <v>315</v>
      </c>
      <c r="O1133" s="301" t="s">
        <v>315</v>
      </c>
      <c r="P1133" s="301" t="s">
        <v>5972</v>
      </c>
      <c r="Q1133" s="301" t="s">
        <v>5973</v>
      </c>
      <c r="R1133" s="301" t="s">
        <v>5974</v>
      </c>
      <c r="S1133" s="301" t="s">
        <v>5975</v>
      </c>
      <c r="T1133" s="301" t="s">
        <v>5976</v>
      </c>
      <c r="U1133" s="301" t="s">
        <v>5977</v>
      </c>
      <c r="V1133" s="301" t="s">
        <v>5978</v>
      </c>
      <c r="W1133" s="298" t="s">
        <v>315</v>
      </c>
      <c r="X1133" s="298" t="s">
        <v>569</v>
      </c>
    </row>
    <row r="1134">
      <c r="A1134" s="295" t="s">
        <v>5979</v>
      </c>
      <c r="B1134" s="298">
        <v>4.0</v>
      </c>
      <c r="C1134" s="298" t="s">
        <v>522</v>
      </c>
      <c r="D1134" s="298" t="s">
        <v>289</v>
      </c>
      <c r="E1134" s="298" t="s">
        <v>311</v>
      </c>
      <c r="F1134" s="484" t="str">
        <f>'Character Sheet'!$B$9</f>
        <v/>
      </c>
      <c r="G1134" s="298" t="s">
        <v>493</v>
      </c>
      <c r="H1134" s="298" t="s">
        <v>324</v>
      </c>
      <c r="I1134" s="298" t="s">
        <v>324</v>
      </c>
      <c r="J1134" s="298" t="s">
        <v>315</v>
      </c>
      <c r="K1134" s="298" t="s">
        <v>1174</v>
      </c>
      <c r="L1134" s="298" t="s">
        <v>4524</v>
      </c>
      <c r="M1134" s="301" t="s">
        <v>315</v>
      </c>
      <c r="N1134" s="301" t="s">
        <v>315</v>
      </c>
      <c r="O1134" s="301" t="s">
        <v>315</v>
      </c>
      <c r="P1134" s="301" t="s">
        <v>5980</v>
      </c>
      <c r="Q1134" s="301" t="s">
        <v>5980</v>
      </c>
      <c r="R1134" s="301" t="s">
        <v>5980</v>
      </c>
      <c r="S1134" s="301" t="s">
        <v>5980</v>
      </c>
      <c r="T1134" s="301" t="s">
        <v>5980</v>
      </c>
      <c r="U1134" s="301" t="s">
        <v>5980</v>
      </c>
      <c r="V1134" s="301" t="s">
        <v>5980</v>
      </c>
      <c r="W1134" s="298" t="s">
        <v>315</v>
      </c>
      <c r="X1134" s="298" t="s">
        <v>306</v>
      </c>
    </row>
    <row r="1135">
      <c r="A1135" s="295" t="s">
        <v>5981</v>
      </c>
      <c r="B1135" s="298">
        <v>4.0</v>
      </c>
      <c r="C1135" s="298" t="s">
        <v>522</v>
      </c>
      <c r="D1135" s="298" t="s">
        <v>359</v>
      </c>
      <c r="E1135" s="298" t="s">
        <v>311</v>
      </c>
      <c r="F1135" s="484" t="str">
        <f>'Character Sheet'!$B$9</f>
        <v/>
      </c>
      <c r="G1135" s="298" t="s">
        <v>477</v>
      </c>
      <c r="H1135" s="298" t="s">
        <v>295</v>
      </c>
      <c r="I1135" s="298" t="s">
        <v>296</v>
      </c>
      <c r="J1135" s="298" t="s">
        <v>315</v>
      </c>
      <c r="K1135" s="298" t="s">
        <v>478</v>
      </c>
      <c r="L1135" s="298" t="s">
        <v>4524</v>
      </c>
      <c r="M1135" s="301" t="s">
        <v>315</v>
      </c>
      <c r="N1135" s="301" t="s">
        <v>315</v>
      </c>
      <c r="O1135" s="301" t="s">
        <v>315</v>
      </c>
      <c r="P1135" s="301" t="s">
        <v>5982</v>
      </c>
      <c r="Q1135" s="301" t="s">
        <v>5982</v>
      </c>
      <c r="R1135" s="301" t="s">
        <v>5982</v>
      </c>
      <c r="S1135" s="301" t="s">
        <v>5982</v>
      </c>
      <c r="T1135" s="301" t="s">
        <v>5982</v>
      </c>
      <c r="U1135" s="301" t="s">
        <v>5982</v>
      </c>
      <c r="V1135" s="301" t="s">
        <v>5982</v>
      </c>
      <c r="W1135" s="298" t="s">
        <v>315</v>
      </c>
      <c r="X1135" s="298" t="s">
        <v>306</v>
      </c>
    </row>
    <row r="1136">
      <c r="A1136" s="295" t="s">
        <v>5983</v>
      </c>
      <c r="B1136" s="298">
        <v>4.0</v>
      </c>
      <c r="C1136" s="298" t="s">
        <v>432</v>
      </c>
      <c r="D1136" s="298" t="s">
        <v>462</v>
      </c>
      <c r="E1136" s="298" t="s">
        <v>311</v>
      </c>
      <c r="F1136" s="484" t="str">
        <f>'Character Sheet'!$E$9</f>
        <v/>
      </c>
      <c r="G1136" s="298" t="s">
        <v>674</v>
      </c>
      <c r="H1136" s="298" t="s">
        <v>335</v>
      </c>
      <c r="I1136" s="298" t="s">
        <v>1174</v>
      </c>
      <c r="J1136" s="298" t="s">
        <v>315</v>
      </c>
      <c r="K1136" s="298" t="s">
        <v>1174</v>
      </c>
      <c r="L1136" s="298" t="s">
        <v>4524</v>
      </c>
      <c r="M1136" s="301" t="s">
        <v>315</v>
      </c>
      <c r="N1136" s="301" t="s">
        <v>315</v>
      </c>
      <c r="O1136" s="301" t="s">
        <v>315</v>
      </c>
      <c r="P1136" s="301" t="s">
        <v>5984</v>
      </c>
      <c r="Q1136" s="301" t="s">
        <v>5984</v>
      </c>
      <c r="R1136" s="301" t="s">
        <v>5984</v>
      </c>
      <c r="S1136" s="301" t="s">
        <v>5984</v>
      </c>
      <c r="T1136" s="301" t="s">
        <v>5984</v>
      </c>
      <c r="U1136" s="301" t="s">
        <v>5984</v>
      </c>
      <c r="V1136" s="301" t="s">
        <v>5984</v>
      </c>
      <c r="W1136" s="298" t="s">
        <v>315</v>
      </c>
      <c r="X1136" s="298" t="s">
        <v>569</v>
      </c>
    </row>
    <row r="1137">
      <c r="A1137" s="341" t="s">
        <v>5985</v>
      </c>
      <c r="B1137" s="343">
        <v>4.0</v>
      </c>
      <c r="C1137" s="343" t="s">
        <v>522</v>
      </c>
      <c r="D1137" s="343" t="s">
        <v>359</v>
      </c>
      <c r="E1137" s="343" t="s">
        <v>311</v>
      </c>
      <c r="F1137" s="485" t="str">
        <f>'Character Sheet'!$K$9</f>
        <v/>
      </c>
      <c r="G1137" s="343" t="s">
        <v>477</v>
      </c>
      <c r="H1137" s="343" t="s">
        <v>313</v>
      </c>
      <c r="I1137" s="343" t="s">
        <v>780</v>
      </c>
      <c r="J1137" s="343" t="s">
        <v>315</v>
      </c>
      <c r="K1137" s="343" t="s">
        <v>298</v>
      </c>
      <c r="L1137" s="343" t="s">
        <v>4524</v>
      </c>
      <c r="M1137" s="344" t="s">
        <v>315</v>
      </c>
      <c r="N1137" s="344" t="s">
        <v>315</v>
      </c>
      <c r="O1137" s="344" t="s">
        <v>315</v>
      </c>
      <c r="P1137" s="344" t="s">
        <v>5986</v>
      </c>
      <c r="Q1137" s="344" t="s">
        <v>5986</v>
      </c>
      <c r="R1137" s="344" t="s">
        <v>5986</v>
      </c>
      <c r="S1137" s="344" t="s">
        <v>5986</v>
      </c>
      <c r="T1137" s="344" t="s">
        <v>5986</v>
      </c>
      <c r="U1137" s="344" t="s">
        <v>5986</v>
      </c>
      <c r="V1137" s="344" t="s">
        <v>5986</v>
      </c>
      <c r="W1137" s="343" t="s">
        <v>315</v>
      </c>
      <c r="X1137" s="343" t="s">
        <v>306</v>
      </c>
    </row>
    <row r="1138">
      <c r="A1138" s="295" t="s">
        <v>5987</v>
      </c>
      <c r="B1138" s="298">
        <v>5.0</v>
      </c>
      <c r="C1138" s="298" t="s">
        <v>522</v>
      </c>
      <c r="D1138" s="298" t="s">
        <v>289</v>
      </c>
      <c r="E1138" s="298" t="s">
        <v>290</v>
      </c>
      <c r="F1138" s="484" t="str">
        <f>'Character Sheet'!$C$9</f>
        <v/>
      </c>
      <c r="G1138" s="298" t="s">
        <v>294</v>
      </c>
      <c r="H1138" s="298" t="s">
        <v>324</v>
      </c>
      <c r="I1138" s="298" t="s">
        <v>360</v>
      </c>
      <c r="J1138" s="298" t="s">
        <v>407</v>
      </c>
      <c r="K1138" s="298" t="s">
        <v>298</v>
      </c>
      <c r="L1138" s="298" t="s">
        <v>4524</v>
      </c>
      <c r="M1138" s="301" t="s">
        <v>315</v>
      </c>
      <c r="N1138" s="301" t="s">
        <v>315</v>
      </c>
      <c r="O1138" s="301" t="s">
        <v>315</v>
      </c>
      <c r="P1138" s="301" t="s">
        <v>315</v>
      </c>
      <c r="Q1138" s="301" t="s">
        <v>5988</v>
      </c>
      <c r="R1138" s="301" t="s">
        <v>5989</v>
      </c>
      <c r="S1138" s="301" t="s">
        <v>5990</v>
      </c>
      <c r="T1138" s="301" t="s">
        <v>5991</v>
      </c>
      <c r="U1138" s="301" t="s">
        <v>5992</v>
      </c>
      <c r="V1138" s="301" t="s">
        <v>5993</v>
      </c>
      <c r="W1138" s="298" t="s">
        <v>315</v>
      </c>
      <c r="X1138" s="298" t="s">
        <v>306</v>
      </c>
    </row>
    <row r="1139">
      <c r="A1139" s="295" t="s">
        <v>5994</v>
      </c>
      <c r="B1139" s="298">
        <v>5.0</v>
      </c>
      <c r="C1139" s="298" t="s">
        <v>522</v>
      </c>
      <c r="D1139" s="298" t="s">
        <v>421</v>
      </c>
      <c r="E1139" s="298" t="s">
        <v>311</v>
      </c>
      <c r="F1139" s="484" t="str">
        <f>'Character Sheet'!$K$9</f>
        <v/>
      </c>
      <c r="G1139" s="298" t="s">
        <v>493</v>
      </c>
      <c r="H1139" s="298" t="s">
        <v>352</v>
      </c>
      <c r="I1139" s="298" t="s">
        <v>296</v>
      </c>
      <c r="J1139" s="298" t="s">
        <v>315</v>
      </c>
      <c r="K1139" s="298" t="s">
        <v>298</v>
      </c>
      <c r="L1139" s="298" t="s">
        <v>4524</v>
      </c>
      <c r="M1139" s="301" t="s">
        <v>315</v>
      </c>
      <c r="N1139" s="301" t="s">
        <v>315</v>
      </c>
      <c r="O1139" s="301" t="s">
        <v>315</v>
      </c>
      <c r="P1139" s="301" t="s">
        <v>315</v>
      </c>
      <c r="Q1139" s="301" t="s">
        <v>5995</v>
      </c>
      <c r="R1139" s="301" t="s">
        <v>5995</v>
      </c>
      <c r="S1139" s="301" t="s">
        <v>5995</v>
      </c>
      <c r="T1139" s="301" t="s">
        <v>5995</v>
      </c>
      <c r="U1139" s="301" t="s">
        <v>5995</v>
      </c>
      <c r="V1139" s="301" t="s">
        <v>5995</v>
      </c>
      <c r="W1139" s="298" t="s">
        <v>315</v>
      </c>
      <c r="X1139" s="298" t="s">
        <v>306</v>
      </c>
    </row>
    <row r="1140">
      <c r="A1140" s="295" t="s">
        <v>5996</v>
      </c>
      <c r="B1140" s="298">
        <v>5.0</v>
      </c>
      <c r="C1140" s="298" t="s">
        <v>522</v>
      </c>
      <c r="D1140" s="298" t="s">
        <v>334</v>
      </c>
      <c r="E1140" s="298" t="s">
        <v>290</v>
      </c>
      <c r="F1140" s="484" t="str">
        <f>'Character Sheet'!$B$9</f>
        <v/>
      </c>
      <c r="G1140" s="298" t="s">
        <v>493</v>
      </c>
      <c r="H1140" s="298" t="s">
        <v>295</v>
      </c>
      <c r="I1140" s="298" t="s">
        <v>5485</v>
      </c>
      <c r="J1140" s="298" t="s">
        <v>315</v>
      </c>
      <c r="K1140" s="298" t="s">
        <v>478</v>
      </c>
      <c r="L1140" s="298" t="s">
        <v>4524</v>
      </c>
      <c r="M1140" s="301" t="s">
        <v>315</v>
      </c>
      <c r="N1140" s="301" t="s">
        <v>315</v>
      </c>
      <c r="O1140" s="301" t="s">
        <v>315</v>
      </c>
      <c r="P1140" s="301" t="s">
        <v>315</v>
      </c>
      <c r="Q1140" s="301" t="s">
        <v>5997</v>
      </c>
      <c r="R1140" s="301" t="s">
        <v>5997</v>
      </c>
      <c r="S1140" s="301" t="s">
        <v>5998</v>
      </c>
      <c r="T1140" s="301" t="s">
        <v>5998</v>
      </c>
      <c r="U1140" s="301" t="s">
        <v>5999</v>
      </c>
      <c r="V1140" s="301" t="s">
        <v>5999</v>
      </c>
      <c r="W1140" s="298" t="s">
        <v>315</v>
      </c>
      <c r="X1140" s="298" t="s">
        <v>306</v>
      </c>
    </row>
    <row r="1141">
      <c r="A1141" s="295" t="s">
        <v>6000</v>
      </c>
      <c r="B1141" s="298">
        <v>5.0</v>
      </c>
      <c r="C1141" s="298" t="s">
        <v>522</v>
      </c>
      <c r="D1141" s="298" t="s">
        <v>334</v>
      </c>
      <c r="E1141" s="298" t="s">
        <v>311</v>
      </c>
      <c r="F1141" s="484" t="str">
        <f>'Character Sheet'!$C$9</f>
        <v/>
      </c>
      <c r="G1141" s="298" t="s">
        <v>294</v>
      </c>
      <c r="H1141" s="298" t="s">
        <v>335</v>
      </c>
      <c r="I1141" s="298" t="s">
        <v>296</v>
      </c>
      <c r="J1141" s="298" t="s">
        <v>1953</v>
      </c>
      <c r="K1141" s="298" t="s">
        <v>298</v>
      </c>
      <c r="L1141" s="298" t="s">
        <v>4524</v>
      </c>
      <c r="M1141" s="301" t="s">
        <v>315</v>
      </c>
      <c r="N1141" s="301" t="s">
        <v>315</v>
      </c>
      <c r="O1141" s="301" t="s">
        <v>315</v>
      </c>
      <c r="P1141" s="301" t="s">
        <v>315</v>
      </c>
      <c r="Q1141" s="301" t="s">
        <v>6001</v>
      </c>
      <c r="R1141" s="301" t="s">
        <v>6001</v>
      </c>
      <c r="S1141" s="301" t="s">
        <v>6001</v>
      </c>
      <c r="T1141" s="301" t="s">
        <v>6001</v>
      </c>
      <c r="U1141" s="301" t="s">
        <v>6001</v>
      </c>
      <c r="V1141" s="301" t="s">
        <v>6001</v>
      </c>
      <c r="W1141" s="298" t="s">
        <v>315</v>
      </c>
      <c r="X1141" s="298" t="s">
        <v>5001</v>
      </c>
    </row>
    <row r="1142">
      <c r="A1142" s="295" t="s">
        <v>6002</v>
      </c>
      <c r="B1142" s="298">
        <v>5.0</v>
      </c>
      <c r="C1142" s="298" t="s">
        <v>522</v>
      </c>
      <c r="D1142" s="298" t="s">
        <v>289</v>
      </c>
      <c r="E1142" s="298" t="s">
        <v>290</v>
      </c>
      <c r="F1142" s="484" t="str">
        <f>'Character Sheet'!$C$9</f>
        <v/>
      </c>
      <c r="G1142" s="298" t="s">
        <v>294</v>
      </c>
      <c r="H1142" s="298" t="s">
        <v>324</v>
      </c>
      <c r="I1142" s="298" t="s">
        <v>2607</v>
      </c>
      <c r="J1142" s="298" t="s">
        <v>180</v>
      </c>
      <c r="K1142" s="298" t="s">
        <v>424</v>
      </c>
      <c r="L1142" s="298" t="s">
        <v>4524</v>
      </c>
      <c r="M1142" s="301" t="s">
        <v>315</v>
      </c>
      <c r="N1142" s="301" t="s">
        <v>315</v>
      </c>
      <c r="O1142" s="301" t="s">
        <v>315</v>
      </c>
      <c r="P1142" s="301" t="s">
        <v>315</v>
      </c>
      <c r="Q1142" s="301" t="s">
        <v>6003</v>
      </c>
      <c r="R1142" s="301" t="s">
        <v>6004</v>
      </c>
      <c r="S1142" s="301" t="s">
        <v>6005</v>
      </c>
      <c r="T1142" s="301" t="s">
        <v>6006</v>
      </c>
      <c r="U1142" s="301" t="s">
        <v>6007</v>
      </c>
      <c r="V1142" s="301" t="s">
        <v>6008</v>
      </c>
      <c r="W1142" s="298" t="s">
        <v>315</v>
      </c>
      <c r="X1142" s="298" t="s">
        <v>678</v>
      </c>
    </row>
    <row r="1143">
      <c r="A1143" s="295" t="s">
        <v>6009</v>
      </c>
      <c r="B1143" s="298">
        <v>5.0</v>
      </c>
      <c r="C1143" s="298" t="s">
        <v>522</v>
      </c>
      <c r="D1143" s="298" t="s">
        <v>334</v>
      </c>
      <c r="E1143" s="298" t="s">
        <v>290</v>
      </c>
      <c r="F1143" s="484" t="str">
        <f>'Character Sheet'!$C$9</f>
        <v/>
      </c>
      <c r="G1143" s="298" t="s">
        <v>294</v>
      </c>
      <c r="H1143" s="298" t="s">
        <v>295</v>
      </c>
      <c r="I1143" s="298" t="s">
        <v>296</v>
      </c>
      <c r="J1143" s="298" t="s">
        <v>173</v>
      </c>
      <c r="K1143" s="298" t="s">
        <v>424</v>
      </c>
      <c r="L1143" s="298" t="s">
        <v>4524</v>
      </c>
      <c r="M1143" s="301" t="s">
        <v>315</v>
      </c>
      <c r="N1143" s="301" t="s">
        <v>315</v>
      </c>
      <c r="O1143" s="301" t="s">
        <v>315</v>
      </c>
      <c r="P1143" s="301" t="s">
        <v>315</v>
      </c>
      <c r="Q1143" s="301" t="s">
        <v>6010</v>
      </c>
      <c r="R1143" s="301" t="s">
        <v>6011</v>
      </c>
      <c r="S1143" s="301" t="s">
        <v>6012</v>
      </c>
      <c r="T1143" s="301" t="s">
        <v>6013</v>
      </c>
      <c r="U1143" s="301" t="s">
        <v>6014</v>
      </c>
      <c r="V1143" s="301" t="s">
        <v>6015</v>
      </c>
      <c r="W1143" s="298" t="s">
        <v>315</v>
      </c>
      <c r="X1143" s="298" t="s">
        <v>678</v>
      </c>
    </row>
    <row r="1144">
      <c r="A1144" s="295" t="s">
        <v>6016</v>
      </c>
      <c r="B1144" s="298">
        <v>5.0</v>
      </c>
      <c r="C1144" s="298" t="s">
        <v>522</v>
      </c>
      <c r="D1144" s="298" t="s">
        <v>289</v>
      </c>
      <c r="E1144" s="298" t="s">
        <v>311</v>
      </c>
      <c r="F1144" s="484" t="str">
        <f>'Character Sheet'!$C$9</f>
        <v/>
      </c>
      <c r="G1144" s="298" t="s">
        <v>294</v>
      </c>
      <c r="H1144" s="298" t="s">
        <v>324</v>
      </c>
      <c r="I1144" s="298" t="s">
        <v>1413</v>
      </c>
      <c r="J1144" s="298" t="s">
        <v>315</v>
      </c>
      <c r="K1144" s="298" t="s">
        <v>1174</v>
      </c>
      <c r="L1144" s="298" t="s">
        <v>4524</v>
      </c>
      <c r="M1144" s="301" t="s">
        <v>315</v>
      </c>
      <c r="N1144" s="301" t="s">
        <v>315</v>
      </c>
      <c r="O1144" s="301" t="s">
        <v>315</v>
      </c>
      <c r="P1144" s="301" t="s">
        <v>315</v>
      </c>
      <c r="Q1144" s="301" t="s">
        <v>6017</v>
      </c>
      <c r="R1144" s="301" t="s">
        <v>6017</v>
      </c>
      <c r="S1144" s="301" t="s">
        <v>6017</v>
      </c>
      <c r="T1144" s="301" t="s">
        <v>6017</v>
      </c>
      <c r="U1144" s="301" t="s">
        <v>6017</v>
      </c>
      <c r="V1144" s="301" t="s">
        <v>6017</v>
      </c>
      <c r="W1144" s="298" t="s">
        <v>315</v>
      </c>
      <c r="X1144" s="298" t="s">
        <v>678</v>
      </c>
    </row>
    <row r="1145">
      <c r="A1145" s="295" t="s">
        <v>6018</v>
      </c>
      <c r="B1145" s="298">
        <v>5.0</v>
      </c>
      <c r="C1145" s="298" t="s">
        <v>522</v>
      </c>
      <c r="D1145" s="298" t="s">
        <v>462</v>
      </c>
      <c r="E1145" s="298" t="s">
        <v>290</v>
      </c>
      <c r="F1145" s="484" t="str">
        <f>'Character Sheet'!$C$9</f>
        <v/>
      </c>
      <c r="G1145" s="298" t="s">
        <v>294</v>
      </c>
      <c r="H1145" s="298" t="s">
        <v>324</v>
      </c>
      <c r="I1145" s="298" t="s">
        <v>324</v>
      </c>
      <c r="J1145" s="298" t="s">
        <v>315</v>
      </c>
      <c r="K1145" s="298" t="s">
        <v>632</v>
      </c>
      <c r="L1145" s="298" t="s">
        <v>4524</v>
      </c>
      <c r="M1145" s="301" t="s">
        <v>315</v>
      </c>
      <c r="N1145" s="301" t="s">
        <v>315</v>
      </c>
      <c r="O1145" s="301" t="s">
        <v>315</v>
      </c>
      <c r="P1145" s="301" t="s">
        <v>315</v>
      </c>
      <c r="Q1145" s="301" t="s">
        <v>6019</v>
      </c>
      <c r="R1145" s="301" t="s">
        <v>6019</v>
      </c>
      <c r="S1145" s="301" t="s">
        <v>6019</v>
      </c>
      <c r="T1145" s="301" t="s">
        <v>6020</v>
      </c>
      <c r="U1145" s="301" t="s">
        <v>6021</v>
      </c>
      <c r="V1145" s="301" t="s">
        <v>6021</v>
      </c>
      <c r="W1145" s="298" t="s">
        <v>315</v>
      </c>
      <c r="X1145" s="298" t="s">
        <v>306</v>
      </c>
    </row>
    <row r="1146">
      <c r="A1146" s="295" t="s">
        <v>6022</v>
      </c>
      <c r="B1146" s="298">
        <v>5.0</v>
      </c>
      <c r="C1146" s="298" t="s">
        <v>522</v>
      </c>
      <c r="D1146" s="298" t="s">
        <v>289</v>
      </c>
      <c r="E1146" s="298" t="s">
        <v>290</v>
      </c>
      <c r="F1146" s="484" t="str">
        <f>'Character Sheet'!$C$9</f>
        <v/>
      </c>
      <c r="G1146" s="298" t="s">
        <v>294</v>
      </c>
      <c r="H1146" s="298" t="s">
        <v>1174</v>
      </c>
      <c r="I1146" s="298" t="s">
        <v>1174</v>
      </c>
      <c r="J1146" s="298" t="s">
        <v>407</v>
      </c>
      <c r="K1146" s="298" t="s">
        <v>298</v>
      </c>
      <c r="L1146" s="298" t="s">
        <v>4524</v>
      </c>
      <c r="M1146" s="301" t="s">
        <v>315</v>
      </c>
      <c r="N1146" s="301" t="s">
        <v>315</v>
      </c>
      <c r="O1146" s="301" t="s">
        <v>315</v>
      </c>
      <c r="P1146" s="301" t="s">
        <v>315</v>
      </c>
      <c r="Q1146" s="301" t="s">
        <v>6023</v>
      </c>
      <c r="R1146" s="301" t="s">
        <v>6024</v>
      </c>
      <c r="S1146" s="301" t="s">
        <v>6025</v>
      </c>
      <c r="T1146" s="301" t="s">
        <v>6026</v>
      </c>
      <c r="U1146" s="301" t="s">
        <v>6027</v>
      </c>
      <c r="V1146" s="301" t="s">
        <v>6028</v>
      </c>
      <c r="W1146" s="298" t="s">
        <v>315</v>
      </c>
      <c r="X1146" s="298" t="s">
        <v>306</v>
      </c>
    </row>
    <row r="1147">
      <c r="A1147" s="295" t="s">
        <v>6029</v>
      </c>
      <c r="B1147" s="298">
        <v>5.0</v>
      </c>
      <c r="C1147" s="298" t="s">
        <v>522</v>
      </c>
      <c r="D1147" s="298" t="s">
        <v>421</v>
      </c>
      <c r="E1147" s="298" t="s">
        <v>290</v>
      </c>
      <c r="F1147" s="484" t="str">
        <f>'Character Sheet'!$C$9</f>
        <v/>
      </c>
      <c r="G1147" s="298" t="s">
        <v>294</v>
      </c>
      <c r="H1147" s="298" t="s">
        <v>324</v>
      </c>
      <c r="I1147" s="298" t="s">
        <v>2777</v>
      </c>
      <c r="J1147" s="298" t="s">
        <v>203</v>
      </c>
      <c r="K1147" s="298" t="s">
        <v>632</v>
      </c>
      <c r="L1147" s="298" t="s">
        <v>4524</v>
      </c>
      <c r="M1147" s="301" t="s">
        <v>315</v>
      </c>
      <c r="N1147" s="301" t="s">
        <v>315</v>
      </c>
      <c r="O1147" s="301" t="s">
        <v>315</v>
      </c>
      <c r="P1147" s="301" t="s">
        <v>315</v>
      </c>
      <c r="Q1147" s="301" t="s">
        <v>6030</v>
      </c>
      <c r="R1147" s="301" t="s">
        <v>6030</v>
      </c>
      <c r="S1147" s="301" t="s">
        <v>6031</v>
      </c>
      <c r="T1147" s="301" t="s">
        <v>6031</v>
      </c>
      <c r="U1147" s="301" t="s">
        <v>6032</v>
      </c>
      <c r="V1147" s="301" t="s">
        <v>6032</v>
      </c>
      <c r="W1147" s="298" t="s">
        <v>315</v>
      </c>
      <c r="X1147" s="298" t="s">
        <v>678</v>
      </c>
    </row>
    <row r="1148">
      <c r="A1148" s="295" t="s">
        <v>6033</v>
      </c>
      <c r="B1148" s="298">
        <v>5.0</v>
      </c>
      <c r="C1148" s="298" t="s">
        <v>522</v>
      </c>
      <c r="D1148" s="298" t="s">
        <v>321</v>
      </c>
      <c r="E1148" s="298" t="s">
        <v>311</v>
      </c>
      <c r="F1148" s="484" t="str">
        <f>'Character Sheet'!$C$9</f>
        <v/>
      </c>
      <c r="G1148" s="298" t="s">
        <v>294</v>
      </c>
      <c r="H1148" s="298" t="s">
        <v>295</v>
      </c>
      <c r="I1148" s="298" t="s">
        <v>1174</v>
      </c>
      <c r="J1148" s="298" t="s">
        <v>315</v>
      </c>
      <c r="K1148" s="298" t="s">
        <v>325</v>
      </c>
      <c r="L1148" s="298" t="s">
        <v>4524</v>
      </c>
      <c r="M1148" s="301" t="s">
        <v>315</v>
      </c>
      <c r="N1148" s="301" t="s">
        <v>315</v>
      </c>
      <c r="O1148" s="301" t="s">
        <v>315</v>
      </c>
      <c r="P1148" s="301" t="s">
        <v>315</v>
      </c>
      <c r="Q1148" s="301" t="s">
        <v>6034</v>
      </c>
      <c r="R1148" s="301" t="s">
        <v>6035</v>
      </c>
      <c r="S1148" s="301" t="s">
        <v>6036</v>
      </c>
      <c r="T1148" s="301" t="s">
        <v>6036</v>
      </c>
      <c r="U1148" s="301" t="s">
        <v>6036</v>
      </c>
      <c r="V1148" s="301" t="s">
        <v>6036</v>
      </c>
      <c r="W1148" s="298" t="s">
        <v>315</v>
      </c>
      <c r="X1148" s="298" t="s">
        <v>306</v>
      </c>
    </row>
    <row r="1149">
      <c r="A1149" s="295" t="s">
        <v>6037</v>
      </c>
      <c r="B1149" s="298">
        <v>5.0</v>
      </c>
      <c r="C1149" s="298" t="s">
        <v>432</v>
      </c>
      <c r="D1149" s="298" t="s">
        <v>289</v>
      </c>
      <c r="E1149" s="298" t="s">
        <v>290</v>
      </c>
      <c r="F1149" s="484" t="str">
        <f>'Character Sheet'!$C$9</f>
        <v/>
      </c>
      <c r="G1149" s="298" t="s">
        <v>294</v>
      </c>
      <c r="H1149" s="298" t="s">
        <v>295</v>
      </c>
      <c r="I1149" s="298" t="s">
        <v>296</v>
      </c>
      <c r="J1149" s="298" t="s">
        <v>173</v>
      </c>
      <c r="K1149" s="298" t="s">
        <v>632</v>
      </c>
      <c r="L1149" s="298" t="s">
        <v>4524</v>
      </c>
      <c r="M1149" s="301" t="s">
        <v>315</v>
      </c>
      <c r="N1149" s="301" t="s">
        <v>315</v>
      </c>
      <c r="O1149" s="301" t="s">
        <v>315</v>
      </c>
      <c r="P1149" s="301" t="s">
        <v>315</v>
      </c>
      <c r="Q1149" s="301" t="s">
        <v>6038</v>
      </c>
      <c r="R1149" s="301" t="s">
        <v>6039</v>
      </c>
      <c r="S1149" s="301" t="s">
        <v>6040</v>
      </c>
      <c r="T1149" s="301" t="s">
        <v>6041</v>
      </c>
      <c r="U1149" s="301" t="s">
        <v>6042</v>
      </c>
      <c r="V1149" s="301" t="s">
        <v>6043</v>
      </c>
      <c r="W1149" s="298" t="s">
        <v>315</v>
      </c>
      <c r="X1149" s="298" t="s">
        <v>815</v>
      </c>
    </row>
    <row r="1150">
      <c r="A1150" s="295" t="s">
        <v>6044</v>
      </c>
      <c r="B1150" s="298">
        <v>5.0</v>
      </c>
      <c r="C1150" s="298" t="s">
        <v>522</v>
      </c>
      <c r="D1150" s="298" t="s">
        <v>334</v>
      </c>
      <c r="E1150" s="298" t="s">
        <v>290</v>
      </c>
      <c r="F1150" s="484" t="str">
        <f>'Character Sheet'!$C$9</f>
        <v/>
      </c>
      <c r="G1150" s="298" t="s">
        <v>294</v>
      </c>
      <c r="H1150" s="298" t="s">
        <v>360</v>
      </c>
      <c r="I1150" s="298" t="s">
        <v>1000</v>
      </c>
      <c r="J1150" s="298" t="s">
        <v>180</v>
      </c>
      <c r="K1150" s="298" t="s">
        <v>298</v>
      </c>
      <c r="L1150" s="298" t="s">
        <v>4524</v>
      </c>
      <c r="M1150" s="301" t="s">
        <v>315</v>
      </c>
      <c r="N1150" s="301" t="s">
        <v>315</v>
      </c>
      <c r="O1150" s="301" t="s">
        <v>315</v>
      </c>
      <c r="P1150" s="301" t="s">
        <v>315</v>
      </c>
      <c r="Q1150" s="301" t="s">
        <v>6045</v>
      </c>
      <c r="R1150" s="301" t="s">
        <v>6046</v>
      </c>
      <c r="S1150" s="301" t="s">
        <v>6047</v>
      </c>
      <c r="T1150" s="301" t="s">
        <v>6048</v>
      </c>
      <c r="U1150" s="301" t="s">
        <v>6049</v>
      </c>
      <c r="V1150" s="301" t="s">
        <v>6050</v>
      </c>
      <c r="W1150" s="298" t="s">
        <v>315</v>
      </c>
      <c r="X1150" s="298" t="s">
        <v>306</v>
      </c>
    </row>
    <row r="1151">
      <c r="A1151" s="295" t="s">
        <v>6051</v>
      </c>
      <c r="B1151" s="298">
        <v>5.0</v>
      </c>
      <c r="C1151" s="298" t="s">
        <v>522</v>
      </c>
      <c r="D1151" s="298" t="s">
        <v>289</v>
      </c>
      <c r="E1151" s="298" t="s">
        <v>290</v>
      </c>
      <c r="F1151" s="484" t="str">
        <f>'Character Sheet'!$C$9</f>
        <v/>
      </c>
      <c r="G1151" s="298" t="s">
        <v>294</v>
      </c>
      <c r="H1151" s="298" t="s">
        <v>360</v>
      </c>
      <c r="I1151" s="298" t="s">
        <v>3633</v>
      </c>
      <c r="J1151" s="298" t="s">
        <v>407</v>
      </c>
      <c r="K1151" s="298" t="s">
        <v>298</v>
      </c>
      <c r="L1151" s="298" t="s">
        <v>4524</v>
      </c>
      <c r="M1151" s="301" t="s">
        <v>315</v>
      </c>
      <c r="N1151" s="301" t="s">
        <v>315</v>
      </c>
      <c r="O1151" s="301" t="s">
        <v>315</v>
      </c>
      <c r="P1151" s="301" t="s">
        <v>315</v>
      </c>
      <c r="Q1151" s="301" t="s">
        <v>6052</v>
      </c>
      <c r="R1151" s="301" t="s">
        <v>6053</v>
      </c>
      <c r="S1151" s="301" t="s">
        <v>6054</v>
      </c>
      <c r="T1151" s="301" t="s">
        <v>6055</v>
      </c>
      <c r="U1151" s="301" t="s">
        <v>6056</v>
      </c>
      <c r="V1151" s="301" t="s">
        <v>6057</v>
      </c>
      <c r="W1151" s="298" t="s">
        <v>315</v>
      </c>
      <c r="X1151" s="298" t="s">
        <v>306</v>
      </c>
    </row>
    <row r="1152">
      <c r="A1152" s="295" t="s">
        <v>6058</v>
      </c>
      <c r="B1152" s="298">
        <v>5.0</v>
      </c>
      <c r="C1152" s="298" t="s">
        <v>522</v>
      </c>
      <c r="D1152" s="298" t="s">
        <v>310</v>
      </c>
      <c r="E1152" s="298" t="s">
        <v>311</v>
      </c>
      <c r="F1152" s="484" t="str">
        <f>'Character Sheet'!$B$9</f>
        <v/>
      </c>
      <c r="G1152" s="298" t="s">
        <v>477</v>
      </c>
      <c r="H1152" s="298" t="s">
        <v>295</v>
      </c>
      <c r="I1152" s="298" t="s">
        <v>296</v>
      </c>
      <c r="J1152" s="298" t="s">
        <v>315</v>
      </c>
      <c r="K1152" s="298" t="s">
        <v>325</v>
      </c>
      <c r="L1152" s="298" t="s">
        <v>4524</v>
      </c>
      <c r="M1152" s="301" t="s">
        <v>315</v>
      </c>
      <c r="N1152" s="301" t="s">
        <v>315</v>
      </c>
      <c r="O1152" s="301" t="s">
        <v>315</v>
      </c>
      <c r="P1152" s="301" t="s">
        <v>315</v>
      </c>
      <c r="Q1152" s="301" t="s">
        <v>6059</v>
      </c>
      <c r="R1152" s="301" t="s">
        <v>6059</v>
      </c>
      <c r="S1152" s="301" t="s">
        <v>6059</v>
      </c>
      <c r="T1152" s="301" t="s">
        <v>6059</v>
      </c>
      <c r="U1152" s="301" t="s">
        <v>6059</v>
      </c>
      <c r="V1152" s="301" t="s">
        <v>6059</v>
      </c>
      <c r="W1152" s="298" t="s">
        <v>315</v>
      </c>
      <c r="X1152" s="298" t="s">
        <v>678</v>
      </c>
    </row>
    <row r="1153">
      <c r="A1153" s="295" t="s">
        <v>6060</v>
      </c>
      <c r="B1153" s="298">
        <v>5.0</v>
      </c>
      <c r="C1153" s="298" t="s">
        <v>522</v>
      </c>
      <c r="D1153" s="298" t="s">
        <v>289</v>
      </c>
      <c r="E1153" s="298" t="s">
        <v>311</v>
      </c>
      <c r="F1153" s="484" t="str">
        <f>'Character Sheet'!$B$9</f>
        <v/>
      </c>
      <c r="G1153" s="298" t="s">
        <v>477</v>
      </c>
      <c r="H1153" s="298" t="s">
        <v>295</v>
      </c>
      <c r="I1153" s="298" t="s">
        <v>5485</v>
      </c>
      <c r="J1153" s="298" t="s">
        <v>192</v>
      </c>
      <c r="K1153" s="298" t="s">
        <v>478</v>
      </c>
      <c r="L1153" s="298" t="s">
        <v>4524</v>
      </c>
      <c r="M1153" s="301" t="s">
        <v>315</v>
      </c>
      <c r="N1153" s="301" t="s">
        <v>315</v>
      </c>
      <c r="O1153" s="301" t="s">
        <v>315</v>
      </c>
      <c r="P1153" s="301" t="s">
        <v>315</v>
      </c>
      <c r="Q1153" s="301" t="s">
        <v>6061</v>
      </c>
      <c r="R1153" s="301" t="s">
        <v>6061</v>
      </c>
      <c r="S1153" s="301" t="s">
        <v>6061</v>
      </c>
      <c r="T1153" s="301" t="s">
        <v>6061</v>
      </c>
      <c r="U1153" s="301" t="s">
        <v>6061</v>
      </c>
      <c r="V1153" s="301" t="s">
        <v>6061</v>
      </c>
      <c r="W1153" s="298" t="s">
        <v>315</v>
      </c>
      <c r="X1153" s="298" t="s">
        <v>306</v>
      </c>
    </row>
    <row r="1154">
      <c r="A1154" s="295" t="s">
        <v>6062</v>
      </c>
      <c r="B1154" s="298">
        <v>5.0</v>
      </c>
      <c r="C1154" s="298" t="s">
        <v>522</v>
      </c>
      <c r="D1154" s="298" t="s">
        <v>359</v>
      </c>
      <c r="E1154" s="298" t="s">
        <v>290</v>
      </c>
      <c r="F1154" s="484" t="str">
        <f>'Character Sheet'!$B$9</f>
        <v/>
      </c>
      <c r="G1154" s="298" t="s">
        <v>477</v>
      </c>
      <c r="H1154" s="298" t="s">
        <v>295</v>
      </c>
      <c r="I1154" s="298" t="s">
        <v>296</v>
      </c>
      <c r="J1154" s="298" t="s">
        <v>192</v>
      </c>
      <c r="K1154" s="298" t="s">
        <v>478</v>
      </c>
      <c r="L1154" s="298" t="s">
        <v>4524</v>
      </c>
      <c r="M1154" s="301" t="s">
        <v>315</v>
      </c>
      <c r="N1154" s="301" t="s">
        <v>315</v>
      </c>
      <c r="O1154" s="301" t="s">
        <v>315</v>
      </c>
      <c r="P1154" s="301" t="s">
        <v>315</v>
      </c>
      <c r="Q1154" s="301" t="s">
        <v>6063</v>
      </c>
      <c r="R1154" s="301" t="s">
        <v>6063</v>
      </c>
      <c r="S1154" s="301" t="s">
        <v>6063</v>
      </c>
      <c r="T1154" s="301" t="s">
        <v>6064</v>
      </c>
      <c r="U1154" s="301" t="s">
        <v>6064</v>
      </c>
      <c r="V1154" s="301" t="s">
        <v>6064</v>
      </c>
      <c r="W1154" s="298" t="s">
        <v>315</v>
      </c>
      <c r="X1154" s="298" t="s">
        <v>678</v>
      </c>
    </row>
    <row r="1155">
      <c r="A1155" s="295" t="s">
        <v>6065</v>
      </c>
      <c r="B1155" s="298">
        <v>5.0</v>
      </c>
      <c r="C1155" s="298" t="s">
        <v>522</v>
      </c>
      <c r="D1155" s="298" t="s">
        <v>334</v>
      </c>
      <c r="E1155" s="298" t="s">
        <v>311</v>
      </c>
      <c r="F1155" s="484" t="str">
        <f>'Character Sheet'!$K$9</f>
        <v/>
      </c>
      <c r="G1155" s="298" t="s">
        <v>493</v>
      </c>
      <c r="H1155" s="298" t="s">
        <v>360</v>
      </c>
      <c r="I1155" s="298" t="s">
        <v>296</v>
      </c>
      <c r="J1155" s="298" t="s">
        <v>315</v>
      </c>
      <c r="K1155" s="298" t="s">
        <v>298</v>
      </c>
      <c r="L1155" s="298" t="s">
        <v>4524</v>
      </c>
      <c r="M1155" s="301" t="s">
        <v>315</v>
      </c>
      <c r="N1155" s="301" t="s">
        <v>315</v>
      </c>
      <c r="O1155" s="301" t="s">
        <v>315</v>
      </c>
      <c r="P1155" s="301" t="s">
        <v>315</v>
      </c>
      <c r="Q1155" s="301" t="s">
        <v>6066</v>
      </c>
      <c r="R1155" s="301" t="s">
        <v>6066</v>
      </c>
      <c r="S1155" s="301" t="s">
        <v>6066</v>
      </c>
      <c r="T1155" s="301" t="s">
        <v>6066</v>
      </c>
      <c r="U1155" s="301" t="s">
        <v>6066</v>
      </c>
      <c r="V1155" s="301" t="s">
        <v>6066</v>
      </c>
      <c r="W1155" s="298" t="s">
        <v>315</v>
      </c>
      <c r="X1155" s="298" t="s">
        <v>678</v>
      </c>
    </row>
    <row r="1156">
      <c r="A1156" s="295" t="s">
        <v>6067</v>
      </c>
      <c r="B1156" s="298">
        <v>5.0</v>
      </c>
      <c r="C1156" s="298" t="s">
        <v>432</v>
      </c>
      <c r="D1156" s="298" t="s">
        <v>334</v>
      </c>
      <c r="E1156" s="298" t="s">
        <v>290</v>
      </c>
      <c r="F1156" s="484" t="str">
        <f>'Character Sheet'!$C$9</f>
        <v/>
      </c>
      <c r="G1156" s="298" t="s">
        <v>294</v>
      </c>
      <c r="H1156" s="298" t="s">
        <v>352</v>
      </c>
      <c r="I1156" s="298" t="s">
        <v>296</v>
      </c>
      <c r="J1156" s="298" t="s">
        <v>192</v>
      </c>
      <c r="K1156" s="298" t="s">
        <v>1174</v>
      </c>
      <c r="L1156" s="298" t="s">
        <v>4524</v>
      </c>
      <c r="M1156" s="301" t="s">
        <v>315</v>
      </c>
      <c r="N1156" s="301" t="s">
        <v>315</v>
      </c>
      <c r="O1156" s="301" t="s">
        <v>315</v>
      </c>
      <c r="P1156" s="301" t="s">
        <v>315</v>
      </c>
      <c r="Q1156" s="301" t="s">
        <v>6068</v>
      </c>
      <c r="R1156" s="301" t="s">
        <v>6068</v>
      </c>
      <c r="S1156" s="301" t="s">
        <v>6068</v>
      </c>
      <c r="T1156" s="301" t="s">
        <v>6068</v>
      </c>
      <c r="U1156" s="301" t="s">
        <v>6069</v>
      </c>
      <c r="V1156" s="301" t="s">
        <v>6069</v>
      </c>
      <c r="W1156" s="298" t="s">
        <v>315</v>
      </c>
      <c r="X1156" s="298" t="s">
        <v>569</v>
      </c>
    </row>
    <row r="1157">
      <c r="A1157" s="295" t="s">
        <v>6070</v>
      </c>
      <c r="B1157" s="298">
        <v>5.0</v>
      </c>
      <c r="C1157" s="27" t="s">
        <v>522</v>
      </c>
      <c r="D1157" s="27" t="s">
        <v>334</v>
      </c>
      <c r="E1157" s="27" t="s">
        <v>311</v>
      </c>
      <c r="F1157" s="484" t="str">
        <f>'Character Sheet'!$C$9</f>
        <v/>
      </c>
      <c r="G1157" s="298" t="s">
        <v>294</v>
      </c>
      <c r="H1157" s="27" t="s">
        <v>295</v>
      </c>
      <c r="I1157" s="27" t="s">
        <v>296</v>
      </c>
      <c r="J1157" s="27" t="s">
        <v>315</v>
      </c>
      <c r="K1157" s="27" t="s">
        <v>298</v>
      </c>
      <c r="L1157" s="298" t="s">
        <v>4524</v>
      </c>
      <c r="M1157" s="301" t="s">
        <v>315</v>
      </c>
      <c r="N1157" s="301" t="s">
        <v>315</v>
      </c>
      <c r="O1157" s="301" t="s">
        <v>315</v>
      </c>
      <c r="P1157" s="301" t="s">
        <v>315</v>
      </c>
      <c r="Q1157" s="27" t="s">
        <v>6072</v>
      </c>
      <c r="R1157" s="27" t="s">
        <v>6072</v>
      </c>
      <c r="S1157" s="27" t="s">
        <v>6072</v>
      </c>
      <c r="T1157" s="27" t="s">
        <v>6072</v>
      </c>
      <c r="U1157" s="27" t="s">
        <v>6072</v>
      </c>
      <c r="V1157" s="27" t="s">
        <v>6072</v>
      </c>
      <c r="W1157" s="298" t="s">
        <v>315</v>
      </c>
      <c r="X1157" s="27" t="s">
        <v>678</v>
      </c>
    </row>
    <row r="1158">
      <c r="A1158" s="295" t="s">
        <v>6073</v>
      </c>
      <c r="B1158" s="298">
        <v>5.0</v>
      </c>
      <c r="C1158" s="298" t="s">
        <v>522</v>
      </c>
      <c r="D1158" s="298" t="s">
        <v>151</v>
      </c>
      <c r="E1158" s="298" t="s">
        <v>290</v>
      </c>
      <c r="F1158" s="484" t="str">
        <f>'Character Sheet'!$C$9</f>
        <v/>
      </c>
      <c r="G1158" s="298" t="s">
        <v>294</v>
      </c>
      <c r="H1158" s="298" t="s">
        <v>352</v>
      </c>
      <c r="I1158" s="298" t="s">
        <v>324</v>
      </c>
      <c r="J1158" s="298" t="s">
        <v>315</v>
      </c>
      <c r="K1158" s="298" t="s">
        <v>298</v>
      </c>
      <c r="L1158" s="298" t="s">
        <v>4524</v>
      </c>
      <c r="M1158" s="301" t="s">
        <v>315</v>
      </c>
      <c r="N1158" s="301" t="s">
        <v>315</v>
      </c>
      <c r="O1158" s="301" t="s">
        <v>315</v>
      </c>
      <c r="P1158" s="301" t="s">
        <v>315</v>
      </c>
      <c r="Q1158" s="301" t="s">
        <v>6074</v>
      </c>
      <c r="R1158" s="301" t="s">
        <v>6074</v>
      </c>
      <c r="S1158" s="301" t="s">
        <v>6074</v>
      </c>
      <c r="T1158" s="301" t="s">
        <v>6075</v>
      </c>
      <c r="U1158" s="301" t="s">
        <v>6075</v>
      </c>
      <c r="V1158" s="301" t="s">
        <v>6075</v>
      </c>
      <c r="W1158" s="298" t="s">
        <v>315</v>
      </c>
      <c r="X1158" s="298" t="s">
        <v>678</v>
      </c>
    </row>
    <row r="1159">
      <c r="A1159" s="295" t="s">
        <v>6076</v>
      </c>
      <c r="B1159" s="298">
        <v>5.0</v>
      </c>
      <c r="C1159" s="298" t="s">
        <v>432</v>
      </c>
      <c r="D1159" s="298" t="s">
        <v>334</v>
      </c>
      <c r="E1159" s="298" t="s">
        <v>311</v>
      </c>
      <c r="F1159" s="484" t="str">
        <f>'Character Sheet'!$B$9</f>
        <v/>
      </c>
      <c r="G1159" s="298" t="s">
        <v>477</v>
      </c>
      <c r="H1159" s="298" t="s">
        <v>324</v>
      </c>
      <c r="I1159" s="298" t="s">
        <v>324</v>
      </c>
      <c r="J1159" s="298" t="s">
        <v>315</v>
      </c>
      <c r="K1159" s="298" t="s">
        <v>632</v>
      </c>
      <c r="L1159" s="298" t="s">
        <v>4524</v>
      </c>
      <c r="M1159" s="301" t="s">
        <v>315</v>
      </c>
      <c r="N1159" s="301" t="s">
        <v>315</v>
      </c>
      <c r="O1159" s="301" t="s">
        <v>315</v>
      </c>
      <c r="P1159" s="301" t="s">
        <v>315</v>
      </c>
      <c r="Q1159" s="301" t="s">
        <v>6077</v>
      </c>
      <c r="R1159" s="301" t="s">
        <v>6077</v>
      </c>
      <c r="S1159" s="301" t="s">
        <v>6077</v>
      </c>
      <c r="T1159" s="301" t="s">
        <v>6077</v>
      </c>
      <c r="U1159" s="301" t="s">
        <v>6077</v>
      </c>
      <c r="V1159" s="301" t="s">
        <v>6077</v>
      </c>
      <c r="W1159" s="298" t="s">
        <v>315</v>
      </c>
      <c r="X1159" s="298" t="s">
        <v>815</v>
      </c>
    </row>
    <row r="1160">
      <c r="A1160" s="295" t="s">
        <v>6078</v>
      </c>
      <c r="B1160" s="298">
        <v>5.0</v>
      </c>
      <c r="C1160" s="298" t="s">
        <v>522</v>
      </c>
      <c r="D1160" s="298" t="s">
        <v>334</v>
      </c>
      <c r="E1160" s="298" t="s">
        <v>290</v>
      </c>
      <c r="F1160" s="484" t="str">
        <f>'Character Sheet'!$K$9</f>
        <v/>
      </c>
      <c r="G1160" s="298" t="s">
        <v>477</v>
      </c>
      <c r="H1160" s="298" t="s">
        <v>295</v>
      </c>
      <c r="I1160" s="298" t="s">
        <v>296</v>
      </c>
      <c r="J1160" s="298" t="s">
        <v>315</v>
      </c>
      <c r="K1160" s="298" t="s">
        <v>298</v>
      </c>
      <c r="L1160" s="298" t="s">
        <v>4524</v>
      </c>
      <c r="M1160" s="301" t="s">
        <v>315</v>
      </c>
      <c r="N1160" s="301" t="s">
        <v>315</v>
      </c>
      <c r="O1160" s="301" t="s">
        <v>315</v>
      </c>
      <c r="P1160" s="301" t="s">
        <v>315</v>
      </c>
      <c r="Q1160" s="301" t="s">
        <v>6079</v>
      </c>
      <c r="R1160" s="301" t="s">
        <v>6079</v>
      </c>
      <c r="S1160" s="301" t="s">
        <v>6080</v>
      </c>
      <c r="T1160" s="301" t="s">
        <v>6080</v>
      </c>
      <c r="U1160" s="301" t="s">
        <v>6081</v>
      </c>
      <c r="V1160" s="301" t="s">
        <v>6081</v>
      </c>
      <c r="W1160" s="298" t="s">
        <v>315</v>
      </c>
      <c r="X1160" s="298" t="s">
        <v>678</v>
      </c>
    </row>
    <row r="1161">
      <c r="A1161" s="295" t="s">
        <v>6082</v>
      </c>
      <c r="B1161" s="298">
        <v>5.0</v>
      </c>
      <c r="C1161" s="298" t="s">
        <v>522</v>
      </c>
      <c r="D1161" s="298" t="s">
        <v>421</v>
      </c>
      <c r="E1161" s="298" t="s">
        <v>290</v>
      </c>
      <c r="F1161" s="484" t="str">
        <f>'Character Sheet'!$N$9</f>
        <v/>
      </c>
      <c r="G1161" s="298" t="s">
        <v>674</v>
      </c>
      <c r="H1161" s="298" t="s">
        <v>324</v>
      </c>
      <c r="I1161" s="298" t="s">
        <v>324</v>
      </c>
      <c r="J1161" s="298" t="s">
        <v>315</v>
      </c>
      <c r="K1161" s="298" t="s">
        <v>424</v>
      </c>
      <c r="L1161" s="298" t="s">
        <v>4524</v>
      </c>
      <c r="M1161" s="301" t="s">
        <v>315</v>
      </c>
      <c r="N1161" s="301" t="s">
        <v>315</v>
      </c>
      <c r="O1161" s="301" t="s">
        <v>315</v>
      </c>
      <c r="P1161" s="301" t="s">
        <v>315</v>
      </c>
      <c r="Q1161" s="301" t="s">
        <v>6083</v>
      </c>
      <c r="R1161" s="301" t="s">
        <v>6084</v>
      </c>
      <c r="S1161" s="301" t="s">
        <v>6085</v>
      </c>
      <c r="T1161" s="301" t="s">
        <v>6086</v>
      </c>
      <c r="U1161" s="301" t="s">
        <v>6087</v>
      </c>
      <c r="V1161" s="301" t="s">
        <v>6088</v>
      </c>
      <c r="W1161" s="298" t="s">
        <v>315</v>
      </c>
      <c r="X1161" s="298" t="s">
        <v>2920</v>
      </c>
    </row>
    <row r="1162">
      <c r="A1162" s="295" t="s">
        <v>6089</v>
      </c>
      <c r="B1162" s="298">
        <v>5.0</v>
      </c>
      <c r="C1162" s="298" t="s">
        <v>522</v>
      </c>
      <c r="D1162" s="298" t="s">
        <v>289</v>
      </c>
      <c r="E1162" s="298" t="s">
        <v>290</v>
      </c>
      <c r="F1162" s="484" t="str">
        <f>'Character Sheet'!$K$9</f>
        <v/>
      </c>
      <c r="G1162" s="298" t="s">
        <v>477</v>
      </c>
      <c r="H1162" s="298" t="s">
        <v>335</v>
      </c>
      <c r="I1162" s="298" t="s">
        <v>296</v>
      </c>
      <c r="J1162" s="298" t="s">
        <v>173</v>
      </c>
      <c r="K1162" s="298" t="s">
        <v>298</v>
      </c>
      <c r="L1162" s="298" t="s">
        <v>4524</v>
      </c>
      <c r="M1162" s="301" t="s">
        <v>315</v>
      </c>
      <c r="N1162" s="301" t="s">
        <v>315</v>
      </c>
      <c r="O1162" s="301" t="s">
        <v>315</v>
      </c>
      <c r="P1162" s="301" t="s">
        <v>315</v>
      </c>
      <c r="Q1162" s="301" t="s">
        <v>6090</v>
      </c>
      <c r="R1162" s="301" t="s">
        <v>6091</v>
      </c>
      <c r="S1162" s="301" t="s">
        <v>6092</v>
      </c>
      <c r="T1162" s="301" t="s">
        <v>6093</v>
      </c>
      <c r="U1162" s="301" t="s">
        <v>6094</v>
      </c>
      <c r="V1162" s="301" t="s">
        <v>6095</v>
      </c>
      <c r="W1162" s="298" t="s">
        <v>315</v>
      </c>
      <c r="X1162" s="298" t="s">
        <v>3877</v>
      </c>
    </row>
    <row r="1163">
      <c r="A1163" s="295" t="s">
        <v>6096</v>
      </c>
      <c r="B1163" s="298">
        <v>5.0</v>
      </c>
      <c r="C1163" s="298" t="s">
        <v>522</v>
      </c>
      <c r="D1163" s="298" t="s">
        <v>421</v>
      </c>
      <c r="E1163" s="298" t="s">
        <v>290</v>
      </c>
      <c r="F1163" s="484" t="str">
        <f>'Character Sheet'!$C$9</f>
        <v/>
      </c>
      <c r="G1163" s="298" t="s">
        <v>294</v>
      </c>
      <c r="H1163" s="298" t="s">
        <v>295</v>
      </c>
      <c r="I1163" s="298" t="s">
        <v>780</v>
      </c>
      <c r="J1163" s="298" t="s">
        <v>315</v>
      </c>
      <c r="K1163" s="298" t="s">
        <v>298</v>
      </c>
      <c r="L1163" s="298" t="s">
        <v>4524</v>
      </c>
      <c r="M1163" s="301" t="s">
        <v>315</v>
      </c>
      <c r="N1163" s="301" t="s">
        <v>315</v>
      </c>
      <c r="O1163" s="301" t="s">
        <v>315</v>
      </c>
      <c r="P1163" s="301" t="s">
        <v>315</v>
      </c>
      <c r="Q1163" s="301" t="s">
        <v>6097</v>
      </c>
      <c r="R1163" s="301" t="s">
        <v>6097</v>
      </c>
      <c r="S1163" s="301" t="s">
        <v>6097</v>
      </c>
      <c r="T1163" s="301" t="s">
        <v>6097</v>
      </c>
      <c r="U1163" s="301" t="s">
        <v>6098</v>
      </c>
      <c r="V1163" s="301" t="s">
        <v>6098</v>
      </c>
      <c r="W1163" s="298" t="s">
        <v>315</v>
      </c>
      <c r="X1163" s="298" t="s">
        <v>678</v>
      </c>
    </row>
    <row r="1164">
      <c r="A1164" s="295" t="s">
        <v>6099</v>
      </c>
      <c r="B1164" s="298">
        <v>5.0</v>
      </c>
      <c r="C1164" s="298" t="s">
        <v>522</v>
      </c>
      <c r="D1164" s="298" t="s">
        <v>151</v>
      </c>
      <c r="E1164" s="298" t="s">
        <v>311</v>
      </c>
      <c r="F1164" s="484" t="str">
        <f>'Character Sheet'!$C$9</f>
        <v/>
      </c>
      <c r="G1164" s="298" t="s">
        <v>294</v>
      </c>
      <c r="H1164" s="298" t="s">
        <v>6100</v>
      </c>
      <c r="I1164" s="298" t="s">
        <v>324</v>
      </c>
      <c r="J1164" s="298" t="s">
        <v>315</v>
      </c>
      <c r="K1164" s="298" t="s">
        <v>298</v>
      </c>
      <c r="L1164" s="298" t="s">
        <v>4524</v>
      </c>
      <c r="M1164" s="301" t="s">
        <v>315</v>
      </c>
      <c r="N1164" s="301" t="s">
        <v>315</v>
      </c>
      <c r="O1164" s="301" t="s">
        <v>315</v>
      </c>
      <c r="P1164" s="301" t="s">
        <v>315</v>
      </c>
      <c r="Q1164" s="301" t="s">
        <v>6101</v>
      </c>
      <c r="R1164" s="301" t="s">
        <v>6101</v>
      </c>
      <c r="S1164" s="301" t="s">
        <v>6101</v>
      </c>
      <c r="T1164" s="301" t="s">
        <v>6101</v>
      </c>
      <c r="U1164" s="301" t="s">
        <v>6101</v>
      </c>
      <c r="V1164" s="301" t="s">
        <v>6101</v>
      </c>
      <c r="W1164" s="298" t="s">
        <v>315</v>
      </c>
      <c r="X1164" s="298" t="s">
        <v>678</v>
      </c>
    </row>
    <row r="1165">
      <c r="A1165" s="295" t="s">
        <v>6102</v>
      </c>
      <c r="B1165" s="298">
        <v>5.0</v>
      </c>
      <c r="C1165" s="298" t="s">
        <v>522</v>
      </c>
      <c r="D1165" s="298" t="s">
        <v>310</v>
      </c>
      <c r="E1165" s="298" t="s">
        <v>290</v>
      </c>
      <c r="F1165" s="484" t="str">
        <f>'Character Sheet'!$B$9</f>
        <v/>
      </c>
      <c r="G1165" s="298" t="s">
        <v>477</v>
      </c>
      <c r="H1165" s="298" t="s">
        <v>324</v>
      </c>
      <c r="I1165" s="298" t="s">
        <v>324</v>
      </c>
      <c r="J1165" s="298" t="s">
        <v>315</v>
      </c>
      <c r="K1165" s="298" t="s">
        <v>632</v>
      </c>
      <c r="L1165" s="298" t="s">
        <v>4524</v>
      </c>
      <c r="M1165" s="301" t="s">
        <v>315</v>
      </c>
      <c r="N1165" s="301" t="s">
        <v>315</v>
      </c>
      <c r="O1165" s="301" t="s">
        <v>315</v>
      </c>
      <c r="P1165" s="301" t="s">
        <v>315</v>
      </c>
      <c r="Q1165" s="301" t="s">
        <v>6103</v>
      </c>
      <c r="R1165" s="301" t="s">
        <v>6104</v>
      </c>
      <c r="S1165" s="301" t="s">
        <v>6105</v>
      </c>
      <c r="T1165" s="301" t="s">
        <v>6106</v>
      </c>
      <c r="U1165" s="301" t="s">
        <v>6107</v>
      </c>
      <c r="V1165" s="301" t="s">
        <v>6108</v>
      </c>
      <c r="W1165" s="298" t="s">
        <v>315</v>
      </c>
      <c r="X1165" s="298" t="s">
        <v>3877</v>
      </c>
    </row>
    <row r="1166">
      <c r="A1166" s="295" t="s">
        <v>6109</v>
      </c>
      <c r="B1166" s="298">
        <v>5.0</v>
      </c>
      <c r="C1166" s="298" t="s">
        <v>522</v>
      </c>
      <c r="D1166" s="298" t="s">
        <v>421</v>
      </c>
      <c r="E1166" s="298" t="s">
        <v>290</v>
      </c>
      <c r="F1166" s="484" t="str">
        <f>'Character Sheet'!$K$9</f>
        <v/>
      </c>
      <c r="G1166" s="298" t="s">
        <v>477</v>
      </c>
      <c r="H1166" s="298" t="s">
        <v>324</v>
      </c>
      <c r="I1166" s="298" t="s">
        <v>324</v>
      </c>
      <c r="J1166" s="298" t="s">
        <v>315</v>
      </c>
      <c r="K1166" s="298" t="s">
        <v>298</v>
      </c>
      <c r="L1166" s="298" t="s">
        <v>4524</v>
      </c>
      <c r="M1166" s="301" t="s">
        <v>315</v>
      </c>
      <c r="N1166" s="301" t="s">
        <v>315</v>
      </c>
      <c r="O1166" s="301" t="s">
        <v>315</v>
      </c>
      <c r="P1166" s="301" t="s">
        <v>315</v>
      </c>
      <c r="Q1166" s="301" t="s">
        <v>6110</v>
      </c>
      <c r="R1166" s="301" t="s">
        <v>6110</v>
      </c>
      <c r="S1166" s="301" t="s">
        <v>6110</v>
      </c>
      <c r="T1166" s="301" t="s">
        <v>6110</v>
      </c>
      <c r="U1166" s="301" t="s">
        <v>6110</v>
      </c>
      <c r="V1166" s="301" t="s">
        <v>6110</v>
      </c>
      <c r="W1166" s="298" t="s">
        <v>315</v>
      </c>
      <c r="X1166" s="298" t="s">
        <v>3877</v>
      </c>
    </row>
    <row r="1167">
      <c r="A1167" s="295" t="s">
        <v>6111</v>
      </c>
      <c r="B1167" s="298">
        <v>5.0</v>
      </c>
      <c r="C1167" s="298" t="s">
        <v>522</v>
      </c>
      <c r="D1167" s="298" t="s">
        <v>289</v>
      </c>
      <c r="E1167" s="298" t="s">
        <v>311</v>
      </c>
      <c r="F1167" s="484" t="str">
        <f>'Character Sheet'!$C$9</f>
        <v/>
      </c>
      <c r="G1167" s="298" t="s">
        <v>294</v>
      </c>
      <c r="H1167" s="298" t="s">
        <v>324</v>
      </c>
      <c r="I1167" s="298" t="s">
        <v>324</v>
      </c>
      <c r="J1167" s="298" t="s">
        <v>173</v>
      </c>
      <c r="K1167" s="298" t="s">
        <v>298</v>
      </c>
      <c r="L1167" s="298" t="s">
        <v>4524</v>
      </c>
      <c r="M1167" s="301" t="s">
        <v>315</v>
      </c>
      <c r="N1167" s="301" t="s">
        <v>315</v>
      </c>
      <c r="O1167" s="301" t="s">
        <v>315</v>
      </c>
      <c r="P1167" s="301" t="s">
        <v>315</v>
      </c>
      <c r="Q1167" s="301" t="s">
        <v>6112</v>
      </c>
      <c r="R1167" s="301" t="s">
        <v>6112</v>
      </c>
      <c r="S1167" s="301" t="s">
        <v>6112</v>
      </c>
      <c r="T1167" s="301" t="s">
        <v>6112</v>
      </c>
      <c r="U1167" s="301" t="s">
        <v>6112</v>
      </c>
      <c r="V1167" s="301" t="s">
        <v>6112</v>
      </c>
      <c r="W1167" s="298" t="s">
        <v>315</v>
      </c>
      <c r="X1167" s="298" t="s">
        <v>3877</v>
      </c>
    </row>
    <row r="1168">
      <c r="A1168" s="295" t="s">
        <v>6113</v>
      </c>
      <c r="B1168" s="298">
        <v>5.0</v>
      </c>
      <c r="C1168" s="298" t="s">
        <v>522</v>
      </c>
      <c r="D1168" s="298" t="s">
        <v>462</v>
      </c>
      <c r="E1168" s="298" t="s">
        <v>290</v>
      </c>
      <c r="F1168" s="484" t="str">
        <f>'Character Sheet'!$B$9</f>
        <v/>
      </c>
      <c r="G1168" s="298" t="s">
        <v>477</v>
      </c>
      <c r="H1168" s="298" t="s">
        <v>324</v>
      </c>
      <c r="I1168" s="298" t="s">
        <v>2607</v>
      </c>
      <c r="J1168" s="298" t="s">
        <v>407</v>
      </c>
      <c r="K1168" s="298" t="s">
        <v>298</v>
      </c>
      <c r="L1168" s="298" t="s">
        <v>4524</v>
      </c>
      <c r="M1168" s="301" t="s">
        <v>315</v>
      </c>
      <c r="N1168" s="301" t="s">
        <v>315</v>
      </c>
      <c r="O1168" s="301" t="s">
        <v>315</v>
      </c>
      <c r="P1168" s="301" t="s">
        <v>315</v>
      </c>
      <c r="Q1168" s="301" t="s">
        <v>6114</v>
      </c>
      <c r="R1168" s="301" t="s">
        <v>6115</v>
      </c>
      <c r="S1168" s="301" t="s">
        <v>6116</v>
      </c>
      <c r="T1168" s="301" t="s">
        <v>6117</v>
      </c>
      <c r="U1168" s="301" t="s">
        <v>6118</v>
      </c>
      <c r="V1168" s="301" t="s">
        <v>6119</v>
      </c>
      <c r="W1168" s="298" t="s">
        <v>315</v>
      </c>
      <c r="X1168" s="298" t="s">
        <v>3877</v>
      </c>
    </row>
    <row r="1169">
      <c r="A1169" s="295" t="s">
        <v>6120</v>
      </c>
      <c r="B1169" s="298">
        <v>5.0</v>
      </c>
      <c r="C1169" s="298" t="s">
        <v>522</v>
      </c>
      <c r="D1169" s="298" t="s">
        <v>462</v>
      </c>
      <c r="E1169" s="298" t="s">
        <v>290</v>
      </c>
      <c r="F1169" s="484" t="str">
        <f>'Character Sheet'!$B$9</f>
        <v/>
      </c>
      <c r="G1169" s="298" t="s">
        <v>493</v>
      </c>
      <c r="H1169" s="298" t="s">
        <v>324</v>
      </c>
      <c r="I1169" s="298" t="s">
        <v>324</v>
      </c>
      <c r="J1169" s="298" t="s">
        <v>315</v>
      </c>
      <c r="K1169" s="298" t="s">
        <v>632</v>
      </c>
      <c r="L1169" s="298" t="s">
        <v>4524</v>
      </c>
      <c r="M1169" s="301" t="s">
        <v>315</v>
      </c>
      <c r="N1169" s="301" t="s">
        <v>315</v>
      </c>
      <c r="O1169" s="301" t="s">
        <v>315</v>
      </c>
      <c r="P1169" s="301" t="s">
        <v>315</v>
      </c>
      <c r="Q1169" s="301" t="s">
        <v>6121</v>
      </c>
      <c r="R1169" s="301" t="s">
        <v>6121</v>
      </c>
      <c r="S1169" s="301" t="s">
        <v>6122</v>
      </c>
      <c r="T1169" s="301" t="s">
        <v>6122</v>
      </c>
      <c r="U1169" s="301" t="s">
        <v>6123</v>
      </c>
      <c r="V1169" s="301" t="s">
        <v>6123</v>
      </c>
      <c r="W1169" s="298" t="s">
        <v>315</v>
      </c>
      <c r="X1169" s="298" t="s">
        <v>306</v>
      </c>
    </row>
    <row r="1170">
      <c r="A1170" s="295" t="s">
        <v>6124</v>
      </c>
      <c r="B1170" s="298">
        <v>5.0</v>
      </c>
      <c r="C1170" s="298" t="s">
        <v>522</v>
      </c>
      <c r="D1170" s="298" t="s">
        <v>462</v>
      </c>
      <c r="E1170" s="298" t="s">
        <v>290</v>
      </c>
      <c r="F1170" s="484" t="str">
        <f>'Character Sheet'!$B$9</f>
        <v/>
      </c>
      <c r="G1170" s="298" t="s">
        <v>477</v>
      </c>
      <c r="H1170" s="298" t="s">
        <v>324</v>
      </c>
      <c r="I1170" s="298" t="s">
        <v>324</v>
      </c>
      <c r="J1170" s="298" t="s">
        <v>315</v>
      </c>
      <c r="K1170" s="298" t="s">
        <v>632</v>
      </c>
      <c r="L1170" s="298" t="s">
        <v>4524</v>
      </c>
      <c r="M1170" s="301" t="s">
        <v>315</v>
      </c>
      <c r="N1170" s="301" t="s">
        <v>315</v>
      </c>
      <c r="O1170" s="301" t="s">
        <v>315</v>
      </c>
      <c r="P1170" s="301" t="s">
        <v>315</v>
      </c>
      <c r="Q1170" s="301" t="s">
        <v>6125</v>
      </c>
      <c r="R1170" s="301" t="s">
        <v>6126</v>
      </c>
      <c r="S1170" s="301" t="s">
        <v>6126</v>
      </c>
      <c r="T1170" s="301" t="s">
        <v>6126</v>
      </c>
      <c r="U1170" s="301" t="s">
        <v>6126</v>
      </c>
      <c r="V1170" s="301" t="s">
        <v>6126</v>
      </c>
      <c r="W1170" s="298" t="s">
        <v>315</v>
      </c>
      <c r="X1170" s="298" t="s">
        <v>306</v>
      </c>
    </row>
    <row r="1171">
      <c r="A1171" s="295" t="s">
        <v>6127</v>
      </c>
      <c r="B1171" s="298">
        <v>5.0</v>
      </c>
      <c r="C1171" s="298" t="s">
        <v>522</v>
      </c>
      <c r="D1171" s="298" t="s">
        <v>462</v>
      </c>
      <c r="E1171" s="298" t="s">
        <v>290</v>
      </c>
      <c r="F1171" s="484" t="str">
        <f>'Character Sheet'!$C$9</f>
        <v/>
      </c>
      <c r="G1171" s="298" t="s">
        <v>294</v>
      </c>
      <c r="H1171" s="298" t="s">
        <v>360</v>
      </c>
      <c r="I1171" s="298" t="s">
        <v>296</v>
      </c>
      <c r="J1171" s="298" t="s">
        <v>192</v>
      </c>
      <c r="K1171" s="298" t="s">
        <v>1174</v>
      </c>
      <c r="L1171" s="298" t="s">
        <v>4524</v>
      </c>
      <c r="M1171" s="301" t="s">
        <v>315</v>
      </c>
      <c r="N1171" s="301" t="s">
        <v>315</v>
      </c>
      <c r="O1171" s="301" t="s">
        <v>315</v>
      </c>
      <c r="P1171" s="301" t="s">
        <v>315</v>
      </c>
      <c r="Q1171" s="301" t="s">
        <v>6128</v>
      </c>
      <c r="R1171" s="301" t="s">
        <v>6129</v>
      </c>
      <c r="S1171" s="301" t="s">
        <v>6130</v>
      </c>
      <c r="T1171" s="301" t="s">
        <v>6131</v>
      </c>
      <c r="U1171" s="301" t="s">
        <v>6132</v>
      </c>
      <c r="V1171" s="301" t="s">
        <v>6133</v>
      </c>
      <c r="W1171" s="298" t="s">
        <v>315</v>
      </c>
      <c r="X1171" s="298" t="s">
        <v>678</v>
      </c>
    </row>
    <row r="1172">
      <c r="A1172" s="295" t="s">
        <v>6134</v>
      </c>
      <c r="B1172" s="298">
        <v>5.0</v>
      </c>
      <c r="C1172" s="298" t="s">
        <v>522</v>
      </c>
      <c r="D1172" s="298" t="s">
        <v>289</v>
      </c>
      <c r="E1172" s="298" t="s">
        <v>290</v>
      </c>
      <c r="F1172" s="484" t="str">
        <f>'Character Sheet'!$N$9</f>
        <v/>
      </c>
      <c r="G1172" s="298" t="s">
        <v>294</v>
      </c>
      <c r="H1172" s="298" t="s">
        <v>324</v>
      </c>
      <c r="I1172" s="298" t="s">
        <v>2304</v>
      </c>
      <c r="J1172" s="298" t="s">
        <v>407</v>
      </c>
      <c r="K1172" s="298" t="s">
        <v>298</v>
      </c>
      <c r="L1172" s="298" t="s">
        <v>4524</v>
      </c>
      <c r="M1172" s="301" t="s">
        <v>315</v>
      </c>
      <c r="N1172" s="301" t="s">
        <v>315</v>
      </c>
      <c r="O1172" s="301" t="s">
        <v>315</v>
      </c>
      <c r="P1172" s="301" t="s">
        <v>315</v>
      </c>
      <c r="Q1172" s="301" t="s">
        <v>6135</v>
      </c>
      <c r="R1172" s="301" t="s">
        <v>6135</v>
      </c>
      <c r="S1172" s="301" t="s">
        <v>6136</v>
      </c>
      <c r="T1172" s="301" t="s">
        <v>6136</v>
      </c>
      <c r="U1172" s="301" t="s">
        <v>6137</v>
      </c>
      <c r="V1172" s="301" t="s">
        <v>6137</v>
      </c>
      <c r="W1172" s="298" t="s">
        <v>315</v>
      </c>
      <c r="X1172" s="298" t="s">
        <v>3771</v>
      </c>
    </row>
    <row r="1173">
      <c r="A1173" s="341" t="s">
        <v>6138</v>
      </c>
      <c r="B1173" s="343">
        <v>5.0</v>
      </c>
      <c r="C1173" s="343" t="s">
        <v>522</v>
      </c>
      <c r="D1173" s="343" t="s">
        <v>359</v>
      </c>
      <c r="E1173" s="343" t="s">
        <v>290</v>
      </c>
      <c r="F1173" s="485" t="str">
        <f>'Character Sheet'!$C$9</f>
        <v/>
      </c>
      <c r="G1173" s="343" t="s">
        <v>294</v>
      </c>
      <c r="H1173" s="343" t="s">
        <v>295</v>
      </c>
      <c r="I1173" s="343" t="s">
        <v>296</v>
      </c>
      <c r="J1173" s="343" t="s">
        <v>192</v>
      </c>
      <c r="K1173" s="343" t="s">
        <v>478</v>
      </c>
      <c r="L1173" s="343" t="s">
        <v>4524</v>
      </c>
      <c r="M1173" s="344" t="s">
        <v>315</v>
      </c>
      <c r="N1173" s="344" t="s">
        <v>315</v>
      </c>
      <c r="O1173" s="344" t="s">
        <v>315</v>
      </c>
      <c r="P1173" s="344" t="s">
        <v>315</v>
      </c>
      <c r="Q1173" s="344" t="s">
        <v>6139</v>
      </c>
      <c r="R1173" s="344" t="s">
        <v>6139</v>
      </c>
      <c r="S1173" s="344" t="s">
        <v>6140</v>
      </c>
      <c r="T1173" s="344" t="s">
        <v>6140</v>
      </c>
      <c r="U1173" s="344" t="s">
        <v>6140</v>
      </c>
      <c r="V1173" s="344" t="s">
        <v>6140</v>
      </c>
      <c r="W1173" s="343" t="s">
        <v>315</v>
      </c>
      <c r="X1173" s="343" t="s">
        <v>306</v>
      </c>
    </row>
    <row r="1174">
      <c r="A1174" s="295" t="s">
        <v>6141</v>
      </c>
      <c r="B1174" s="298">
        <v>6.0</v>
      </c>
      <c r="C1174" s="298" t="s">
        <v>522</v>
      </c>
      <c r="D1174" s="298" t="s">
        <v>462</v>
      </c>
      <c r="E1174" s="298" t="s">
        <v>290</v>
      </c>
      <c r="F1174" s="484" t="str">
        <f>'Character Sheet'!$C$9</f>
        <v/>
      </c>
      <c r="G1174" s="298" t="s">
        <v>294</v>
      </c>
      <c r="H1174" s="298" t="s">
        <v>324</v>
      </c>
      <c r="I1174" s="298" t="s">
        <v>324</v>
      </c>
      <c r="J1174" s="298" t="s">
        <v>315</v>
      </c>
      <c r="K1174" s="298" t="s">
        <v>424</v>
      </c>
      <c r="L1174" s="298" t="s">
        <v>4524</v>
      </c>
      <c r="M1174" s="301" t="s">
        <v>315</v>
      </c>
      <c r="N1174" s="301" t="s">
        <v>315</v>
      </c>
      <c r="O1174" s="301" t="s">
        <v>315</v>
      </c>
      <c r="P1174" s="301" t="s">
        <v>315</v>
      </c>
      <c r="Q1174" s="301" t="s">
        <v>315</v>
      </c>
      <c r="R1174" s="301" t="s">
        <v>6142</v>
      </c>
      <c r="S1174" s="301" t="s">
        <v>6142</v>
      </c>
      <c r="T1174" s="301" t="s">
        <v>6143</v>
      </c>
      <c r="U1174" s="301" t="s">
        <v>6143</v>
      </c>
      <c r="V1174" s="301" t="s">
        <v>6144</v>
      </c>
      <c r="W1174" s="298" t="s">
        <v>315</v>
      </c>
      <c r="X1174" s="298" t="s">
        <v>678</v>
      </c>
    </row>
    <row r="1175">
      <c r="A1175" s="295" t="s">
        <v>6145</v>
      </c>
      <c r="B1175" s="298">
        <v>6.0</v>
      </c>
      <c r="C1175" s="298" t="s">
        <v>522</v>
      </c>
      <c r="D1175" s="298" t="s">
        <v>462</v>
      </c>
      <c r="E1175" s="298" t="s">
        <v>290</v>
      </c>
      <c r="F1175" s="484" t="str">
        <f>'Character Sheet'!$C$9</f>
        <v/>
      </c>
      <c r="G1175" s="298" t="s">
        <v>294</v>
      </c>
      <c r="H1175" s="298" t="s">
        <v>324</v>
      </c>
      <c r="I1175" s="298" t="s">
        <v>324</v>
      </c>
      <c r="J1175" s="298" t="s">
        <v>315</v>
      </c>
      <c r="K1175" s="298" t="s">
        <v>632</v>
      </c>
      <c r="L1175" s="298" t="s">
        <v>4524</v>
      </c>
      <c r="M1175" s="301" t="s">
        <v>315</v>
      </c>
      <c r="N1175" s="301" t="s">
        <v>315</v>
      </c>
      <c r="O1175" s="301" t="s">
        <v>315</v>
      </c>
      <c r="P1175" s="301" t="s">
        <v>315</v>
      </c>
      <c r="Q1175" s="301" t="s">
        <v>315</v>
      </c>
      <c r="R1175" s="301" t="s">
        <v>6146</v>
      </c>
      <c r="S1175" s="301" t="s">
        <v>6146</v>
      </c>
      <c r="T1175" s="301" t="s">
        <v>6146</v>
      </c>
      <c r="U1175" s="301" t="s">
        <v>6147</v>
      </c>
      <c r="V1175" s="301" t="s">
        <v>6147</v>
      </c>
      <c r="W1175" s="298" t="s">
        <v>315</v>
      </c>
      <c r="X1175" s="298" t="s">
        <v>3701</v>
      </c>
    </row>
    <row r="1176">
      <c r="A1176" s="295" t="s">
        <v>6148</v>
      </c>
      <c r="B1176" s="298">
        <v>6.0</v>
      </c>
      <c r="C1176" s="298" t="s">
        <v>522</v>
      </c>
      <c r="D1176" s="298" t="s">
        <v>421</v>
      </c>
      <c r="E1176" s="298" t="s">
        <v>311</v>
      </c>
      <c r="F1176" s="484" t="str">
        <f>'Character Sheet'!$K$9</f>
        <v/>
      </c>
      <c r="G1176" s="298" t="s">
        <v>493</v>
      </c>
      <c r="H1176" s="298" t="s">
        <v>295</v>
      </c>
      <c r="I1176" s="298" t="s">
        <v>780</v>
      </c>
      <c r="J1176" s="298" t="s">
        <v>315</v>
      </c>
      <c r="K1176" s="298" t="s">
        <v>298</v>
      </c>
      <c r="L1176" s="298" t="s">
        <v>4524</v>
      </c>
      <c r="M1176" s="301" t="s">
        <v>315</v>
      </c>
      <c r="N1176" s="301" t="s">
        <v>315</v>
      </c>
      <c r="O1176" s="301" t="s">
        <v>315</v>
      </c>
      <c r="P1176" s="301" t="s">
        <v>315</v>
      </c>
      <c r="Q1176" s="301" t="s">
        <v>315</v>
      </c>
      <c r="R1176" s="301" t="s">
        <v>6149</v>
      </c>
      <c r="S1176" s="301" t="s">
        <v>6149</v>
      </c>
      <c r="T1176" s="301" t="s">
        <v>6149</v>
      </c>
      <c r="U1176" s="301" t="s">
        <v>6149</v>
      </c>
      <c r="V1176" s="301" t="s">
        <v>6149</v>
      </c>
      <c r="W1176" s="298" t="s">
        <v>315</v>
      </c>
      <c r="X1176" s="298" t="s">
        <v>306</v>
      </c>
    </row>
    <row r="1177">
      <c r="A1177" s="295" t="s">
        <v>6150</v>
      </c>
      <c r="B1177" s="298">
        <v>6.0</v>
      </c>
      <c r="C1177" s="298" t="s">
        <v>522</v>
      </c>
      <c r="D1177" s="298" t="s">
        <v>334</v>
      </c>
      <c r="E1177" s="298" t="s">
        <v>311</v>
      </c>
      <c r="F1177" s="484" t="str">
        <f>'Character Sheet'!$C$9</f>
        <v/>
      </c>
      <c r="G1177" s="298" t="s">
        <v>294</v>
      </c>
      <c r="H1177" s="298" t="s">
        <v>295</v>
      </c>
      <c r="I1177" s="298" t="s">
        <v>6151</v>
      </c>
      <c r="J1177" s="298" t="s">
        <v>192</v>
      </c>
      <c r="K1177" s="298" t="s">
        <v>325</v>
      </c>
      <c r="L1177" s="298" t="s">
        <v>4524</v>
      </c>
      <c r="M1177" s="301" t="s">
        <v>315</v>
      </c>
      <c r="N1177" s="301" t="s">
        <v>315</v>
      </c>
      <c r="O1177" s="301" t="s">
        <v>315</v>
      </c>
      <c r="P1177" s="301" t="s">
        <v>315</v>
      </c>
      <c r="Q1177" s="301" t="s">
        <v>315</v>
      </c>
      <c r="R1177" s="301" t="s">
        <v>6152</v>
      </c>
      <c r="S1177" s="301" t="s">
        <v>6152</v>
      </c>
      <c r="T1177" s="301" t="s">
        <v>6152</v>
      </c>
      <c r="U1177" s="301" t="s">
        <v>6152</v>
      </c>
      <c r="V1177" s="301" t="s">
        <v>6152</v>
      </c>
      <c r="W1177" s="298" t="s">
        <v>315</v>
      </c>
      <c r="X1177" s="298" t="s">
        <v>678</v>
      </c>
    </row>
    <row r="1178">
      <c r="A1178" s="295" t="s">
        <v>6153</v>
      </c>
      <c r="B1178" s="298">
        <v>6.0</v>
      </c>
      <c r="C1178" s="298" t="s">
        <v>522</v>
      </c>
      <c r="D1178" s="298" t="s">
        <v>310</v>
      </c>
      <c r="E1178" s="298" t="s">
        <v>311</v>
      </c>
      <c r="F1178" s="484" t="str">
        <f>'Character Sheet'!$C$9</f>
        <v/>
      </c>
      <c r="G1178" s="298" t="s">
        <v>2188</v>
      </c>
      <c r="H1178" s="298" t="s">
        <v>360</v>
      </c>
      <c r="I1178" s="298" t="s">
        <v>4343</v>
      </c>
      <c r="J1178" s="298" t="s">
        <v>192</v>
      </c>
      <c r="K1178" s="298" t="s">
        <v>478</v>
      </c>
      <c r="L1178" s="298" t="s">
        <v>4524</v>
      </c>
      <c r="M1178" s="301" t="s">
        <v>315</v>
      </c>
      <c r="N1178" s="301" t="s">
        <v>315</v>
      </c>
      <c r="O1178" s="301" t="s">
        <v>315</v>
      </c>
      <c r="P1178" s="301" t="s">
        <v>315</v>
      </c>
      <c r="Q1178" s="301" t="s">
        <v>315</v>
      </c>
      <c r="R1178" s="301" t="s">
        <v>6154</v>
      </c>
      <c r="S1178" s="301" t="s">
        <v>6154</v>
      </c>
      <c r="T1178" s="301" t="s">
        <v>6154</v>
      </c>
      <c r="U1178" s="301" t="s">
        <v>6154</v>
      </c>
      <c r="V1178" s="301" t="s">
        <v>6154</v>
      </c>
      <c r="W1178" s="298" t="s">
        <v>315</v>
      </c>
      <c r="X1178" s="298" t="s">
        <v>678</v>
      </c>
    </row>
    <row r="1179">
      <c r="A1179" s="295" t="s">
        <v>6155</v>
      </c>
      <c r="B1179" s="298">
        <v>6.0</v>
      </c>
      <c r="C1179" s="298" t="s">
        <v>522</v>
      </c>
      <c r="D1179" s="298" t="s">
        <v>289</v>
      </c>
      <c r="E1179" s="298" t="s">
        <v>290</v>
      </c>
      <c r="F1179" s="484" t="str">
        <f>'Character Sheet'!$C$9</f>
        <v/>
      </c>
      <c r="G1179" s="298" t="s">
        <v>294</v>
      </c>
      <c r="H1179" s="298" t="s">
        <v>295</v>
      </c>
      <c r="I1179" s="298" t="s">
        <v>324</v>
      </c>
      <c r="J1179" s="298" t="s">
        <v>203</v>
      </c>
      <c r="K1179" s="298" t="s">
        <v>632</v>
      </c>
      <c r="L1179" s="298" t="s">
        <v>4524</v>
      </c>
      <c r="M1179" s="301" t="s">
        <v>315</v>
      </c>
      <c r="N1179" s="301" t="s">
        <v>315</v>
      </c>
      <c r="O1179" s="301" t="s">
        <v>315</v>
      </c>
      <c r="P1179" s="301" t="s">
        <v>315</v>
      </c>
      <c r="Q1179" s="301" t="s">
        <v>315</v>
      </c>
      <c r="R1179" s="301" t="s">
        <v>6156</v>
      </c>
      <c r="S1179" s="301" t="s">
        <v>6157</v>
      </c>
      <c r="T1179" s="301" t="s">
        <v>6158</v>
      </c>
      <c r="U1179" s="301" t="s">
        <v>6159</v>
      </c>
      <c r="V1179" s="301" t="s">
        <v>6160</v>
      </c>
      <c r="W1179" s="298" t="s">
        <v>315</v>
      </c>
      <c r="X1179" s="298" t="s">
        <v>678</v>
      </c>
    </row>
    <row r="1180">
      <c r="A1180" s="295" t="s">
        <v>6161</v>
      </c>
      <c r="B1180" s="298">
        <v>6.0</v>
      </c>
      <c r="C1180" s="298" t="s">
        <v>522</v>
      </c>
      <c r="D1180" s="298" t="s">
        <v>289</v>
      </c>
      <c r="E1180" s="298" t="s">
        <v>290</v>
      </c>
      <c r="F1180" s="484" t="str">
        <f>'Character Sheet'!$E$9</f>
        <v/>
      </c>
      <c r="G1180" s="298" t="s">
        <v>674</v>
      </c>
      <c r="H1180" s="298" t="s">
        <v>324</v>
      </c>
      <c r="I1180" s="298" t="s">
        <v>324</v>
      </c>
      <c r="J1180" s="298" t="s">
        <v>407</v>
      </c>
      <c r="K1180" s="298" t="s">
        <v>424</v>
      </c>
      <c r="L1180" s="298" t="s">
        <v>4524</v>
      </c>
      <c r="M1180" s="301" t="s">
        <v>315</v>
      </c>
      <c r="N1180" s="301" t="s">
        <v>315</v>
      </c>
      <c r="O1180" s="301" t="s">
        <v>315</v>
      </c>
      <c r="P1180" s="301" t="s">
        <v>315</v>
      </c>
      <c r="Q1180" s="301" t="s">
        <v>315</v>
      </c>
      <c r="R1180" s="301" t="s">
        <v>6162</v>
      </c>
      <c r="S1180" s="301" t="s">
        <v>6162</v>
      </c>
      <c r="T1180" s="301" t="s">
        <v>6163</v>
      </c>
      <c r="U1180" s="301" t="s">
        <v>6163</v>
      </c>
      <c r="V1180" s="301" t="s">
        <v>6164</v>
      </c>
      <c r="W1180" s="298" t="s">
        <v>315</v>
      </c>
      <c r="X1180" s="298" t="s">
        <v>1082</v>
      </c>
    </row>
    <row r="1181">
      <c r="A1181" s="295" t="s">
        <v>6165</v>
      </c>
      <c r="B1181" s="298">
        <v>6.0</v>
      </c>
      <c r="C1181" s="298" t="s">
        <v>522</v>
      </c>
      <c r="D1181" s="298" t="s">
        <v>310</v>
      </c>
      <c r="E1181" s="298" t="s">
        <v>311</v>
      </c>
      <c r="F1181" s="484" t="str">
        <f>'Character Sheet'!$N$9</f>
        <v/>
      </c>
      <c r="G1181" s="298" t="s">
        <v>294</v>
      </c>
      <c r="H1181" s="298" t="s">
        <v>324</v>
      </c>
      <c r="I1181" s="298" t="s">
        <v>324</v>
      </c>
      <c r="J1181" s="298" t="s">
        <v>315</v>
      </c>
      <c r="K1181" s="298" t="s">
        <v>298</v>
      </c>
      <c r="L1181" s="298" t="s">
        <v>4524</v>
      </c>
      <c r="M1181" s="301" t="s">
        <v>315</v>
      </c>
      <c r="N1181" s="301" t="s">
        <v>315</v>
      </c>
      <c r="O1181" s="301" t="s">
        <v>315</v>
      </c>
      <c r="P1181" s="301" t="s">
        <v>315</v>
      </c>
      <c r="Q1181" s="301" t="s">
        <v>315</v>
      </c>
      <c r="R1181" s="301" t="s">
        <v>6166</v>
      </c>
      <c r="S1181" s="301" t="s">
        <v>6167</v>
      </c>
      <c r="T1181" s="301" t="s">
        <v>6168</v>
      </c>
      <c r="U1181" s="301" t="s">
        <v>6169</v>
      </c>
      <c r="V1181" s="301" t="s">
        <v>6170</v>
      </c>
      <c r="W1181" s="298" t="s">
        <v>315</v>
      </c>
      <c r="X1181" s="298" t="s">
        <v>678</v>
      </c>
    </row>
    <row r="1182">
      <c r="A1182" s="295" t="s">
        <v>6171</v>
      </c>
      <c r="B1182" s="298">
        <v>6.0</v>
      </c>
      <c r="C1182" s="298" t="s">
        <v>522</v>
      </c>
      <c r="D1182" s="298" t="s">
        <v>334</v>
      </c>
      <c r="E1182" s="298" t="s">
        <v>290</v>
      </c>
      <c r="F1182" s="484" t="str">
        <f>'Character Sheet'!$C$9</f>
        <v/>
      </c>
      <c r="G1182" s="298" t="s">
        <v>294</v>
      </c>
      <c r="H1182" s="298" t="s">
        <v>324</v>
      </c>
      <c r="I1182" s="298" t="s">
        <v>324</v>
      </c>
      <c r="J1182" s="298" t="s">
        <v>315</v>
      </c>
      <c r="K1182" s="298" t="s">
        <v>632</v>
      </c>
      <c r="L1182" s="298" t="s">
        <v>4524</v>
      </c>
      <c r="M1182" s="301" t="s">
        <v>315</v>
      </c>
      <c r="N1182" s="301" t="s">
        <v>315</v>
      </c>
      <c r="O1182" s="301" t="s">
        <v>315</v>
      </c>
      <c r="P1182" s="301" t="s">
        <v>315</v>
      </c>
      <c r="Q1182" s="301" t="s">
        <v>315</v>
      </c>
      <c r="R1182" s="301" t="s">
        <v>6172</v>
      </c>
      <c r="S1182" s="301" t="s">
        <v>6173</v>
      </c>
      <c r="T1182" s="301" t="s">
        <v>6174</v>
      </c>
      <c r="U1182" s="301" t="s">
        <v>6175</v>
      </c>
      <c r="V1182" s="301" t="s">
        <v>6176</v>
      </c>
      <c r="W1182" s="298" t="s">
        <v>315</v>
      </c>
      <c r="X1182" s="298" t="s">
        <v>678</v>
      </c>
    </row>
    <row r="1183">
      <c r="A1183" s="295" t="s">
        <v>6177</v>
      </c>
      <c r="B1183" s="298">
        <v>6.0</v>
      </c>
      <c r="C1183" s="298" t="s">
        <v>522</v>
      </c>
      <c r="D1183" s="298" t="s">
        <v>310</v>
      </c>
      <c r="E1183" s="298" t="s">
        <v>290</v>
      </c>
      <c r="F1183" s="484" t="str">
        <f>'Character Sheet'!$C$9</f>
        <v/>
      </c>
      <c r="G1183" s="298" t="s">
        <v>294</v>
      </c>
      <c r="H1183" s="298" t="s">
        <v>295</v>
      </c>
      <c r="I1183" s="298" t="s">
        <v>296</v>
      </c>
      <c r="J1183" s="298" t="s">
        <v>192</v>
      </c>
      <c r="K1183" s="298" t="s">
        <v>1174</v>
      </c>
      <c r="L1183" s="298" t="s">
        <v>4524</v>
      </c>
      <c r="M1183" s="301" t="s">
        <v>315</v>
      </c>
      <c r="N1183" s="301" t="s">
        <v>315</v>
      </c>
      <c r="O1183" s="301" t="s">
        <v>315</v>
      </c>
      <c r="P1183" s="301" t="s">
        <v>315</v>
      </c>
      <c r="Q1183" s="301" t="s">
        <v>315</v>
      </c>
      <c r="R1183" s="301" t="s">
        <v>6178</v>
      </c>
      <c r="S1183" s="301" t="s">
        <v>6179</v>
      </c>
      <c r="T1183" s="301" t="s">
        <v>6180</v>
      </c>
      <c r="U1183" s="301" t="s">
        <v>6181</v>
      </c>
      <c r="V1183" s="301" t="s">
        <v>6182</v>
      </c>
      <c r="W1183" s="298" t="s">
        <v>315</v>
      </c>
      <c r="X1183" s="298" t="s">
        <v>569</v>
      </c>
    </row>
    <row r="1184">
      <c r="A1184" s="295" t="s">
        <v>6183</v>
      </c>
      <c r="B1184" s="298">
        <v>6.0</v>
      </c>
      <c r="C1184" s="298" t="s">
        <v>522</v>
      </c>
      <c r="D1184" s="298" t="s">
        <v>151</v>
      </c>
      <c r="E1184" s="298" t="s">
        <v>290</v>
      </c>
      <c r="F1184" s="484" t="str">
        <f>'Character Sheet'!$C$9</f>
        <v/>
      </c>
      <c r="G1184" s="298" t="s">
        <v>294</v>
      </c>
      <c r="H1184" s="298" t="s">
        <v>295</v>
      </c>
      <c r="I1184" s="298" t="s">
        <v>315</v>
      </c>
      <c r="J1184" s="298" t="s">
        <v>315</v>
      </c>
      <c r="K1184" s="298" t="s">
        <v>325</v>
      </c>
      <c r="L1184" s="298" t="s">
        <v>4524</v>
      </c>
      <c r="M1184" s="301" t="s">
        <v>315</v>
      </c>
      <c r="N1184" s="301" t="s">
        <v>315</v>
      </c>
      <c r="O1184" s="301" t="s">
        <v>315</v>
      </c>
      <c r="P1184" s="301" t="s">
        <v>315</v>
      </c>
      <c r="Q1184" s="301" t="s">
        <v>315</v>
      </c>
      <c r="R1184" s="301" t="s">
        <v>6184</v>
      </c>
      <c r="S1184" s="301" t="s">
        <v>6185</v>
      </c>
      <c r="T1184" s="301" t="s">
        <v>6186</v>
      </c>
      <c r="U1184" s="301" t="s">
        <v>6187</v>
      </c>
      <c r="V1184" s="301" t="s">
        <v>6188</v>
      </c>
      <c r="W1184" s="298" t="s">
        <v>315</v>
      </c>
      <c r="X1184" s="298" t="s">
        <v>678</v>
      </c>
    </row>
    <row r="1185">
      <c r="A1185" s="295" t="s">
        <v>6189</v>
      </c>
      <c r="B1185" s="298">
        <v>6.0</v>
      </c>
      <c r="C1185" s="298" t="s">
        <v>522</v>
      </c>
      <c r="D1185" s="298" t="s">
        <v>151</v>
      </c>
      <c r="E1185" s="298" t="s">
        <v>311</v>
      </c>
      <c r="F1185" s="484" t="str">
        <f>'Character Sheet'!$H$9</f>
        <v/>
      </c>
      <c r="G1185" s="298" t="s">
        <v>477</v>
      </c>
      <c r="H1185" s="298" t="s">
        <v>324</v>
      </c>
      <c r="I1185" s="298" t="s">
        <v>315</v>
      </c>
      <c r="J1185" s="298" t="s">
        <v>315</v>
      </c>
      <c r="K1185" s="298" t="s">
        <v>298</v>
      </c>
      <c r="L1185" s="298" t="s">
        <v>4524</v>
      </c>
      <c r="M1185" s="301" t="s">
        <v>315</v>
      </c>
      <c r="N1185" s="301" t="s">
        <v>315</v>
      </c>
      <c r="O1185" s="301" t="s">
        <v>315</v>
      </c>
      <c r="P1185" s="301" t="s">
        <v>315</v>
      </c>
      <c r="Q1185" s="301" t="s">
        <v>315</v>
      </c>
      <c r="R1185" s="301" t="s">
        <v>6190</v>
      </c>
      <c r="S1185" s="301" t="s">
        <v>6190</v>
      </c>
      <c r="T1185" s="301" t="s">
        <v>6190</v>
      </c>
      <c r="U1185" s="301" t="s">
        <v>6190</v>
      </c>
      <c r="V1185" s="301" t="s">
        <v>6190</v>
      </c>
      <c r="W1185" s="298" t="s">
        <v>315</v>
      </c>
      <c r="X1185" s="298" t="s">
        <v>306</v>
      </c>
    </row>
    <row r="1186">
      <c r="A1186" s="295" t="s">
        <v>6191</v>
      </c>
      <c r="B1186" s="298">
        <v>6.0</v>
      </c>
      <c r="C1186" s="298" t="s">
        <v>522</v>
      </c>
      <c r="D1186" s="298" t="s">
        <v>321</v>
      </c>
      <c r="E1186" s="298" t="s">
        <v>290</v>
      </c>
      <c r="F1186" s="484" t="str">
        <f>'Character Sheet'!$C$9</f>
        <v/>
      </c>
      <c r="G1186" s="298" t="s">
        <v>294</v>
      </c>
      <c r="H1186" s="298" t="s">
        <v>1278</v>
      </c>
      <c r="I1186" s="298" t="s">
        <v>315</v>
      </c>
      <c r="J1186" s="298" t="s">
        <v>315</v>
      </c>
      <c r="K1186" s="298" t="s">
        <v>1753</v>
      </c>
      <c r="L1186" s="298" t="s">
        <v>4524</v>
      </c>
      <c r="M1186" s="301" t="s">
        <v>315</v>
      </c>
      <c r="N1186" s="301" t="s">
        <v>315</v>
      </c>
      <c r="O1186" s="301" t="s">
        <v>315</v>
      </c>
      <c r="P1186" s="301" t="s">
        <v>315</v>
      </c>
      <c r="Q1186" s="301" t="s">
        <v>315</v>
      </c>
      <c r="R1186" s="301" t="s">
        <v>6192</v>
      </c>
      <c r="S1186" s="301" t="s">
        <v>6192</v>
      </c>
      <c r="T1186" s="301" t="s">
        <v>6193</v>
      </c>
      <c r="U1186" s="301" t="s">
        <v>6193</v>
      </c>
      <c r="V1186" s="301" t="s">
        <v>6194</v>
      </c>
      <c r="W1186" s="298" t="s">
        <v>315</v>
      </c>
      <c r="X1186" s="298" t="s">
        <v>678</v>
      </c>
    </row>
    <row r="1187">
      <c r="A1187" s="295" t="s">
        <v>6195</v>
      </c>
      <c r="B1187" s="298">
        <v>6.0</v>
      </c>
      <c r="C1187" s="298" t="s">
        <v>522</v>
      </c>
      <c r="D1187" s="298" t="s">
        <v>334</v>
      </c>
      <c r="E1187" s="298" t="s">
        <v>311</v>
      </c>
      <c r="F1187" s="484" t="str">
        <f>'Character Sheet'!$E$9</f>
        <v/>
      </c>
      <c r="G1187" s="298" t="s">
        <v>674</v>
      </c>
      <c r="H1187" s="298" t="s">
        <v>335</v>
      </c>
      <c r="I1187" s="298" t="s">
        <v>2103</v>
      </c>
      <c r="J1187" s="298" t="s">
        <v>315</v>
      </c>
      <c r="K1187" s="298" t="s">
        <v>325</v>
      </c>
      <c r="L1187" s="298" t="s">
        <v>4524</v>
      </c>
      <c r="M1187" s="301" t="s">
        <v>315</v>
      </c>
      <c r="N1187" s="301" t="s">
        <v>315</v>
      </c>
      <c r="O1187" s="301" t="s">
        <v>315</v>
      </c>
      <c r="P1187" s="301" t="s">
        <v>315</v>
      </c>
      <c r="Q1187" s="301" t="s">
        <v>315</v>
      </c>
      <c r="R1187" s="301" t="s">
        <v>6196</v>
      </c>
      <c r="S1187" s="301" t="s">
        <v>6196</v>
      </c>
      <c r="T1187" s="301" t="s">
        <v>6196</v>
      </c>
      <c r="U1187" s="301" t="s">
        <v>6196</v>
      </c>
      <c r="V1187" s="301" t="s">
        <v>6196</v>
      </c>
      <c r="W1187" s="298" t="s">
        <v>315</v>
      </c>
      <c r="X1187" s="298" t="s">
        <v>4785</v>
      </c>
    </row>
    <row r="1188">
      <c r="A1188" s="295" t="s">
        <v>6197</v>
      </c>
      <c r="B1188" s="298">
        <v>6.0</v>
      </c>
      <c r="C1188" s="298" t="s">
        <v>522</v>
      </c>
      <c r="D1188" s="298" t="s">
        <v>310</v>
      </c>
      <c r="E1188" s="298" t="s">
        <v>311</v>
      </c>
      <c r="F1188" s="484" t="str">
        <f>'Character Sheet'!$C$9</f>
        <v/>
      </c>
      <c r="G1188" s="298" t="s">
        <v>294</v>
      </c>
      <c r="H1188" s="298" t="s">
        <v>324</v>
      </c>
      <c r="I1188" s="298" t="s">
        <v>324</v>
      </c>
      <c r="J1188" s="298" t="s">
        <v>315</v>
      </c>
      <c r="K1188" s="298" t="s">
        <v>478</v>
      </c>
      <c r="L1188" s="298" t="s">
        <v>4524</v>
      </c>
      <c r="M1188" s="301" t="s">
        <v>315</v>
      </c>
      <c r="N1188" s="301" t="s">
        <v>315</v>
      </c>
      <c r="O1188" s="301" t="s">
        <v>315</v>
      </c>
      <c r="P1188" s="301" t="s">
        <v>315</v>
      </c>
      <c r="Q1188" s="301" t="s">
        <v>315</v>
      </c>
      <c r="R1188" s="301" t="s">
        <v>6198</v>
      </c>
      <c r="S1188" s="301" t="s">
        <v>6198</v>
      </c>
      <c r="T1188" s="301" t="s">
        <v>6198</v>
      </c>
      <c r="U1188" s="301" t="s">
        <v>6198</v>
      </c>
      <c r="V1188" s="301" t="s">
        <v>6198</v>
      </c>
      <c r="W1188" s="298" t="s">
        <v>315</v>
      </c>
      <c r="X1188" s="298" t="s">
        <v>3877</v>
      </c>
    </row>
    <row r="1189">
      <c r="A1189" s="341" t="s">
        <v>6199</v>
      </c>
      <c r="B1189" s="343">
        <v>6.0</v>
      </c>
      <c r="C1189" s="343" t="s">
        <v>522</v>
      </c>
      <c r="D1189" s="343" t="s">
        <v>462</v>
      </c>
      <c r="E1189" s="343" t="s">
        <v>290</v>
      </c>
      <c r="F1189" s="485" t="str">
        <f>'Character Sheet'!$C$9</f>
        <v/>
      </c>
      <c r="G1189" s="343" t="s">
        <v>294</v>
      </c>
      <c r="H1189" s="343" t="s">
        <v>324</v>
      </c>
      <c r="I1189" s="343" t="s">
        <v>324</v>
      </c>
      <c r="J1189" s="343" t="s">
        <v>315</v>
      </c>
      <c r="K1189" s="343" t="s">
        <v>424</v>
      </c>
      <c r="L1189" s="343" t="s">
        <v>4524</v>
      </c>
      <c r="M1189" s="344" t="s">
        <v>315</v>
      </c>
      <c r="N1189" s="344" t="s">
        <v>315</v>
      </c>
      <c r="O1189" s="344" t="s">
        <v>315</v>
      </c>
      <c r="P1189" s="344" t="s">
        <v>315</v>
      </c>
      <c r="Q1189" s="344" t="s">
        <v>315</v>
      </c>
      <c r="R1189" s="344" t="s">
        <v>6200</v>
      </c>
      <c r="S1189" s="344" t="s">
        <v>6200</v>
      </c>
      <c r="T1189" s="344" t="s">
        <v>6201</v>
      </c>
      <c r="U1189" s="344" t="s">
        <v>6201</v>
      </c>
      <c r="V1189" s="344" t="s">
        <v>6202</v>
      </c>
      <c r="W1189" s="343" t="s">
        <v>315</v>
      </c>
      <c r="X1189" s="343" t="s">
        <v>678</v>
      </c>
    </row>
    <row r="1190">
      <c r="A1190" s="295" t="s">
        <v>6203</v>
      </c>
      <c r="B1190" s="298">
        <v>7.0</v>
      </c>
      <c r="C1190" s="298" t="s">
        <v>522</v>
      </c>
      <c r="D1190" s="298" t="s">
        <v>289</v>
      </c>
      <c r="E1190" s="298" t="s">
        <v>290</v>
      </c>
      <c r="F1190" s="484" t="str">
        <f>'Character Sheet'!$E$9</f>
        <v/>
      </c>
      <c r="G1190" s="298" t="s">
        <v>674</v>
      </c>
      <c r="H1190" s="298" t="s">
        <v>352</v>
      </c>
      <c r="I1190" s="298" t="s">
        <v>1000</v>
      </c>
      <c r="J1190" s="298" t="s">
        <v>336</v>
      </c>
      <c r="K1190" s="298" t="s">
        <v>632</v>
      </c>
      <c r="L1190" s="298" t="s">
        <v>4524</v>
      </c>
      <c r="M1190" s="301" t="s">
        <v>315</v>
      </c>
      <c r="N1190" s="301" t="s">
        <v>315</v>
      </c>
      <c r="O1190" s="301" t="s">
        <v>315</v>
      </c>
      <c r="P1190" s="301" t="s">
        <v>315</v>
      </c>
      <c r="Q1190" s="301" t="s">
        <v>315</v>
      </c>
      <c r="R1190" s="301" t="s">
        <v>315</v>
      </c>
      <c r="S1190" s="301" t="s">
        <v>6204</v>
      </c>
      <c r="T1190" s="301" t="s">
        <v>6204</v>
      </c>
      <c r="U1190" s="301" t="s">
        <v>6204</v>
      </c>
      <c r="V1190" s="301" t="s">
        <v>6205</v>
      </c>
      <c r="W1190" s="298" t="s">
        <v>315</v>
      </c>
      <c r="X1190" s="298" t="s">
        <v>318</v>
      </c>
    </row>
    <row r="1191">
      <c r="A1191" s="295" t="s">
        <v>6206</v>
      </c>
      <c r="B1191" s="298">
        <v>7.0</v>
      </c>
      <c r="C1191" s="298" t="s">
        <v>522</v>
      </c>
      <c r="D1191" s="298" t="s">
        <v>462</v>
      </c>
      <c r="E1191" s="298" t="s">
        <v>311</v>
      </c>
      <c r="F1191" s="484" t="str">
        <f>'Character Sheet'!$B$9</f>
        <v/>
      </c>
      <c r="G1191" s="298" t="s">
        <v>493</v>
      </c>
      <c r="H1191" s="298" t="s">
        <v>324</v>
      </c>
      <c r="I1191" s="298" t="s">
        <v>324</v>
      </c>
      <c r="J1191" s="298" t="s">
        <v>315</v>
      </c>
      <c r="K1191" s="298" t="s">
        <v>632</v>
      </c>
      <c r="L1191" s="298" t="s">
        <v>4524</v>
      </c>
      <c r="M1191" s="301" t="s">
        <v>315</v>
      </c>
      <c r="N1191" s="301" t="s">
        <v>315</v>
      </c>
      <c r="O1191" s="301" t="s">
        <v>315</v>
      </c>
      <c r="P1191" s="301" t="s">
        <v>315</v>
      </c>
      <c r="Q1191" s="301" t="s">
        <v>315</v>
      </c>
      <c r="R1191" s="301" t="s">
        <v>315</v>
      </c>
      <c r="S1191" s="301" t="s">
        <v>6207</v>
      </c>
      <c r="T1191" s="301" t="s">
        <v>6207</v>
      </c>
      <c r="U1191" s="301" t="s">
        <v>6207</v>
      </c>
      <c r="V1191" s="301" t="s">
        <v>6207</v>
      </c>
      <c r="W1191" s="298" t="s">
        <v>315</v>
      </c>
      <c r="X1191" s="298" t="s">
        <v>318</v>
      </c>
    </row>
    <row r="1192">
      <c r="A1192" s="295" t="s">
        <v>6208</v>
      </c>
      <c r="B1192" s="298">
        <v>7.0</v>
      </c>
      <c r="C1192" s="298" t="s">
        <v>522</v>
      </c>
      <c r="D1192" s="298" t="s">
        <v>289</v>
      </c>
      <c r="E1192" s="298" t="s">
        <v>290</v>
      </c>
      <c r="F1192" s="484" t="str">
        <f>'Character Sheet'!$B$9</f>
        <v/>
      </c>
      <c r="G1192" s="298" t="s">
        <v>477</v>
      </c>
      <c r="H1192" s="298" t="s">
        <v>295</v>
      </c>
      <c r="I1192" s="298" t="s">
        <v>6209</v>
      </c>
      <c r="J1192" s="298" t="s">
        <v>315</v>
      </c>
      <c r="K1192" s="298" t="s">
        <v>478</v>
      </c>
      <c r="L1192" s="298" t="s">
        <v>4524</v>
      </c>
      <c r="M1192" s="301" t="s">
        <v>315</v>
      </c>
      <c r="N1192" s="301" t="s">
        <v>315</v>
      </c>
      <c r="O1192" s="301" t="s">
        <v>315</v>
      </c>
      <c r="P1192" s="301" t="s">
        <v>315</v>
      </c>
      <c r="Q1192" s="301" t="s">
        <v>315</v>
      </c>
      <c r="R1192" s="301" t="s">
        <v>315</v>
      </c>
      <c r="S1192" s="301" t="s">
        <v>6210</v>
      </c>
      <c r="T1192" s="301" t="s">
        <v>6211</v>
      </c>
      <c r="U1192" s="301" t="s">
        <v>6212</v>
      </c>
      <c r="V1192" s="301" t="s">
        <v>6213</v>
      </c>
      <c r="W1192" s="298" t="s">
        <v>315</v>
      </c>
      <c r="X1192" s="298" t="s">
        <v>678</v>
      </c>
    </row>
    <row r="1193">
      <c r="A1193" s="295" t="s">
        <v>6214</v>
      </c>
      <c r="B1193" s="298">
        <v>7.0</v>
      </c>
      <c r="C1193" s="298" t="s">
        <v>522</v>
      </c>
      <c r="D1193" s="298" t="s">
        <v>289</v>
      </c>
      <c r="E1193" s="298" t="s">
        <v>290</v>
      </c>
      <c r="F1193" s="484" t="str">
        <f>'Character Sheet'!$B$9</f>
        <v/>
      </c>
      <c r="G1193" s="298" t="s">
        <v>477</v>
      </c>
      <c r="H1193" s="298" t="s">
        <v>295</v>
      </c>
      <c r="I1193" s="298" t="s">
        <v>5485</v>
      </c>
      <c r="J1193" s="298" t="s">
        <v>315</v>
      </c>
      <c r="K1193" s="298" t="s">
        <v>478</v>
      </c>
      <c r="L1193" s="298" t="s">
        <v>4524</v>
      </c>
      <c r="M1193" s="301" t="s">
        <v>315</v>
      </c>
      <c r="N1193" s="301" t="s">
        <v>315</v>
      </c>
      <c r="O1193" s="301" t="s">
        <v>315</v>
      </c>
      <c r="P1193" s="301" t="s">
        <v>315</v>
      </c>
      <c r="Q1193" s="301" t="s">
        <v>315</v>
      </c>
      <c r="R1193" s="301" t="s">
        <v>315</v>
      </c>
      <c r="S1193" s="301" t="s">
        <v>6215</v>
      </c>
      <c r="T1193" s="301" t="s">
        <v>6216</v>
      </c>
      <c r="U1193" s="301" t="s">
        <v>6217</v>
      </c>
      <c r="V1193" s="301" t="s">
        <v>6218</v>
      </c>
      <c r="W1193" s="298" t="s">
        <v>315</v>
      </c>
      <c r="X1193" s="298" t="s">
        <v>306</v>
      </c>
    </row>
    <row r="1194">
      <c r="A1194" s="295" t="s">
        <v>6219</v>
      </c>
      <c r="B1194" s="298">
        <v>7.0</v>
      </c>
      <c r="C1194" s="298" t="s">
        <v>522</v>
      </c>
      <c r="D1194" s="298" t="s">
        <v>289</v>
      </c>
      <c r="E1194" s="298" t="s">
        <v>290</v>
      </c>
      <c r="F1194" s="484" t="str">
        <f>'Character Sheet'!$C$9</f>
        <v/>
      </c>
      <c r="G1194" s="298" t="s">
        <v>294</v>
      </c>
      <c r="H1194" s="298" t="s">
        <v>324</v>
      </c>
      <c r="I1194" s="298" t="s">
        <v>2777</v>
      </c>
      <c r="J1194" s="298" t="s">
        <v>173</v>
      </c>
      <c r="K1194" s="298" t="s">
        <v>298</v>
      </c>
      <c r="L1194" s="298" t="s">
        <v>4524</v>
      </c>
      <c r="M1194" s="301" t="s">
        <v>315</v>
      </c>
      <c r="N1194" s="301" t="s">
        <v>315</v>
      </c>
      <c r="O1194" s="301" t="s">
        <v>315</v>
      </c>
      <c r="P1194" s="301" t="s">
        <v>315</v>
      </c>
      <c r="Q1194" s="301" t="s">
        <v>315</v>
      </c>
      <c r="R1194" s="301" t="s">
        <v>315</v>
      </c>
      <c r="S1194" s="301" t="s">
        <v>6220</v>
      </c>
      <c r="T1194" s="301" t="s">
        <v>6220</v>
      </c>
      <c r="U1194" s="301" t="s">
        <v>6220</v>
      </c>
      <c r="V1194" s="301" t="s">
        <v>6220</v>
      </c>
      <c r="W1194" s="298" t="s">
        <v>315</v>
      </c>
      <c r="X1194" s="298" t="s">
        <v>678</v>
      </c>
    </row>
    <row r="1195">
      <c r="A1195" s="295" t="s">
        <v>6221</v>
      </c>
      <c r="B1195" s="298">
        <v>7.0</v>
      </c>
      <c r="C1195" s="298" t="s">
        <v>522</v>
      </c>
      <c r="D1195" s="298" t="s">
        <v>359</v>
      </c>
      <c r="E1195" s="298" t="s">
        <v>290</v>
      </c>
      <c r="F1195" s="484" t="str">
        <f>'Character Sheet'!$C$9</f>
        <v/>
      </c>
      <c r="G1195" s="298" t="s">
        <v>294</v>
      </c>
      <c r="H1195" s="298" t="s">
        <v>295</v>
      </c>
      <c r="I1195" s="298" t="s">
        <v>6222</v>
      </c>
      <c r="J1195" s="298" t="s">
        <v>315</v>
      </c>
      <c r="K1195" s="298" t="s">
        <v>298</v>
      </c>
      <c r="L1195" s="298" t="s">
        <v>4524</v>
      </c>
      <c r="M1195" s="301" t="s">
        <v>315</v>
      </c>
      <c r="N1195" s="301" t="s">
        <v>315</v>
      </c>
      <c r="O1195" s="301" t="s">
        <v>315</v>
      </c>
      <c r="P1195" s="301" t="s">
        <v>315</v>
      </c>
      <c r="Q1195" s="301" t="s">
        <v>315</v>
      </c>
      <c r="R1195" s="301" t="s">
        <v>315</v>
      </c>
      <c r="S1195" s="301" t="s">
        <v>6223</v>
      </c>
      <c r="T1195" s="301" t="s">
        <v>6224</v>
      </c>
      <c r="U1195" s="301" t="s">
        <v>6225</v>
      </c>
      <c r="V1195" s="301" t="s">
        <v>6226</v>
      </c>
      <c r="W1195" s="298" t="s">
        <v>315</v>
      </c>
      <c r="X1195" s="298" t="s">
        <v>306</v>
      </c>
    </row>
    <row r="1196">
      <c r="A1196" s="295" t="s">
        <v>6227</v>
      </c>
      <c r="B1196" s="298">
        <v>7.0</v>
      </c>
      <c r="C1196" s="298" t="s">
        <v>522</v>
      </c>
      <c r="D1196" s="298" t="s">
        <v>310</v>
      </c>
      <c r="E1196" s="298" t="s">
        <v>290</v>
      </c>
      <c r="F1196" s="484" t="str">
        <f>'Character Sheet'!$B$9</f>
        <v/>
      </c>
      <c r="G1196" s="298" t="s">
        <v>315</v>
      </c>
      <c r="H1196" s="298" t="s">
        <v>335</v>
      </c>
      <c r="I1196" s="298" t="s">
        <v>296</v>
      </c>
      <c r="J1196" s="298" t="s">
        <v>315</v>
      </c>
      <c r="K1196" s="298" t="s">
        <v>2509</v>
      </c>
      <c r="L1196" s="298" t="s">
        <v>4524</v>
      </c>
      <c r="M1196" s="301" t="s">
        <v>315</v>
      </c>
      <c r="N1196" s="301" t="s">
        <v>315</v>
      </c>
      <c r="O1196" s="301" t="s">
        <v>315</v>
      </c>
      <c r="P1196" s="301" t="s">
        <v>315</v>
      </c>
      <c r="Q1196" s="301" t="s">
        <v>315</v>
      </c>
      <c r="R1196" s="301" t="s">
        <v>315</v>
      </c>
      <c r="S1196" s="301" t="s">
        <v>6228</v>
      </c>
      <c r="T1196" s="301" t="s">
        <v>6228</v>
      </c>
      <c r="U1196" s="301" t="s">
        <v>6229</v>
      </c>
      <c r="V1196" s="301" t="s">
        <v>6229</v>
      </c>
      <c r="W1196" s="298" t="s">
        <v>315</v>
      </c>
      <c r="X1196" s="298" t="s">
        <v>3877</v>
      </c>
    </row>
    <row r="1197">
      <c r="A1197" s="295" t="s">
        <v>6230</v>
      </c>
      <c r="B1197" s="298">
        <v>7.0</v>
      </c>
      <c r="C1197" s="298" t="s">
        <v>522</v>
      </c>
      <c r="D1197" s="298" t="s">
        <v>421</v>
      </c>
      <c r="E1197" s="298" t="s">
        <v>311</v>
      </c>
      <c r="F1197" s="484" t="str">
        <f>'Character Sheet'!$B$9</f>
        <v/>
      </c>
      <c r="G1197" s="298" t="s">
        <v>477</v>
      </c>
      <c r="H1197" s="298" t="s">
        <v>324</v>
      </c>
      <c r="I1197" s="298" t="s">
        <v>2304</v>
      </c>
      <c r="J1197" s="298" t="s">
        <v>173</v>
      </c>
      <c r="K1197" s="298" t="s">
        <v>424</v>
      </c>
      <c r="L1197" s="298" t="s">
        <v>4524</v>
      </c>
      <c r="M1197" s="301" t="s">
        <v>315</v>
      </c>
      <c r="N1197" s="301" t="s">
        <v>315</v>
      </c>
      <c r="O1197" s="301" t="s">
        <v>315</v>
      </c>
      <c r="P1197" s="301" t="s">
        <v>315</v>
      </c>
      <c r="Q1197" s="301" t="s">
        <v>315</v>
      </c>
      <c r="R1197" s="301" t="s">
        <v>315</v>
      </c>
      <c r="S1197" s="301" t="s">
        <v>6231</v>
      </c>
      <c r="T1197" s="301" t="s">
        <v>6231</v>
      </c>
      <c r="U1197" s="301" t="s">
        <v>6231</v>
      </c>
      <c r="V1197" s="301" t="s">
        <v>6231</v>
      </c>
      <c r="W1197" s="298" t="s">
        <v>315</v>
      </c>
      <c r="X1197" s="298" t="s">
        <v>3877</v>
      </c>
    </row>
    <row r="1198">
      <c r="A1198" s="295" t="s">
        <v>6232</v>
      </c>
      <c r="B1198" s="298">
        <v>7.0</v>
      </c>
      <c r="C1198" s="298" t="s">
        <v>522</v>
      </c>
      <c r="D1198" s="298" t="s">
        <v>462</v>
      </c>
      <c r="E1198" s="298" t="s">
        <v>311</v>
      </c>
      <c r="F1198" s="484" t="str">
        <f>'Character Sheet'!$C$9</f>
        <v/>
      </c>
      <c r="G1198" s="298" t="s">
        <v>294</v>
      </c>
      <c r="H1198" s="298" t="s">
        <v>324</v>
      </c>
      <c r="I1198" s="298" t="s">
        <v>324</v>
      </c>
      <c r="J1198" s="298" t="s">
        <v>315</v>
      </c>
      <c r="K1198" s="298" t="s">
        <v>298</v>
      </c>
      <c r="L1198" s="298" t="s">
        <v>4524</v>
      </c>
      <c r="M1198" s="301" t="s">
        <v>315</v>
      </c>
      <c r="N1198" s="301" t="s">
        <v>315</v>
      </c>
      <c r="O1198" s="301" t="s">
        <v>315</v>
      </c>
      <c r="P1198" s="301" t="s">
        <v>315</v>
      </c>
      <c r="Q1198" s="301" t="s">
        <v>315</v>
      </c>
      <c r="R1198" s="301" t="s">
        <v>315</v>
      </c>
      <c r="S1198" s="301" t="s">
        <v>6233</v>
      </c>
      <c r="T1198" s="301" t="s">
        <v>6233</v>
      </c>
      <c r="U1198" s="301" t="s">
        <v>6233</v>
      </c>
      <c r="V1198" s="301" t="s">
        <v>6233</v>
      </c>
      <c r="W1198" s="298" t="s">
        <v>315</v>
      </c>
      <c r="X1198" s="298" t="s">
        <v>3877</v>
      </c>
    </row>
    <row r="1199">
      <c r="A1199" s="341" t="s">
        <v>6234</v>
      </c>
      <c r="B1199" s="343">
        <v>7.0</v>
      </c>
      <c r="C1199" s="343" t="s">
        <v>522</v>
      </c>
      <c r="D1199" s="343" t="s">
        <v>462</v>
      </c>
      <c r="E1199" s="343" t="s">
        <v>290</v>
      </c>
      <c r="F1199" s="485" t="str">
        <f>'Character Sheet'!$B$9</f>
        <v/>
      </c>
      <c r="G1199" s="343" t="s">
        <v>477</v>
      </c>
      <c r="H1199" s="343" t="s">
        <v>324</v>
      </c>
      <c r="I1199" s="343" t="s">
        <v>324</v>
      </c>
      <c r="J1199" s="343" t="s">
        <v>315</v>
      </c>
      <c r="K1199" s="343" t="s">
        <v>632</v>
      </c>
      <c r="L1199" s="343" t="s">
        <v>4524</v>
      </c>
      <c r="M1199" s="344" t="s">
        <v>315</v>
      </c>
      <c r="N1199" s="344" t="s">
        <v>315</v>
      </c>
      <c r="O1199" s="344" t="s">
        <v>315</v>
      </c>
      <c r="P1199" s="344" t="s">
        <v>315</v>
      </c>
      <c r="Q1199" s="344" t="s">
        <v>315</v>
      </c>
      <c r="R1199" s="344" t="s">
        <v>315</v>
      </c>
      <c r="S1199" s="344" t="s">
        <v>6235</v>
      </c>
      <c r="T1199" s="344" t="s">
        <v>6235</v>
      </c>
      <c r="U1199" s="344" t="s">
        <v>6236</v>
      </c>
      <c r="V1199" s="344" t="s">
        <v>6236</v>
      </c>
      <c r="W1199" s="343" t="s">
        <v>315</v>
      </c>
      <c r="X1199" s="343" t="s">
        <v>3877</v>
      </c>
    </row>
    <row r="1200">
      <c r="A1200" s="295" t="s">
        <v>6237</v>
      </c>
      <c r="B1200" s="298">
        <v>8.0</v>
      </c>
      <c r="C1200" s="298" t="s">
        <v>522</v>
      </c>
      <c r="D1200" s="298" t="s">
        <v>151</v>
      </c>
      <c r="E1200" s="298" t="s">
        <v>311</v>
      </c>
      <c r="F1200" s="484" t="str">
        <f>'Character Sheet'!$C$9</f>
        <v/>
      </c>
      <c r="G1200" s="298" t="s">
        <v>294</v>
      </c>
      <c r="H1200" s="298" t="s">
        <v>324</v>
      </c>
      <c r="I1200" s="298" t="s">
        <v>6238</v>
      </c>
      <c r="J1200" s="298" t="s">
        <v>315</v>
      </c>
      <c r="K1200" s="298" t="s">
        <v>424</v>
      </c>
      <c r="L1200" s="298" t="s">
        <v>4524</v>
      </c>
      <c r="M1200" s="301" t="s">
        <v>315</v>
      </c>
      <c r="N1200" s="301" t="s">
        <v>315</v>
      </c>
      <c r="O1200" s="301" t="s">
        <v>315</v>
      </c>
      <c r="P1200" s="301" t="s">
        <v>315</v>
      </c>
      <c r="Q1200" s="301" t="s">
        <v>315</v>
      </c>
      <c r="R1200" s="301" t="s">
        <v>315</v>
      </c>
      <c r="S1200" s="301" t="s">
        <v>315</v>
      </c>
      <c r="T1200" s="301" t="s">
        <v>6239</v>
      </c>
      <c r="U1200" s="301" t="s">
        <v>6239</v>
      </c>
      <c r="V1200" s="301" t="s">
        <v>6239</v>
      </c>
      <c r="W1200" s="298" t="s">
        <v>315</v>
      </c>
      <c r="X1200" s="298" t="s">
        <v>306</v>
      </c>
    </row>
    <row r="1201">
      <c r="A1201" s="295" t="s">
        <v>6240</v>
      </c>
      <c r="B1201" s="298">
        <v>8.0</v>
      </c>
      <c r="C1201" s="298" t="s">
        <v>522</v>
      </c>
      <c r="D1201" s="298" t="s">
        <v>462</v>
      </c>
      <c r="E1201" s="298" t="s">
        <v>311</v>
      </c>
      <c r="F1201" s="484" t="str">
        <f>'Character Sheet'!$C$9</f>
        <v/>
      </c>
      <c r="G1201" s="298" t="s">
        <v>294</v>
      </c>
      <c r="H1201" s="298" t="s">
        <v>335</v>
      </c>
      <c r="I1201" s="298" t="s">
        <v>296</v>
      </c>
      <c r="J1201" s="298" t="s">
        <v>173</v>
      </c>
      <c r="K1201" s="298" t="s">
        <v>298</v>
      </c>
      <c r="L1201" s="298" t="s">
        <v>4524</v>
      </c>
      <c r="M1201" s="301" t="s">
        <v>315</v>
      </c>
      <c r="N1201" s="301" t="s">
        <v>315</v>
      </c>
      <c r="O1201" s="301" t="s">
        <v>315</v>
      </c>
      <c r="P1201" s="301" t="s">
        <v>315</v>
      </c>
      <c r="Q1201" s="301" t="s">
        <v>315</v>
      </c>
      <c r="R1201" s="301" t="s">
        <v>315</v>
      </c>
      <c r="S1201" s="301" t="s">
        <v>315</v>
      </c>
      <c r="T1201" s="301" t="s">
        <v>6241</v>
      </c>
      <c r="U1201" s="301" t="s">
        <v>6241</v>
      </c>
      <c r="V1201" s="301" t="s">
        <v>6241</v>
      </c>
      <c r="W1201" s="298" t="s">
        <v>315</v>
      </c>
      <c r="X1201" s="298" t="s">
        <v>678</v>
      </c>
    </row>
    <row r="1202">
      <c r="A1202" s="341" t="s">
        <v>6242</v>
      </c>
      <c r="B1202" s="343">
        <v>8.0</v>
      </c>
      <c r="C1202" s="343" t="s">
        <v>522</v>
      </c>
      <c r="D1202" s="343" t="s">
        <v>334</v>
      </c>
      <c r="E1202" s="343" t="s">
        <v>290</v>
      </c>
      <c r="F1202" s="485" t="str">
        <f>'Character Sheet'!$C$9</f>
        <v/>
      </c>
      <c r="G1202" s="343" t="s">
        <v>294</v>
      </c>
      <c r="H1202" s="490" t="s">
        <v>335</v>
      </c>
      <c r="I1202" s="490" t="s">
        <v>296</v>
      </c>
      <c r="J1202" s="343" t="s">
        <v>173</v>
      </c>
      <c r="K1202" s="343" t="s">
        <v>3533</v>
      </c>
      <c r="L1202" s="343" t="s">
        <v>4524</v>
      </c>
      <c r="M1202" s="344" t="s">
        <v>315</v>
      </c>
      <c r="N1202" s="344" t="s">
        <v>315</v>
      </c>
      <c r="O1202" s="344" t="s">
        <v>315</v>
      </c>
      <c r="P1202" s="344" t="s">
        <v>315</v>
      </c>
      <c r="Q1202" s="344" t="s">
        <v>315</v>
      </c>
      <c r="R1202" s="344" t="s">
        <v>315</v>
      </c>
      <c r="S1202" s="344" t="s">
        <v>315</v>
      </c>
      <c r="T1202" s="344" t="s">
        <v>6243</v>
      </c>
      <c r="U1202" s="344" t="s">
        <v>6244</v>
      </c>
      <c r="V1202" s="344" t="s">
        <v>6245</v>
      </c>
      <c r="W1202" s="343" t="s">
        <v>315</v>
      </c>
      <c r="X1202" s="343" t="s">
        <v>306</v>
      </c>
    </row>
    <row r="1203">
      <c r="A1203" s="295" t="s">
        <v>6246</v>
      </c>
      <c r="B1203" s="298">
        <v>9.0</v>
      </c>
      <c r="C1203" s="298" t="s">
        <v>522</v>
      </c>
      <c r="D1203" s="298" t="s">
        <v>151</v>
      </c>
      <c r="E1203" s="298" t="s">
        <v>311</v>
      </c>
      <c r="F1203" s="484" t="str">
        <f>'Character Sheet'!$C$9</f>
        <v/>
      </c>
      <c r="G1203" s="298" t="s">
        <v>294</v>
      </c>
      <c r="H1203" s="27" t="s">
        <v>324</v>
      </c>
      <c r="I1203" s="27" t="s">
        <v>324</v>
      </c>
      <c r="J1203" s="298" t="s">
        <v>315</v>
      </c>
      <c r="K1203" s="298" t="s">
        <v>632</v>
      </c>
      <c r="L1203" s="298" t="s">
        <v>4524</v>
      </c>
      <c r="M1203" s="301" t="s">
        <v>315</v>
      </c>
      <c r="N1203" s="301" t="s">
        <v>315</v>
      </c>
      <c r="O1203" s="301" t="s">
        <v>315</v>
      </c>
      <c r="P1203" s="301" t="s">
        <v>315</v>
      </c>
      <c r="Q1203" s="301" t="s">
        <v>315</v>
      </c>
      <c r="R1203" s="301" t="s">
        <v>315</v>
      </c>
      <c r="S1203" s="301" t="s">
        <v>315</v>
      </c>
      <c r="T1203" s="301" t="s">
        <v>315</v>
      </c>
      <c r="U1203" s="301" t="s">
        <v>6247</v>
      </c>
      <c r="V1203" s="301" t="s">
        <v>6247</v>
      </c>
      <c r="W1203" s="298" t="s">
        <v>315</v>
      </c>
      <c r="X1203" s="298" t="s">
        <v>306</v>
      </c>
    </row>
    <row r="1204">
      <c r="A1204" s="295" t="s">
        <v>6248</v>
      </c>
      <c r="B1204" s="298">
        <v>9.0</v>
      </c>
      <c r="C1204" s="298" t="s">
        <v>522</v>
      </c>
      <c r="D1204" s="298" t="s">
        <v>462</v>
      </c>
      <c r="E1204" s="298" t="s">
        <v>311</v>
      </c>
      <c r="F1204" s="484" t="str">
        <f>'Character Sheet'!$B$9</f>
        <v/>
      </c>
      <c r="G1204" s="298" t="s">
        <v>477</v>
      </c>
      <c r="H1204" s="298" t="s">
        <v>324</v>
      </c>
      <c r="I1204" s="298" t="s">
        <v>324</v>
      </c>
      <c r="J1204" s="298" t="s">
        <v>315</v>
      </c>
      <c r="K1204" s="298" t="s">
        <v>632</v>
      </c>
      <c r="L1204" s="298" t="s">
        <v>4524</v>
      </c>
      <c r="M1204" s="301" t="s">
        <v>315</v>
      </c>
      <c r="N1204" s="301" t="s">
        <v>315</v>
      </c>
      <c r="O1204" s="301" t="s">
        <v>315</v>
      </c>
      <c r="P1204" s="301" t="s">
        <v>315</v>
      </c>
      <c r="Q1204" s="301" t="s">
        <v>315</v>
      </c>
      <c r="R1204" s="301" t="s">
        <v>315</v>
      </c>
      <c r="S1204" s="301" t="s">
        <v>315</v>
      </c>
      <c r="T1204" s="301" t="s">
        <v>315</v>
      </c>
      <c r="U1204" s="301" t="s">
        <v>6249</v>
      </c>
      <c r="V1204" s="301" t="s">
        <v>6249</v>
      </c>
      <c r="W1204" s="298" t="s">
        <v>315</v>
      </c>
      <c r="X1204" s="298" t="s">
        <v>678</v>
      </c>
    </row>
    <row r="1205">
      <c r="A1205" s="295" t="s">
        <v>6250</v>
      </c>
      <c r="B1205" s="298">
        <v>9.0</v>
      </c>
      <c r="C1205" s="298" t="s">
        <v>522</v>
      </c>
      <c r="D1205" s="298" t="s">
        <v>289</v>
      </c>
      <c r="E1205" s="298" t="s">
        <v>311</v>
      </c>
      <c r="F1205" s="484" t="str">
        <f>'Character Sheet'!$C$9</f>
        <v/>
      </c>
      <c r="G1205" s="298" t="s">
        <v>294</v>
      </c>
      <c r="H1205" s="298" t="s">
        <v>324</v>
      </c>
      <c r="I1205" s="298" t="s">
        <v>6238</v>
      </c>
      <c r="J1205" s="298" t="s">
        <v>315</v>
      </c>
      <c r="K1205" s="298" t="s">
        <v>424</v>
      </c>
      <c r="L1205" s="298" t="s">
        <v>4524</v>
      </c>
      <c r="M1205" s="301" t="s">
        <v>315</v>
      </c>
      <c r="N1205" s="301" t="s">
        <v>315</v>
      </c>
      <c r="O1205" s="301" t="s">
        <v>315</v>
      </c>
      <c r="P1205" s="301" t="s">
        <v>315</v>
      </c>
      <c r="Q1205" s="301" t="s">
        <v>315</v>
      </c>
      <c r="R1205" s="301" t="s">
        <v>315</v>
      </c>
      <c r="S1205" s="301" t="s">
        <v>315</v>
      </c>
      <c r="T1205" s="301" t="s">
        <v>315</v>
      </c>
      <c r="U1205" s="301" t="s">
        <v>6251</v>
      </c>
      <c r="V1205" s="301" t="s">
        <v>6251</v>
      </c>
      <c r="W1205" s="298" t="s">
        <v>315</v>
      </c>
      <c r="X1205" s="298" t="s">
        <v>306</v>
      </c>
    </row>
    <row r="1206">
      <c r="A1206" s="295" t="s">
        <v>6252</v>
      </c>
      <c r="B1206" s="298">
        <v>9.0</v>
      </c>
      <c r="C1206" s="298" t="s">
        <v>522</v>
      </c>
      <c r="D1206" s="298" t="s">
        <v>310</v>
      </c>
      <c r="E1206" s="298" t="s">
        <v>311</v>
      </c>
      <c r="F1206" s="484" t="str">
        <f>'Character Sheet'!$K$9</f>
        <v/>
      </c>
      <c r="G1206" s="298" t="s">
        <v>477</v>
      </c>
      <c r="H1206" s="298" t="s">
        <v>324</v>
      </c>
      <c r="I1206" s="298" t="s">
        <v>324</v>
      </c>
      <c r="J1206" s="298" t="s">
        <v>315</v>
      </c>
      <c r="K1206" s="298" t="s">
        <v>2509</v>
      </c>
      <c r="L1206" s="298" t="s">
        <v>4524</v>
      </c>
      <c r="M1206" s="301" t="s">
        <v>315</v>
      </c>
      <c r="N1206" s="301" t="s">
        <v>315</v>
      </c>
      <c r="O1206" s="301" t="s">
        <v>315</v>
      </c>
      <c r="P1206" s="301" t="s">
        <v>315</v>
      </c>
      <c r="Q1206" s="301" t="s">
        <v>315</v>
      </c>
      <c r="R1206" s="301" t="s">
        <v>315</v>
      </c>
      <c r="S1206" s="301" t="s">
        <v>315</v>
      </c>
      <c r="T1206" s="301" t="s">
        <v>315</v>
      </c>
      <c r="U1206" s="301" t="s">
        <v>6253</v>
      </c>
      <c r="V1206" s="301" t="s">
        <v>6253</v>
      </c>
      <c r="W1206" s="298" t="s">
        <v>315</v>
      </c>
      <c r="X1206" s="298" t="s">
        <v>3877</v>
      </c>
    </row>
    <row r="1207">
      <c r="A1207" s="295" t="s">
        <v>6254</v>
      </c>
      <c r="B1207" s="298">
        <v>9.0</v>
      </c>
      <c r="C1207" s="298" t="s">
        <v>522</v>
      </c>
      <c r="D1207" s="298" t="s">
        <v>289</v>
      </c>
      <c r="E1207" s="298" t="s">
        <v>311</v>
      </c>
      <c r="F1207" s="484" t="str">
        <f>'Character Sheet'!$E$9</f>
        <v/>
      </c>
      <c r="G1207" s="298" t="s">
        <v>477</v>
      </c>
      <c r="H1207" s="298" t="s">
        <v>295</v>
      </c>
      <c r="I1207" s="298" t="s">
        <v>3719</v>
      </c>
      <c r="J1207" s="298" t="s">
        <v>203</v>
      </c>
      <c r="K1207" s="298" t="s">
        <v>424</v>
      </c>
      <c r="L1207" s="298" t="s">
        <v>4524</v>
      </c>
      <c r="M1207" s="301" t="s">
        <v>315</v>
      </c>
      <c r="N1207" s="301" t="s">
        <v>315</v>
      </c>
      <c r="O1207" s="301" t="s">
        <v>315</v>
      </c>
      <c r="P1207" s="301" t="s">
        <v>315</v>
      </c>
      <c r="Q1207" s="301" t="s">
        <v>315</v>
      </c>
      <c r="R1207" s="301" t="s">
        <v>315</v>
      </c>
      <c r="S1207" s="301" t="s">
        <v>315</v>
      </c>
      <c r="T1207" s="301" t="s">
        <v>315</v>
      </c>
      <c r="U1207" s="301" t="s">
        <v>6255</v>
      </c>
      <c r="V1207" s="301" t="s">
        <v>6255</v>
      </c>
      <c r="W1207" s="298" t="s">
        <v>315</v>
      </c>
      <c r="X1207" s="298" t="s">
        <v>3877</v>
      </c>
    </row>
    <row r="1208">
      <c r="A1208" s="295" t="s">
        <v>6256</v>
      </c>
      <c r="B1208" s="298">
        <v>9.0</v>
      </c>
      <c r="C1208" s="298" t="s">
        <v>522</v>
      </c>
      <c r="D1208" s="298" t="s">
        <v>289</v>
      </c>
      <c r="E1208" s="298" t="s">
        <v>290</v>
      </c>
      <c r="F1208" s="484" t="str">
        <f>'Character Sheet'!$C$9</f>
        <v/>
      </c>
      <c r="G1208" s="298" t="s">
        <v>477</v>
      </c>
      <c r="H1208" s="298" t="s">
        <v>324</v>
      </c>
      <c r="I1208" s="298" t="s">
        <v>3354</v>
      </c>
      <c r="J1208" s="298" t="s">
        <v>407</v>
      </c>
      <c r="K1208" s="298" t="s">
        <v>298</v>
      </c>
      <c r="L1208" s="298" t="s">
        <v>4524</v>
      </c>
      <c r="M1208" s="301" t="s">
        <v>315</v>
      </c>
      <c r="N1208" s="301" t="s">
        <v>315</v>
      </c>
      <c r="O1208" s="301" t="s">
        <v>315</v>
      </c>
      <c r="P1208" s="301" t="s">
        <v>315</v>
      </c>
      <c r="Q1208" s="301" t="s">
        <v>315</v>
      </c>
      <c r="R1208" s="301" t="s">
        <v>315</v>
      </c>
      <c r="S1208" s="301" t="s">
        <v>315</v>
      </c>
      <c r="T1208" s="301" t="s">
        <v>315</v>
      </c>
      <c r="U1208" s="301" t="s">
        <v>6257</v>
      </c>
      <c r="V1208" s="301" t="s">
        <v>6258</v>
      </c>
      <c r="W1208" s="298" t="s">
        <v>315</v>
      </c>
      <c r="X1208" s="298" t="s">
        <v>3877</v>
      </c>
    </row>
    <row r="1209">
      <c r="A1209" s="341" t="s">
        <v>6259</v>
      </c>
      <c r="B1209" s="343">
        <v>9.0</v>
      </c>
      <c r="C1209" s="343" t="s">
        <v>522</v>
      </c>
      <c r="D1209" s="343" t="s">
        <v>421</v>
      </c>
      <c r="E1209" s="343" t="s">
        <v>311</v>
      </c>
      <c r="F1209" s="485" t="str">
        <f>'Character Sheet'!$B$9</f>
        <v/>
      </c>
      <c r="G1209" s="343" t="s">
        <v>477</v>
      </c>
      <c r="H1209" s="343" t="s">
        <v>324</v>
      </c>
      <c r="I1209" s="343" t="s">
        <v>324</v>
      </c>
      <c r="J1209" s="343" t="s">
        <v>315</v>
      </c>
      <c r="K1209" s="343" t="s">
        <v>6260</v>
      </c>
      <c r="L1209" s="343" t="s">
        <v>4524</v>
      </c>
      <c r="M1209" s="344" t="s">
        <v>315</v>
      </c>
      <c r="N1209" s="344" t="s">
        <v>315</v>
      </c>
      <c r="O1209" s="344" t="s">
        <v>315</v>
      </c>
      <c r="P1209" s="344" t="s">
        <v>315</v>
      </c>
      <c r="Q1209" s="344" t="s">
        <v>315</v>
      </c>
      <c r="R1209" s="344" t="s">
        <v>315</v>
      </c>
      <c r="S1209" s="344" t="s">
        <v>315</v>
      </c>
      <c r="T1209" s="344" t="s">
        <v>315</v>
      </c>
      <c r="U1209" s="344" t="s">
        <v>6261</v>
      </c>
      <c r="V1209" s="344" t="s">
        <v>6261</v>
      </c>
      <c r="W1209" s="343" t="s">
        <v>315</v>
      </c>
      <c r="X1209" s="343" t="s">
        <v>3877</v>
      </c>
    </row>
    <row r="1210">
      <c r="A1210" s="295" t="s">
        <v>6262</v>
      </c>
      <c r="B1210" s="298">
        <v>10.0</v>
      </c>
      <c r="C1210" s="298" t="s">
        <v>522</v>
      </c>
      <c r="D1210" s="298" t="s">
        <v>462</v>
      </c>
      <c r="E1210" s="298" t="s">
        <v>311</v>
      </c>
      <c r="F1210" s="484" t="str">
        <f>'Character Sheet'!$C$9</f>
        <v/>
      </c>
      <c r="G1210" s="298" t="s">
        <v>294</v>
      </c>
      <c r="H1210" s="298" t="s">
        <v>295</v>
      </c>
      <c r="I1210" s="298" t="s">
        <v>4801</v>
      </c>
      <c r="J1210" s="298" t="s">
        <v>315</v>
      </c>
      <c r="K1210" s="298" t="s">
        <v>632</v>
      </c>
      <c r="L1210" s="298" t="s">
        <v>4524</v>
      </c>
      <c r="M1210" s="301" t="s">
        <v>315</v>
      </c>
      <c r="N1210" s="301" t="s">
        <v>315</v>
      </c>
      <c r="O1210" s="301" t="s">
        <v>315</v>
      </c>
      <c r="P1210" s="301" t="s">
        <v>315</v>
      </c>
      <c r="Q1210" s="301" t="s">
        <v>315</v>
      </c>
      <c r="R1210" s="301" t="s">
        <v>315</v>
      </c>
      <c r="S1210" s="301" t="s">
        <v>315</v>
      </c>
      <c r="T1210" s="301" t="s">
        <v>315</v>
      </c>
      <c r="U1210" s="301" t="s">
        <v>315</v>
      </c>
      <c r="V1210" s="301" t="s">
        <v>6263</v>
      </c>
      <c r="W1210" s="298" t="s">
        <v>315</v>
      </c>
      <c r="X1210" s="298" t="s">
        <v>6264</v>
      </c>
    </row>
    <row r="1211">
      <c r="A1211" s="295" t="s">
        <v>6265</v>
      </c>
      <c r="B1211" s="298">
        <v>10.0</v>
      </c>
      <c r="C1211" s="298" t="s">
        <v>522</v>
      </c>
      <c r="D1211" s="298" t="s">
        <v>359</v>
      </c>
      <c r="E1211" s="298" t="s">
        <v>311</v>
      </c>
      <c r="F1211" s="484" t="str">
        <f>'Character Sheet'!$B$9</f>
        <v/>
      </c>
      <c r="G1211" s="298" t="s">
        <v>477</v>
      </c>
      <c r="H1211" s="298" t="s">
        <v>295</v>
      </c>
      <c r="I1211" s="298" t="s">
        <v>296</v>
      </c>
      <c r="J1211" s="298" t="s">
        <v>315</v>
      </c>
      <c r="K1211" s="298" t="s">
        <v>298</v>
      </c>
      <c r="L1211" s="298" t="s">
        <v>4524</v>
      </c>
      <c r="M1211" s="301" t="s">
        <v>315</v>
      </c>
      <c r="N1211" s="301" t="s">
        <v>315</v>
      </c>
      <c r="O1211" s="301" t="s">
        <v>315</v>
      </c>
      <c r="P1211" s="301" t="s">
        <v>315</v>
      </c>
      <c r="Q1211" s="301" t="s">
        <v>315</v>
      </c>
      <c r="R1211" s="301" t="s">
        <v>315</v>
      </c>
      <c r="S1211" s="301" t="s">
        <v>315</v>
      </c>
      <c r="T1211" s="301" t="s">
        <v>315</v>
      </c>
      <c r="U1211" s="301" t="s">
        <v>315</v>
      </c>
      <c r="V1211" s="301" t="s">
        <v>6266</v>
      </c>
      <c r="W1211" s="298" t="s">
        <v>315</v>
      </c>
      <c r="X1211" s="298" t="s">
        <v>306</v>
      </c>
    </row>
    <row r="1212">
      <c r="A1212" s="295" t="s">
        <v>6267</v>
      </c>
      <c r="B1212" s="298">
        <v>10.0</v>
      </c>
      <c r="C1212" s="298" t="s">
        <v>522</v>
      </c>
      <c r="D1212" s="298" t="s">
        <v>334</v>
      </c>
      <c r="E1212" s="298" t="s">
        <v>311</v>
      </c>
      <c r="F1212" s="484" t="str">
        <f>'Character Sheet'!$H$9</f>
        <v/>
      </c>
      <c r="G1212" s="298" t="s">
        <v>477</v>
      </c>
      <c r="H1212" s="298" t="s">
        <v>324</v>
      </c>
      <c r="I1212" s="298" t="s">
        <v>324</v>
      </c>
      <c r="J1212" s="298" t="s">
        <v>315</v>
      </c>
      <c r="K1212" s="298" t="s">
        <v>298</v>
      </c>
      <c r="L1212" s="298" t="s">
        <v>4524</v>
      </c>
      <c r="M1212" s="301" t="s">
        <v>315</v>
      </c>
      <c r="N1212" s="301" t="s">
        <v>315</v>
      </c>
      <c r="O1212" s="301" t="s">
        <v>315</v>
      </c>
      <c r="P1212" s="301" t="s">
        <v>315</v>
      </c>
      <c r="Q1212" s="301" t="s">
        <v>315</v>
      </c>
      <c r="R1212" s="301" t="s">
        <v>315</v>
      </c>
      <c r="S1212" s="301" t="s">
        <v>315</v>
      </c>
      <c r="T1212" s="301" t="s">
        <v>315</v>
      </c>
      <c r="U1212" s="301" t="s">
        <v>315</v>
      </c>
      <c r="V1212" s="301" t="s">
        <v>6268</v>
      </c>
      <c r="W1212" s="298" t="s">
        <v>315</v>
      </c>
      <c r="X1212" s="298" t="s">
        <v>306</v>
      </c>
    </row>
    <row r="1213">
      <c r="A1213" s="295" t="s">
        <v>6269</v>
      </c>
      <c r="B1213" s="298">
        <v>10.0</v>
      </c>
      <c r="C1213" s="298" t="s">
        <v>522</v>
      </c>
      <c r="D1213" s="298" t="s">
        <v>359</v>
      </c>
      <c r="E1213" s="298" t="s">
        <v>311</v>
      </c>
      <c r="F1213" s="484" t="str">
        <f>'Character Sheet'!$C$9</f>
        <v/>
      </c>
      <c r="G1213" s="298" t="s">
        <v>477</v>
      </c>
      <c r="H1213" s="298" t="s">
        <v>324</v>
      </c>
      <c r="I1213" s="298" t="s">
        <v>2304</v>
      </c>
      <c r="J1213" s="298" t="s">
        <v>192</v>
      </c>
      <c r="K1213" s="298" t="s">
        <v>632</v>
      </c>
      <c r="L1213" s="298" t="s">
        <v>4524</v>
      </c>
      <c r="M1213" s="301" t="s">
        <v>315</v>
      </c>
      <c r="N1213" s="301" t="s">
        <v>315</v>
      </c>
      <c r="O1213" s="301" t="s">
        <v>315</v>
      </c>
      <c r="P1213" s="301" t="s">
        <v>315</v>
      </c>
      <c r="Q1213" s="301" t="s">
        <v>315</v>
      </c>
      <c r="R1213" s="301" t="s">
        <v>315</v>
      </c>
      <c r="S1213" s="301" t="s">
        <v>315</v>
      </c>
      <c r="T1213" s="301" t="s">
        <v>315</v>
      </c>
      <c r="U1213" s="301" t="s">
        <v>315</v>
      </c>
      <c r="V1213" s="301" t="s">
        <v>6270</v>
      </c>
      <c r="W1213" s="298" t="s">
        <v>315</v>
      </c>
      <c r="X1213" s="298" t="s">
        <v>678</v>
      </c>
    </row>
    <row r="1214">
      <c r="A1214" s="295" t="s">
        <v>6271</v>
      </c>
      <c r="B1214" s="298">
        <v>10.0</v>
      </c>
      <c r="C1214" s="298" t="s">
        <v>522</v>
      </c>
      <c r="D1214" s="298" t="s">
        <v>334</v>
      </c>
      <c r="E1214" s="298" t="s">
        <v>311</v>
      </c>
      <c r="F1214" s="484" t="str">
        <f>'Character Sheet'!$C$9</f>
        <v/>
      </c>
      <c r="G1214" s="298" t="s">
        <v>477</v>
      </c>
      <c r="H1214" s="298" t="s">
        <v>295</v>
      </c>
      <c r="I1214" s="298" t="s">
        <v>3719</v>
      </c>
      <c r="J1214" s="298" t="s">
        <v>746</v>
      </c>
      <c r="K1214" s="298" t="s">
        <v>424</v>
      </c>
      <c r="L1214" s="298" t="s">
        <v>4524</v>
      </c>
      <c r="M1214" s="301" t="s">
        <v>315</v>
      </c>
      <c r="N1214" s="301" t="s">
        <v>315</v>
      </c>
      <c r="O1214" s="301" t="s">
        <v>315</v>
      </c>
      <c r="P1214" s="301" t="s">
        <v>315</v>
      </c>
      <c r="Q1214" s="301" t="s">
        <v>315</v>
      </c>
      <c r="R1214" s="301" t="s">
        <v>315</v>
      </c>
      <c r="S1214" s="301" t="s">
        <v>315</v>
      </c>
      <c r="T1214" s="301" t="s">
        <v>315</v>
      </c>
      <c r="U1214" s="301" t="s">
        <v>315</v>
      </c>
      <c r="V1214" s="301" t="s">
        <v>6272</v>
      </c>
      <c r="W1214" s="298" t="s">
        <v>315</v>
      </c>
      <c r="X1214" s="298" t="s">
        <v>6264</v>
      </c>
    </row>
  </sheetData>
  <autoFilter ref="$A$1:$X$1214"/>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pageSetUpPr/>
  </sheetPr>
  <sheetViews>
    <sheetView showGridLines="0" workbookViewId="0"/>
  </sheetViews>
  <sheetFormatPr customHeight="1" defaultColWidth="12.63" defaultRowHeight="15.75"/>
  <cols>
    <col customWidth="1" min="1" max="72" width="2.63"/>
  </cols>
  <sheetData>
    <row r="1" ht="9.75" customHeight="1">
      <c r="A1" s="9"/>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row>
    <row r="2" ht="9.75" customHeight="1">
      <c r="A2" s="10"/>
      <c r="B2" s="14"/>
      <c r="P2" s="10"/>
      <c r="Q2" s="18" t="s">
        <v>784</v>
      </c>
      <c r="R2" s="19"/>
      <c r="S2" s="19"/>
      <c r="T2" s="21"/>
      <c r="U2" s="24"/>
      <c r="V2" s="19"/>
      <c r="W2" s="19"/>
      <c r="X2" s="19"/>
      <c r="Y2" s="19"/>
      <c r="Z2" s="19"/>
      <c r="AA2" s="19"/>
      <c r="AB2" s="19"/>
      <c r="AC2" s="19"/>
      <c r="AD2" s="19"/>
      <c r="AE2" s="19"/>
      <c r="AF2" s="19"/>
      <c r="AG2" s="19"/>
      <c r="AH2" s="19"/>
      <c r="AI2" s="19"/>
      <c r="AJ2" s="19"/>
      <c r="AK2" s="19"/>
      <c r="AL2" s="19"/>
      <c r="AM2" s="18" t="s">
        <v>789</v>
      </c>
      <c r="AN2" s="19"/>
      <c r="AO2" s="19"/>
      <c r="AP2" s="19"/>
      <c r="AQ2" s="21"/>
      <c r="AR2" s="345" t="s">
        <v>791</v>
      </c>
      <c r="AS2" s="19"/>
      <c r="AT2" s="19"/>
      <c r="AU2" s="19"/>
      <c r="AV2" s="19"/>
      <c r="AW2" s="19"/>
      <c r="AX2" s="18" t="s">
        <v>36</v>
      </c>
      <c r="AY2" s="19"/>
      <c r="AZ2" s="19"/>
      <c r="BA2" s="19"/>
      <c r="BB2" s="21"/>
      <c r="BC2" s="346"/>
      <c r="BD2" s="19"/>
      <c r="BE2" s="19"/>
      <c r="BF2" s="19"/>
      <c r="BG2" s="19"/>
      <c r="BH2" s="21"/>
      <c r="BI2" s="10"/>
      <c r="BJ2" s="148" t="s">
        <v>88</v>
      </c>
      <c r="BM2" s="10"/>
      <c r="BN2" s="148" t="s">
        <v>134</v>
      </c>
      <c r="BT2" s="10"/>
    </row>
    <row r="3" ht="15.75" customHeight="1">
      <c r="A3" s="10"/>
      <c r="P3" s="10"/>
      <c r="Q3" s="40"/>
      <c r="T3" s="41"/>
      <c r="AM3" s="42"/>
      <c r="AN3" s="43"/>
      <c r="AO3" s="43"/>
      <c r="AP3" s="43"/>
      <c r="AQ3" s="44"/>
      <c r="AR3" s="43"/>
      <c r="AS3" s="43"/>
      <c r="AT3" s="43"/>
      <c r="AU3" s="43"/>
      <c r="AV3" s="43"/>
      <c r="AW3" s="43"/>
      <c r="AX3" s="42"/>
      <c r="AY3" s="43"/>
      <c r="AZ3" s="43"/>
      <c r="BA3" s="43"/>
      <c r="BB3" s="44"/>
      <c r="BC3" s="42"/>
      <c r="BD3" s="43"/>
      <c r="BE3" s="43"/>
      <c r="BF3" s="43"/>
      <c r="BG3" s="43"/>
      <c r="BH3" s="44"/>
      <c r="BI3" s="10"/>
      <c r="BM3" s="347"/>
      <c r="BT3" s="348"/>
    </row>
    <row r="4" ht="9.75" customHeight="1">
      <c r="A4" s="10"/>
      <c r="P4" s="10"/>
      <c r="Q4" s="40"/>
      <c r="T4" s="41"/>
      <c r="AM4" s="45" t="s">
        <v>189</v>
      </c>
      <c r="AQ4" s="41"/>
      <c r="AR4" s="345" t="s">
        <v>804</v>
      </c>
      <c r="AS4" s="19"/>
      <c r="AT4" s="19"/>
      <c r="AU4" s="19"/>
      <c r="AV4" s="19"/>
      <c r="AW4" s="21"/>
      <c r="AX4" s="18" t="s">
        <v>812</v>
      </c>
      <c r="AY4" s="19"/>
      <c r="AZ4" s="19"/>
      <c r="BA4" s="19"/>
      <c r="BB4" s="21"/>
      <c r="BC4" s="346"/>
      <c r="BD4" s="19"/>
      <c r="BE4" s="19"/>
      <c r="BF4" s="19"/>
      <c r="BG4" s="19"/>
      <c r="BH4" s="21"/>
      <c r="BI4" s="10"/>
      <c r="BJ4" s="349">
        <f>'Character Sheet'!$AZ$13</f>
        <v>1</v>
      </c>
      <c r="BM4" s="347"/>
      <c r="BN4" s="168" t="b">
        <v>0</v>
      </c>
      <c r="BO4" s="169" t="s">
        <v>153</v>
      </c>
      <c r="BT4" s="348"/>
    </row>
    <row r="5" ht="15.75" customHeight="1">
      <c r="A5" s="10"/>
      <c r="P5" s="10"/>
      <c r="Q5" s="42"/>
      <c r="R5" s="43"/>
      <c r="S5" s="43"/>
      <c r="T5" s="44"/>
      <c r="U5" s="43"/>
      <c r="V5" s="43"/>
      <c r="W5" s="43"/>
      <c r="X5" s="43"/>
      <c r="Y5" s="43"/>
      <c r="Z5" s="43"/>
      <c r="AA5" s="43"/>
      <c r="AB5" s="43"/>
      <c r="AC5" s="43"/>
      <c r="AD5" s="43"/>
      <c r="AE5" s="43"/>
      <c r="AF5" s="43"/>
      <c r="AG5" s="43"/>
      <c r="AH5" s="43"/>
      <c r="AI5" s="43"/>
      <c r="AJ5" s="43"/>
      <c r="AK5" s="43"/>
      <c r="AL5" s="43"/>
      <c r="AM5" s="42"/>
      <c r="AN5" s="43"/>
      <c r="AO5" s="43"/>
      <c r="AP5" s="43"/>
      <c r="AQ5" s="44"/>
      <c r="AR5" s="43"/>
      <c r="AS5" s="43"/>
      <c r="AT5" s="43"/>
      <c r="AU5" s="43"/>
      <c r="AV5" s="43"/>
      <c r="AW5" s="44"/>
      <c r="AX5" s="42"/>
      <c r="AY5" s="43"/>
      <c r="AZ5" s="43"/>
      <c r="BA5" s="43"/>
      <c r="BB5" s="44"/>
      <c r="BC5" s="42"/>
      <c r="BD5" s="43"/>
      <c r="BE5" s="43"/>
      <c r="BF5" s="43"/>
      <c r="BG5" s="43"/>
      <c r="BH5" s="44"/>
      <c r="BI5" s="10"/>
      <c r="BM5" s="347"/>
      <c r="BT5" s="348"/>
    </row>
    <row r="6" ht="15.75" customHeight="1">
      <c r="A6" s="10"/>
      <c r="B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row>
    <row r="7" ht="15.75" customHeight="1">
      <c r="A7" s="14"/>
      <c r="B7" s="88" t="s">
        <v>80</v>
      </c>
      <c r="C7" s="29"/>
      <c r="D7" s="29"/>
      <c r="E7" s="29"/>
      <c r="F7" s="29"/>
      <c r="G7" s="29"/>
      <c r="H7" s="29"/>
      <c r="I7" s="32"/>
      <c r="J7" s="350"/>
      <c r="K7" s="38" t="s">
        <v>81</v>
      </c>
      <c r="L7" s="29"/>
      <c r="M7" s="29"/>
      <c r="N7" s="29"/>
      <c r="O7" s="29"/>
      <c r="P7" s="29"/>
      <c r="Q7" s="29"/>
      <c r="R7" s="29"/>
      <c r="S7" s="29"/>
      <c r="T7" s="29"/>
      <c r="U7" s="29"/>
      <c r="V7" s="29"/>
      <c r="W7" s="29"/>
      <c r="X7" s="29"/>
      <c r="Y7" s="32"/>
      <c r="Z7" s="90"/>
      <c r="AA7" s="38" t="s">
        <v>83</v>
      </c>
      <c r="AB7" s="29"/>
      <c r="AC7" s="29"/>
      <c r="AD7" s="29"/>
      <c r="AE7" s="29"/>
      <c r="AF7" s="29"/>
      <c r="AG7" s="29"/>
      <c r="AH7" s="29"/>
      <c r="AI7" s="29"/>
      <c r="AJ7" s="29"/>
      <c r="AK7" s="29"/>
      <c r="AL7" s="29"/>
      <c r="AM7" s="29"/>
      <c r="AN7" s="29"/>
      <c r="AO7" s="29"/>
      <c r="AP7" s="29"/>
      <c r="AQ7" s="32"/>
      <c r="AR7" s="64"/>
      <c r="AS7" s="93" t="s">
        <v>87</v>
      </c>
      <c r="AT7" s="29"/>
      <c r="AU7" s="29"/>
      <c r="AV7" s="29"/>
      <c r="AW7" s="29"/>
      <c r="AX7" s="32"/>
      <c r="AY7" s="94"/>
      <c r="AZ7" s="163" t="s">
        <v>138</v>
      </c>
      <c r="BA7" s="29"/>
      <c r="BB7" s="29"/>
      <c r="BC7" s="29"/>
      <c r="BD7" s="29"/>
      <c r="BE7" s="29"/>
      <c r="BF7" s="29"/>
      <c r="BG7" s="29"/>
      <c r="BH7" s="29"/>
      <c r="BI7" s="29"/>
      <c r="BJ7" s="29"/>
      <c r="BK7" s="29"/>
      <c r="BL7" s="29"/>
      <c r="BM7" s="29"/>
      <c r="BN7" s="29"/>
      <c r="BO7" s="29"/>
      <c r="BP7" s="29"/>
      <c r="BQ7" s="29"/>
      <c r="BR7" s="29"/>
      <c r="BS7" s="32"/>
      <c r="BT7" s="64"/>
    </row>
    <row r="8" ht="9.75" customHeight="1">
      <c r="A8" s="49"/>
      <c r="B8" s="351"/>
      <c r="C8" s="19"/>
      <c r="D8" s="19"/>
      <c r="E8" s="19"/>
      <c r="F8" s="19"/>
      <c r="G8" s="19"/>
      <c r="H8" s="19"/>
      <c r="I8" s="19"/>
      <c r="J8" s="352"/>
      <c r="K8" s="49"/>
      <c r="L8" s="49"/>
      <c r="M8" s="48" t="s">
        <v>92</v>
      </c>
      <c r="O8" s="48" t="s">
        <v>116</v>
      </c>
      <c r="P8" s="48"/>
      <c r="Q8" s="48" t="s">
        <v>120</v>
      </c>
      <c r="S8" s="49"/>
      <c r="U8" s="48" t="s">
        <v>92</v>
      </c>
      <c r="W8" s="48" t="s">
        <v>116</v>
      </c>
      <c r="X8" s="48"/>
      <c r="Y8" s="48" t="s">
        <v>120</v>
      </c>
      <c r="AC8" s="48" t="s">
        <v>37</v>
      </c>
      <c r="AF8" s="49"/>
      <c r="AG8" s="48" t="s">
        <v>93</v>
      </c>
      <c r="AH8" s="49"/>
      <c r="AI8" s="48" t="s">
        <v>146</v>
      </c>
      <c r="AJ8" s="48" t="s">
        <v>126</v>
      </c>
      <c r="AK8" s="48" t="s">
        <v>127</v>
      </c>
      <c r="AL8" s="48" t="s">
        <v>128</v>
      </c>
      <c r="AM8" s="48" t="s">
        <v>57</v>
      </c>
      <c r="AN8" s="49"/>
      <c r="AO8" s="48" t="s">
        <v>35</v>
      </c>
      <c r="AP8" s="353"/>
      <c r="AQ8" s="353"/>
      <c r="AR8" s="100"/>
      <c r="AS8" s="48" t="s">
        <v>102</v>
      </c>
      <c r="AV8" s="100"/>
      <c r="AW8" s="48" t="s">
        <v>101</v>
      </c>
      <c r="AY8" s="49"/>
      <c r="AZ8" s="49"/>
      <c r="BA8" s="49"/>
      <c r="BB8" s="49"/>
      <c r="BC8" s="49"/>
      <c r="BD8" s="49"/>
      <c r="BE8" s="49"/>
      <c r="BF8" s="48" t="s">
        <v>142</v>
      </c>
      <c r="BH8" s="49"/>
      <c r="BI8" s="48" t="s">
        <v>93</v>
      </c>
      <c r="BJ8" s="49"/>
      <c r="BK8" s="48" t="s">
        <v>146</v>
      </c>
      <c r="BL8" s="48" t="s">
        <v>126</v>
      </c>
      <c r="BM8" s="48" t="s">
        <v>127</v>
      </c>
      <c r="BN8" s="48" t="s">
        <v>128</v>
      </c>
      <c r="BO8" s="48" t="s">
        <v>57</v>
      </c>
      <c r="BP8" s="49"/>
      <c r="BQ8" s="48" t="s">
        <v>147</v>
      </c>
      <c r="BT8" s="49"/>
    </row>
    <row r="9" ht="15.75" customHeight="1">
      <c r="A9" s="10"/>
      <c r="B9" s="40"/>
      <c r="J9" s="352"/>
      <c r="K9" s="101" t="s">
        <v>103</v>
      </c>
      <c r="M9" s="354" t="str">
        <f>MODIFIER(O9+Q9)</f>
        <v>+3</v>
      </c>
      <c r="N9" s="104" t="s">
        <v>62</v>
      </c>
      <c r="O9" s="355">
        <v>2.0</v>
      </c>
      <c r="P9" s="104" t="s">
        <v>106</v>
      </c>
      <c r="Q9" s="356">
        <v>1.0</v>
      </c>
      <c r="S9" s="101" t="s">
        <v>105</v>
      </c>
      <c r="U9" s="354" t="str">
        <f>MODIFIER(W9+Y9)</f>
        <v>–4</v>
      </c>
      <c r="V9" s="104" t="s">
        <v>62</v>
      </c>
      <c r="W9" s="355">
        <v>-4.0</v>
      </c>
      <c r="X9" s="104" t="s">
        <v>106</v>
      </c>
      <c r="Y9" s="356">
        <v>0.0</v>
      </c>
      <c r="AC9" s="103">
        <f>10+AG9+AO9+AI9</f>
        <v>15</v>
      </c>
      <c r="AF9" s="104" t="s">
        <v>62</v>
      </c>
      <c r="AG9" s="99">
        <f>vlookup(AG8,Data!$B$63:$C$68,2,0)</f>
        <v>2</v>
      </c>
      <c r="AH9" s="104" t="s">
        <v>106</v>
      </c>
      <c r="AI9" s="99">
        <f>if(AM9,8+$BJ$4,if(AL9,6+$BJ$4,if(AK9,4+$BJ$4,if(AJ9,2+$BJ$4,0))))</f>
        <v>3</v>
      </c>
      <c r="AJ9" s="176" t="b">
        <v>1</v>
      </c>
      <c r="AK9" s="153" t="b">
        <v>0</v>
      </c>
      <c r="AL9" s="153" t="b">
        <v>0</v>
      </c>
      <c r="AM9" s="153" t="b">
        <v>0</v>
      </c>
      <c r="AN9" s="104" t="s">
        <v>106</v>
      </c>
      <c r="AO9" s="99">
        <f>$BD$26</f>
        <v>0</v>
      </c>
      <c r="AP9" s="225"/>
      <c r="AQ9" s="225"/>
      <c r="AR9" s="114"/>
      <c r="AS9" s="357"/>
      <c r="AT9" s="29"/>
      <c r="AU9" s="32"/>
      <c r="AV9" s="117" t="s">
        <v>113</v>
      </c>
      <c r="AW9" s="118">
        <f>VLOOKUP($AR$4,Data!B73:C86,2, FALSE) + (6 + VLOOKUP("Con", Data!$B$63:$C$68, 2, FALSE)) * $BJ$4</f>
        <v>16</v>
      </c>
      <c r="AY9" s="10"/>
      <c r="AZ9" s="170"/>
      <c r="BA9" s="171" t="s">
        <v>155</v>
      </c>
      <c r="BF9" s="103" t="str">
        <f>MODIFIER(BI9+BK9-BQ9)</f>
        <v>+5</v>
      </c>
      <c r="BH9" s="104" t="s">
        <v>62</v>
      </c>
      <c r="BI9" s="99">
        <f>vlookup(BI8,Data!$B$63:$C$68,2,0)</f>
        <v>2</v>
      </c>
      <c r="BJ9" s="104" t="s">
        <v>106</v>
      </c>
      <c r="BK9" s="99">
        <f>if(BO9,8+$BJ$4,if(BN9,6+$BJ$4,if(BM9,4+$BJ$4,if(BL9,2+$BJ$4,0))))</f>
        <v>3</v>
      </c>
      <c r="BL9" s="176" t="b">
        <v>1</v>
      </c>
      <c r="BM9" s="153" t="b">
        <v>0</v>
      </c>
      <c r="BN9" s="153" t="b">
        <v>0</v>
      </c>
      <c r="BO9" s="153" t="b">
        <v>0</v>
      </c>
      <c r="BP9" s="104" t="s">
        <v>174</v>
      </c>
      <c r="BQ9" s="80">
        <f>ABS(if(Data!$C$63&gt;$BR$26,$BJ$26,0))</f>
        <v>0</v>
      </c>
      <c r="BT9" s="192"/>
    </row>
    <row r="10" ht="9.75" customHeight="1">
      <c r="A10" s="49"/>
      <c r="B10" s="40"/>
      <c r="J10" s="352"/>
      <c r="K10" s="49"/>
      <c r="L10" s="49"/>
      <c r="M10" s="131"/>
      <c r="N10" s="131"/>
      <c r="O10" s="355"/>
      <c r="Q10" s="359"/>
      <c r="S10" s="49"/>
      <c r="T10" s="49"/>
      <c r="U10" s="131"/>
      <c r="V10" s="131"/>
      <c r="W10" s="355"/>
      <c r="Y10" s="359"/>
      <c r="AJ10" s="231"/>
      <c r="AK10" s="231"/>
      <c r="AL10" s="231"/>
      <c r="AM10" s="231"/>
      <c r="AN10" s="231"/>
      <c r="AO10" s="231"/>
      <c r="AP10" s="231"/>
      <c r="AQ10" s="231"/>
      <c r="AR10" s="98"/>
      <c r="AS10" s="144" t="s">
        <v>130</v>
      </c>
      <c r="AT10" s="145"/>
      <c r="AU10" s="144" t="s">
        <v>131</v>
      </c>
      <c r="AV10" s="98"/>
      <c r="AW10" s="48" t="s">
        <v>132</v>
      </c>
      <c r="AY10" s="49"/>
      <c r="AZ10" s="183"/>
      <c r="BA10" s="183"/>
      <c r="BB10" s="183"/>
      <c r="BC10" s="183"/>
      <c r="BD10" s="183"/>
      <c r="BE10" s="183"/>
      <c r="BF10" s="48" t="s">
        <v>142</v>
      </c>
      <c r="BH10" s="49"/>
      <c r="BI10" s="48" t="s">
        <v>119</v>
      </c>
      <c r="BJ10" s="49"/>
      <c r="BK10" s="48" t="s">
        <v>146</v>
      </c>
      <c r="BL10" s="48" t="s">
        <v>126</v>
      </c>
      <c r="BM10" s="48" t="s">
        <v>127</v>
      </c>
      <c r="BN10" s="48" t="s">
        <v>128</v>
      </c>
      <c r="BO10" s="48" t="s">
        <v>57</v>
      </c>
      <c r="BP10" s="49"/>
      <c r="BQ10" s="48" t="s">
        <v>147</v>
      </c>
      <c r="BT10" s="49"/>
    </row>
    <row r="11" ht="15.75" customHeight="1">
      <c r="A11" s="10"/>
      <c r="B11" s="40"/>
      <c r="J11" s="352"/>
      <c r="K11" s="101" t="s">
        <v>117</v>
      </c>
      <c r="M11" s="354" t="str">
        <f>MODIFIER(O11+Q11)</f>
        <v>+2</v>
      </c>
      <c r="N11" s="104" t="s">
        <v>62</v>
      </c>
      <c r="O11" s="355">
        <v>2.0</v>
      </c>
      <c r="P11" s="104" t="s">
        <v>106</v>
      </c>
      <c r="Q11" s="356">
        <v>0.0</v>
      </c>
      <c r="S11" s="101" t="s">
        <v>118</v>
      </c>
      <c r="U11" s="354" t="str">
        <f>MODIFIER(W11+Y11)</f>
        <v>+1</v>
      </c>
      <c r="V11" s="104" t="s">
        <v>62</v>
      </c>
      <c r="W11" s="355">
        <v>1.0</v>
      </c>
      <c r="X11" s="104" t="s">
        <v>106</v>
      </c>
      <c r="Y11" s="356">
        <v>0.0</v>
      </c>
      <c r="AA11" s="163" t="s">
        <v>143</v>
      </c>
      <c r="AB11" s="29"/>
      <c r="AC11" s="29"/>
      <c r="AD11" s="29"/>
      <c r="AE11" s="29"/>
      <c r="AF11" s="29"/>
      <c r="AG11" s="29"/>
      <c r="AH11" s="29"/>
      <c r="AI11" s="29"/>
      <c r="AJ11" s="29"/>
      <c r="AK11" s="29"/>
      <c r="AL11" s="29"/>
      <c r="AM11" s="29"/>
      <c r="AN11" s="29"/>
      <c r="AO11" s="29"/>
      <c r="AP11" s="29"/>
      <c r="AQ11" s="32"/>
      <c r="AS11" s="158"/>
      <c r="AT11" s="117" t="s">
        <v>113</v>
      </c>
      <c r="AU11" s="158"/>
      <c r="AW11" s="159"/>
      <c r="AX11" s="32"/>
      <c r="AY11" s="10"/>
      <c r="AZ11" s="170"/>
      <c r="BA11" s="171" t="s">
        <v>185</v>
      </c>
      <c r="BF11" s="103" t="str">
        <f>MODIFIER(BI11+BK11-BQ11)</f>
        <v>+6</v>
      </c>
      <c r="BH11" s="104" t="s">
        <v>62</v>
      </c>
      <c r="BI11" s="99">
        <f>vlookup(BI10,Data!$B$63:$C$68,2,0)</f>
        <v>3</v>
      </c>
      <c r="BJ11" s="104" t="s">
        <v>106</v>
      </c>
      <c r="BK11" s="99">
        <f>if(BO11,8+$BJ$4,if(BN11,6+$BJ$4,if(BM11,4+$BJ$4,if(BL11,2+$BJ$4,0))))</f>
        <v>3</v>
      </c>
      <c r="BL11" s="176" t="b">
        <v>1</v>
      </c>
      <c r="BM11" s="153" t="b">
        <v>0</v>
      </c>
      <c r="BN11" s="153" t="b">
        <v>0</v>
      </c>
      <c r="BO11" s="153" t="b">
        <v>0</v>
      </c>
      <c r="BP11" s="104" t="s">
        <v>174</v>
      </c>
      <c r="BQ11" s="80">
        <f>ABS(if(Data!$C$63&gt;$BR$26,$BJ$26,0))</f>
        <v>0</v>
      </c>
      <c r="BT11" s="14"/>
    </row>
    <row r="12" ht="9.75" customHeight="1">
      <c r="A12" s="49"/>
      <c r="B12" s="40"/>
      <c r="J12" s="352"/>
      <c r="K12" s="49"/>
      <c r="L12" s="49"/>
      <c r="N12" s="131"/>
      <c r="O12" s="355"/>
      <c r="Q12" s="359"/>
      <c r="S12" s="49"/>
      <c r="T12" s="49"/>
      <c r="U12" s="131"/>
      <c r="V12" s="131"/>
      <c r="W12" s="355"/>
      <c r="Y12" s="359"/>
      <c r="AA12" s="48"/>
      <c r="AB12" s="49"/>
      <c r="AC12" s="49"/>
      <c r="AD12" s="49"/>
      <c r="AE12" s="49"/>
      <c r="AF12" s="48" t="s">
        <v>142</v>
      </c>
      <c r="AH12" s="49"/>
      <c r="AI12" s="48" t="s">
        <v>151</v>
      </c>
      <c r="AJ12" s="49"/>
      <c r="AK12" s="48" t="s">
        <v>146</v>
      </c>
      <c r="AL12" s="48" t="s">
        <v>126</v>
      </c>
      <c r="AM12" s="48" t="s">
        <v>127</v>
      </c>
      <c r="AN12" s="48" t="s">
        <v>128</v>
      </c>
      <c r="AO12" s="48" t="s">
        <v>57</v>
      </c>
      <c r="AQ12" s="48" t="s">
        <v>120</v>
      </c>
      <c r="AR12" s="98"/>
      <c r="AY12" s="49"/>
      <c r="AZ12" s="183"/>
      <c r="BA12" s="183"/>
      <c r="BB12" s="183"/>
      <c r="BC12" s="183"/>
      <c r="BD12" s="183"/>
      <c r="BE12" s="183"/>
      <c r="BF12" s="48" t="s">
        <v>142</v>
      </c>
      <c r="BH12" s="49"/>
      <c r="BI12" s="48" t="s">
        <v>199</v>
      </c>
      <c r="BJ12" s="49"/>
      <c r="BK12" s="48" t="s">
        <v>146</v>
      </c>
      <c r="BL12" s="48" t="s">
        <v>126</v>
      </c>
      <c r="BM12" s="48" t="s">
        <v>127</v>
      </c>
      <c r="BN12" s="48" t="s">
        <v>128</v>
      </c>
      <c r="BO12" s="48" t="s">
        <v>57</v>
      </c>
      <c r="BT12" s="49"/>
    </row>
    <row r="13" ht="15.75" customHeight="1">
      <c r="A13" s="10"/>
      <c r="B13" s="40"/>
      <c r="J13" s="352"/>
      <c r="K13" s="101" t="s">
        <v>135</v>
      </c>
      <c r="M13" s="354" t="str">
        <f>MODIFIER(O13+Q13)</f>
        <v>+2</v>
      </c>
      <c r="N13" s="104" t="s">
        <v>62</v>
      </c>
      <c r="O13" s="355">
        <v>1.0</v>
      </c>
      <c r="P13" s="104" t="s">
        <v>106</v>
      </c>
      <c r="Q13" s="356">
        <v>1.0</v>
      </c>
      <c r="S13" s="101" t="s">
        <v>136</v>
      </c>
      <c r="U13" s="354" t="str">
        <f>MODIFIER(W13+Y13)</f>
        <v>+0</v>
      </c>
      <c r="V13" s="104" t="s">
        <v>62</v>
      </c>
      <c r="W13" s="355">
        <v>0.0</v>
      </c>
      <c r="X13" s="104" t="s">
        <v>106</v>
      </c>
      <c r="Y13" s="356">
        <v>0.0</v>
      </c>
      <c r="AA13" s="171" t="s">
        <v>173</v>
      </c>
      <c r="AF13" s="103" t="str">
        <f>MODIFIER(AI13+AK13+AQ13)</f>
        <v>+5</v>
      </c>
      <c r="AH13" s="104" t="s">
        <v>62</v>
      </c>
      <c r="AI13" s="99">
        <f>vlookup(AI12,Data!$B$63:$C$68,2,0)</f>
        <v>2</v>
      </c>
      <c r="AJ13" s="104" t="s">
        <v>106</v>
      </c>
      <c r="AK13" s="99">
        <f>if(AO13,8+$BJ$4,if(AN13,6+$BJ$4,if(AM13,4+$BJ$4,if(AL13,2+$BJ$4,0))))</f>
        <v>3</v>
      </c>
      <c r="AL13" s="176" t="b">
        <v>1</v>
      </c>
      <c r="AM13" s="153" t="b">
        <v>0</v>
      </c>
      <c r="AN13" s="153" t="b">
        <v>0</v>
      </c>
      <c r="AO13" s="153" t="b">
        <v>0</v>
      </c>
      <c r="AQ13" s="356">
        <v>0.0</v>
      </c>
      <c r="AR13" s="98"/>
      <c r="AS13" s="88" t="s">
        <v>145</v>
      </c>
      <c r="AT13" s="29"/>
      <c r="AU13" s="29"/>
      <c r="AV13" s="29"/>
      <c r="AW13" s="29"/>
      <c r="AX13" s="32"/>
      <c r="AY13" s="10"/>
      <c r="AZ13" s="170"/>
      <c r="BA13" s="171" t="s">
        <v>213</v>
      </c>
      <c r="BF13" s="103" t="str">
        <f>MODIFIER(BI13+BK13-BQ13)</f>
        <v>+0</v>
      </c>
      <c r="BH13" s="104" t="s">
        <v>62</v>
      </c>
      <c r="BI13" s="99">
        <f>vlookup(BI12,Data!$B$63:$C$68,2,0)</f>
        <v>0</v>
      </c>
      <c r="BJ13" s="104" t="s">
        <v>106</v>
      </c>
      <c r="BK13" s="99">
        <f>if(BO13,8+$BJ$4,if(BN13,6+$BJ$4,if(BM13,4+$BJ$4,if(BL13,2+$BJ$4,0))))</f>
        <v>0</v>
      </c>
      <c r="BL13" s="176" t="b">
        <v>0</v>
      </c>
      <c r="BM13" s="153" t="b">
        <v>0</v>
      </c>
      <c r="BN13" s="153" t="b">
        <v>0</v>
      </c>
      <c r="BO13" s="153" t="b">
        <v>0</v>
      </c>
      <c r="BT13" s="192"/>
    </row>
    <row r="14" ht="9.75" customHeight="1">
      <c r="A14" s="127"/>
      <c r="B14" s="40"/>
      <c r="J14" s="352"/>
      <c r="K14" s="98"/>
      <c r="L14" s="127"/>
      <c r="M14" s="127"/>
      <c r="N14" s="127"/>
      <c r="O14" s="127"/>
      <c r="P14" s="127"/>
      <c r="Q14" s="127"/>
      <c r="R14" s="127"/>
      <c r="S14" s="127"/>
      <c r="T14" s="127"/>
      <c r="U14" s="127"/>
      <c r="V14" s="127"/>
      <c r="W14" s="127"/>
      <c r="X14" s="127"/>
      <c r="Y14" s="127"/>
      <c r="Z14" s="127"/>
      <c r="AA14" s="187"/>
      <c r="AB14" s="188"/>
      <c r="AC14" s="188"/>
      <c r="AD14" s="188"/>
      <c r="AE14" s="188"/>
      <c r="AF14" s="48" t="s">
        <v>142</v>
      </c>
      <c r="AH14" s="127"/>
      <c r="AI14" s="48" t="s">
        <v>93</v>
      </c>
      <c r="AJ14" s="127"/>
      <c r="AK14" s="48" t="s">
        <v>146</v>
      </c>
      <c r="AL14" s="48" t="s">
        <v>126</v>
      </c>
      <c r="AM14" s="48" t="s">
        <v>127</v>
      </c>
      <c r="AN14" s="48" t="s">
        <v>128</v>
      </c>
      <c r="AO14" s="48" t="s">
        <v>57</v>
      </c>
      <c r="AQ14" s="359"/>
      <c r="AR14" s="98"/>
      <c r="AS14" s="48" t="s">
        <v>142</v>
      </c>
      <c r="AU14" s="48"/>
      <c r="AV14" s="48" t="s">
        <v>59</v>
      </c>
      <c r="AW14" s="98"/>
      <c r="AX14" s="48" t="s">
        <v>146</v>
      </c>
      <c r="AY14" s="127"/>
      <c r="AZ14" s="183"/>
      <c r="BA14" s="183"/>
      <c r="BB14" s="183"/>
      <c r="BC14" s="183"/>
      <c r="BD14" s="183"/>
      <c r="BE14" s="183"/>
      <c r="BF14" s="48" t="s">
        <v>142</v>
      </c>
      <c r="BH14" s="49"/>
      <c r="BI14" s="48" t="s">
        <v>93</v>
      </c>
      <c r="BJ14" s="49"/>
      <c r="BK14" s="48" t="s">
        <v>146</v>
      </c>
      <c r="BL14" s="48" t="s">
        <v>126</v>
      </c>
      <c r="BM14" s="48" t="s">
        <v>127</v>
      </c>
      <c r="BN14" s="48" t="s">
        <v>128</v>
      </c>
      <c r="BO14" s="48" t="s">
        <v>57</v>
      </c>
      <c r="BP14" s="49"/>
      <c r="BQ14" s="48" t="s">
        <v>147</v>
      </c>
      <c r="BT14" s="127"/>
    </row>
    <row r="15" ht="15.75" customHeight="1">
      <c r="A15" s="10"/>
      <c r="B15" s="40"/>
      <c r="J15" s="352"/>
      <c r="K15" s="163" t="s">
        <v>179</v>
      </c>
      <c r="L15" s="29"/>
      <c r="M15" s="29"/>
      <c r="N15" s="29"/>
      <c r="O15" s="29"/>
      <c r="P15" s="29"/>
      <c r="Q15" s="29"/>
      <c r="R15" s="29"/>
      <c r="S15" s="29"/>
      <c r="T15" s="29"/>
      <c r="U15" s="29"/>
      <c r="V15" s="29"/>
      <c r="W15" s="29"/>
      <c r="X15" s="29"/>
      <c r="Y15" s="32"/>
      <c r="Z15" s="166"/>
      <c r="AA15" s="171" t="s">
        <v>180</v>
      </c>
      <c r="AF15" s="103" t="str">
        <f>MODIFIER(AI15+AK15+AQ15)</f>
        <v>+5</v>
      </c>
      <c r="AH15" s="104" t="s">
        <v>62</v>
      </c>
      <c r="AI15" s="99">
        <f>vlookup(AI14,Data!$B$63:$C$68,2,0)</f>
        <v>2</v>
      </c>
      <c r="AJ15" s="104" t="s">
        <v>106</v>
      </c>
      <c r="AK15" s="99">
        <f>if(AO15,8+$BJ$4,if(AN15,6+$BJ$4,if(AM15,4+$BJ$4,if(AL15,2+$BJ$4,0))))</f>
        <v>3</v>
      </c>
      <c r="AL15" s="176" t="b">
        <v>1</v>
      </c>
      <c r="AM15" s="153" t="b">
        <v>0</v>
      </c>
      <c r="AN15" s="153" t="b">
        <v>0</v>
      </c>
      <c r="AO15" s="153" t="b">
        <v>0</v>
      </c>
      <c r="AQ15" s="356">
        <v>0.0</v>
      </c>
      <c r="AS15" s="103" t="str">
        <f>MODIFIER(AX15+AV15)</f>
        <v>+4</v>
      </c>
      <c r="AU15" s="185" t="s">
        <v>62</v>
      </c>
      <c r="AV15" s="99">
        <f>vlookup(AV14,Data!$B$63:$C$68,2,0)</f>
        <v>1</v>
      </c>
      <c r="AW15" s="147" t="s">
        <v>106</v>
      </c>
      <c r="AX15" s="99">
        <f>if(AW17,8+$BJ$4,if(AV17,6+$BJ$4,if(AU17,4+$BJ$4,if(AT17,2+$BJ$4,0))))</f>
        <v>3</v>
      </c>
      <c r="AY15" s="10"/>
      <c r="AZ15" s="170"/>
      <c r="BA15" s="171" t="s">
        <v>257</v>
      </c>
      <c r="BF15" s="103" t="str">
        <f>MODIFIER(BI15+BK15-BQ15)</f>
        <v>+2</v>
      </c>
      <c r="BH15" s="104" t="s">
        <v>62</v>
      </c>
      <c r="BI15" s="99">
        <f>vlookup(BI14,Data!$B$63:$C$68,2,0)</f>
        <v>2</v>
      </c>
      <c r="BJ15" s="104" t="s">
        <v>106</v>
      </c>
      <c r="BK15" s="99">
        <f>if(BO15,8+$BJ$4,if(BN15,6+$BJ$4,if(BM15,4+$BJ$4,if(BL15,2+$BJ$4,0))))</f>
        <v>0</v>
      </c>
      <c r="BL15" s="176" t="b">
        <v>0</v>
      </c>
      <c r="BM15" s="153" t="b">
        <v>0</v>
      </c>
      <c r="BN15" s="153" t="b">
        <v>0</v>
      </c>
      <c r="BO15" s="153" t="b">
        <v>0</v>
      </c>
      <c r="BP15" s="104" t="s">
        <v>174</v>
      </c>
      <c r="BQ15" s="80">
        <f>ABS(if(Data!$C$63&gt;$BR$26,$BJ$26,0))</f>
        <v>0</v>
      </c>
      <c r="BT15" s="14"/>
    </row>
    <row r="16" ht="9.75" customHeight="1">
      <c r="A16" s="49"/>
      <c r="B16" s="40"/>
      <c r="J16" s="352"/>
      <c r="K16" s="48" t="s">
        <v>186</v>
      </c>
      <c r="M16" s="49"/>
      <c r="N16" s="48" t="s">
        <v>116</v>
      </c>
      <c r="P16" s="48" t="s">
        <v>35</v>
      </c>
      <c r="Q16" s="49"/>
      <c r="R16" s="48" t="s">
        <v>187</v>
      </c>
      <c r="U16" s="48" t="s">
        <v>188</v>
      </c>
      <c r="Z16" s="49"/>
      <c r="AA16" s="187"/>
      <c r="AB16" s="188"/>
      <c r="AC16" s="188"/>
      <c r="AD16" s="188"/>
      <c r="AE16" s="188"/>
      <c r="AF16" s="48" t="s">
        <v>142</v>
      </c>
      <c r="AH16" s="127"/>
      <c r="AI16" s="48" t="s">
        <v>59</v>
      </c>
      <c r="AJ16" s="127"/>
      <c r="AK16" s="48" t="s">
        <v>146</v>
      </c>
      <c r="AL16" s="48" t="s">
        <v>126</v>
      </c>
      <c r="AM16" s="48" t="s">
        <v>127</v>
      </c>
      <c r="AN16" s="48" t="s">
        <v>128</v>
      </c>
      <c r="AO16" s="48" t="s">
        <v>57</v>
      </c>
      <c r="AQ16" s="359"/>
      <c r="AR16" s="98"/>
      <c r="AT16" s="48" t="s">
        <v>126</v>
      </c>
      <c r="AU16" s="48" t="s">
        <v>127</v>
      </c>
      <c r="AV16" s="48" t="s">
        <v>128</v>
      </c>
      <c r="AW16" s="48" t="s">
        <v>57</v>
      </c>
      <c r="AY16" s="98"/>
      <c r="AZ16" s="215"/>
      <c r="BA16" s="183"/>
      <c r="BB16" s="183"/>
      <c r="BC16" s="183"/>
      <c r="BD16" s="183"/>
      <c r="BE16" s="183"/>
      <c r="BF16" s="48" t="s">
        <v>142</v>
      </c>
      <c r="BH16" s="49"/>
      <c r="BI16" s="48" t="s">
        <v>59</v>
      </c>
      <c r="BJ16" s="49"/>
      <c r="BK16" s="48" t="s">
        <v>146</v>
      </c>
      <c r="BL16" s="48" t="s">
        <v>126</v>
      </c>
      <c r="BM16" s="48" t="s">
        <v>127</v>
      </c>
      <c r="BN16" s="48" t="s">
        <v>128</v>
      </c>
      <c r="BO16" s="48" t="s">
        <v>57</v>
      </c>
      <c r="BP16" s="49"/>
      <c r="BQ16" s="48"/>
      <c r="BT16" s="49"/>
    </row>
    <row r="17" ht="15.75" customHeight="1">
      <c r="A17" s="10"/>
      <c r="B17" s="40"/>
      <c r="J17" s="352"/>
      <c r="K17" s="103">
        <f>N17+P17-R17</f>
        <v>40</v>
      </c>
      <c r="M17" s="104" t="s">
        <v>62</v>
      </c>
      <c r="N17" s="63">
        <v>40.0</v>
      </c>
      <c r="O17" s="104" t="s">
        <v>106</v>
      </c>
      <c r="P17" s="63">
        <v>0.0</v>
      </c>
      <c r="Q17" s="192" t="s">
        <v>174</v>
      </c>
      <c r="R17" s="80">
        <f>ABS(if(Data!$C$63&gt;$BR$26,$BM$26,max($BM$26-5,0)))</f>
        <v>0</v>
      </c>
      <c r="U17" s="207"/>
      <c r="V17" s="29"/>
      <c r="W17" s="29"/>
      <c r="X17" s="29"/>
      <c r="Y17" s="32"/>
      <c r="Z17" s="10"/>
      <c r="AA17" s="171" t="s">
        <v>192</v>
      </c>
      <c r="AF17" s="103" t="str">
        <f>MODIFIER(AI17+AK17+AQ17)</f>
        <v>+4</v>
      </c>
      <c r="AH17" s="104" t="s">
        <v>62</v>
      </c>
      <c r="AI17" s="99">
        <f>vlookup(AI16,Data!$B$63:$C$68,2,0)</f>
        <v>1</v>
      </c>
      <c r="AJ17" s="104" t="s">
        <v>106</v>
      </c>
      <c r="AK17" s="99">
        <f>if(AO17,8+$BJ$4,if(AN17,6+$BJ$4,if(AM17,4+$BJ$4,if(AL17,2+$BJ$4,0))))</f>
        <v>3</v>
      </c>
      <c r="AL17" s="176" t="b">
        <v>1</v>
      </c>
      <c r="AM17" s="153" t="b">
        <v>0</v>
      </c>
      <c r="AN17" s="153" t="b">
        <v>0</v>
      </c>
      <c r="AO17" s="153" t="b">
        <v>0</v>
      </c>
      <c r="AQ17" s="356">
        <v>0.0</v>
      </c>
      <c r="AT17" s="176" t="b">
        <v>1</v>
      </c>
      <c r="AU17" s="153" t="b">
        <v>0</v>
      </c>
      <c r="AV17" s="153" t="b">
        <v>0</v>
      </c>
      <c r="AW17" s="153" t="b">
        <v>0</v>
      </c>
      <c r="AZ17" s="218"/>
      <c r="BA17" s="171" t="s">
        <v>259</v>
      </c>
      <c r="BF17" s="103" t="str">
        <f>MODIFIER(BI17+BK17-BQ17)</f>
        <v>+1</v>
      </c>
      <c r="BH17" s="104" t="s">
        <v>62</v>
      </c>
      <c r="BI17" s="99">
        <f>vlookup(BI16,Data!$B$63:$C$68,2,0)</f>
        <v>1</v>
      </c>
      <c r="BJ17" s="104" t="s">
        <v>106</v>
      </c>
      <c r="BK17" s="99">
        <f>if(BO17,8+$BJ$4,if(BN17,6+$BJ$4,if(BM17,4+$BJ$4,if(BL17,2+$BJ$4,0))))</f>
        <v>0</v>
      </c>
      <c r="BL17" s="176" t="b">
        <v>0</v>
      </c>
      <c r="BM17" s="153" t="b">
        <v>0</v>
      </c>
      <c r="BN17" s="153" t="b">
        <v>0</v>
      </c>
      <c r="BO17" s="153" t="b">
        <v>0</v>
      </c>
      <c r="BP17" s="192"/>
      <c r="BQ17" s="14"/>
      <c r="BT17" s="14"/>
    </row>
    <row r="18" ht="9.75" customHeight="1">
      <c r="A18" s="127"/>
      <c r="B18" s="383"/>
      <c r="C18" s="383"/>
      <c r="D18" s="383"/>
      <c r="E18" s="383"/>
      <c r="F18" s="383"/>
      <c r="G18" s="383"/>
      <c r="H18" s="383"/>
      <c r="I18" s="383"/>
      <c r="J18" s="384"/>
      <c r="K18" s="98"/>
      <c r="L18" s="127"/>
      <c r="M18" s="127"/>
      <c r="N18" s="127"/>
      <c r="O18" s="127"/>
      <c r="P18" s="127"/>
      <c r="Q18" s="127"/>
      <c r="R18" s="127"/>
      <c r="S18" s="127"/>
      <c r="T18" s="127"/>
      <c r="U18" s="127"/>
      <c r="V18" s="127"/>
      <c r="W18" s="127"/>
      <c r="X18" s="127"/>
      <c r="Y18" s="127"/>
      <c r="Z18" s="127"/>
      <c r="AR18" s="98"/>
      <c r="AY18" s="190"/>
      <c r="AZ18" s="227"/>
      <c r="BA18" s="183"/>
      <c r="BB18" s="183"/>
      <c r="BC18" s="183"/>
      <c r="BD18" s="183"/>
      <c r="BE18" s="183"/>
      <c r="BF18" s="48"/>
      <c r="BH18" s="49"/>
      <c r="BI18" s="48"/>
      <c r="BJ18" s="49"/>
      <c r="BK18" s="48"/>
      <c r="BL18" s="48"/>
      <c r="BM18" s="48"/>
      <c r="BN18" s="48"/>
      <c r="BO18" s="48"/>
      <c r="BP18" s="49"/>
      <c r="BQ18" s="48"/>
      <c r="BT18" s="127"/>
    </row>
    <row r="19" ht="15.75" customHeight="1">
      <c r="A19" s="10"/>
      <c r="B19" s="163" t="s">
        <v>214</v>
      </c>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32"/>
      <c r="AY19" s="197"/>
      <c r="AZ19" s="105" t="s">
        <v>19</v>
      </c>
      <c r="BA19" s="29"/>
      <c r="BB19" s="29"/>
      <c r="BC19" s="29"/>
      <c r="BD19" s="29"/>
      <c r="BE19" s="29"/>
      <c r="BF19" s="29"/>
      <c r="BG19" s="29"/>
      <c r="BH19" s="29"/>
      <c r="BI19" s="29"/>
      <c r="BJ19" s="29"/>
      <c r="BK19" s="29"/>
      <c r="BL19" s="29"/>
      <c r="BM19" s="29"/>
      <c r="BN19" s="29"/>
      <c r="BO19" s="29"/>
      <c r="BP19" s="29"/>
      <c r="BQ19" s="29"/>
      <c r="BR19" s="29"/>
      <c r="BS19" s="29"/>
      <c r="BT19" s="14"/>
    </row>
    <row r="20" ht="9.75" customHeight="1">
      <c r="A20" s="127"/>
      <c r="B20" s="237" t="s">
        <v>216</v>
      </c>
      <c r="M20" s="98"/>
      <c r="P20" s="48" t="s">
        <v>203</v>
      </c>
      <c r="R20" s="49"/>
      <c r="S20" s="48" t="str">
        <f>IF(M23,"Dex","Str")</f>
        <v>Str</v>
      </c>
      <c r="T20" s="49"/>
      <c r="U20" s="48" t="s">
        <v>146</v>
      </c>
      <c r="V20" s="48" t="s">
        <v>126</v>
      </c>
      <c r="W20" s="48" t="s">
        <v>127</v>
      </c>
      <c r="X20" s="48" t="s">
        <v>128</v>
      </c>
      <c r="Y20" s="48" t="s">
        <v>57</v>
      </c>
      <c r="Z20" s="49"/>
      <c r="AA20" s="237" t="s">
        <v>216</v>
      </c>
      <c r="AL20" s="98"/>
      <c r="AO20" s="48" t="s">
        <v>203</v>
      </c>
      <c r="AQ20" s="49"/>
      <c r="AR20" s="48" t="str">
        <f>IF(AL23,"Dex","Str")</f>
        <v>Str</v>
      </c>
      <c r="AS20" s="49"/>
      <c r="AT20" s="48" t="s">
        <v>146</v>
      </c>
      <c r="AU20" s="48" t="s">
        <v>126</v>
      </c>
      <c r="AV20" s="48" t="s">
        <v>127</v>
      </c>
      <c r="AW20" s="48" t="s">
        <v>128</v>
      </c>
      <c r="AX20" s="48" t="s">
        <v>57</v>
      </c>
      <c r="AY20" s="48"/>
      <c r="AZ20" s="53" t="s">
        <v>107</v>
      </c>
      <c r="BC20" s="107" t="s">
        <v>108</v>
      </c>
      <c r="BG20" s="51" t="s">
        <v>109</v>
      </c>
      <c r="BJ20" s="51"/>
      <c r="BK20" s="48" t="s">
        <v>101</v>
      </c>
      <c r="BN20" s="55" t="s">
        <v>111</v>
      </c>
      <c r="BO20" s="43"/>
      <c r="BP20" s="389"/>
      <c r="BQ20" s="51" t="s">
        <v>112</v>
      </c>
      <c r="BT20" s="127"/>
    </row>
    <row r="21" ht="15.75" customHeight="1">
      <c r="A21" s="10"/>
      <c r="B21" s="238"/>
      <c r="C21" s="29"/>
      <c r="D21" s="29"/>
      <c r="E21" s="29"/>
      <c r="F21" s="29"/>
      <c r="G21" s="29"/>
      <c r="H21" s="29"/>
      <c r="I21" s="29"/>
      <c r="J21" s="29"/>
      <c r="K21" s="29"/>
      <c r="L21" s="29"/>
      <c r="M21" s="29"/>
      <c r="N21" s="32"/>
      <c r="P21" s="103" t="str">
        <f>MODIFIER(S21+U21)</f>
        <v>+6</v>
      </c>
      <c r="R21" s="104" t="s">
        <v>62</v>
      </c>
      <c r="S21" s="99">
        <f>vlookup(S20,Data!$B$63:$C$68,2,0)</f>
        <v>3</v>
      </c>
      <c r="T21" s="104" t="s">
        <v>106</v>
      </c>
      <c r="U21" s="99">
        <f>if(Y21,8+$BJ$4,if(X21,6+$BJ$4,if(W21,4+$BJ$4,if(V21,2+$BJ$4,0))))</f>
        <v>3</v>
      </c>
      <c r="V21" s="176" t="b">
        <v>1</v>
      </c>
      <c r="W21" s="153" t="b">
        <v>0</v>
      </c>
      <c r="X21" s="153" t="b">
        <v>0</v>
      </c>
      <c r="Y21" s="153" t="b">
        <v>0</v>
      </c>
      <c r="Z21" s="14"/>
      <c r="AA21" s="238"/>
      <c r="AB21" s="29"/>
      <c r="AC21" s="29"/>
      <c r="AD21" s="29"/>
      <c r="AE21" s="29"/>
      <c r="AF21" s="29"/>
      <c r="AG21" s="29"/>
      <c r="AH21" s="29"/>
      <c r="AI21" s="29"/>
      <c r="AJ21" s="29"/>
      <c r="AK21" s="29"/>
      <c r="AL21" s="29"/>
      <c r="AM21" s="32"/>
      <c r="AO21" s="103" t="str">
        <f>MODIFIER(AR21+AT21)</f>
        <v>+6</v>
      </c>
      <c r="AQ21" s="104" t="s">
        <v>62</v>
      </c>
      <c r="AR21" s="99">
        <f>vlookup(AR20,Data!$B$63:$C$68,2,0)</f>
        <v>3</v>
      </c>
      <c r="AS21" s="104" t="s">
        <v>106</v>
      </c>
      <c r="AT21" s="99">
        <f>if(AX21,8+$BJ$4,if(AW21,6+$BJ$4,if(AV21,4+$BJ$4,if(AU21,2+$BJ$4,0))))</f>
        <v>3</v>
      </c>
      <c r="AU21" s="176" t="b">
        <v>1</v>
      </c>
      <c r="AV21" s="153" t="b">
        <v>0</v>
      </c>
      <c r="AW21" s="153" t="b">
        <v>0</v>
      </c>
      <c r="AX21" s="153" t="b">
        <v>0</v>
      </c>
      <c r="AY21" s="10"/>
      <c r="AZ21" s="103">
        <f>ROUNDDOWN(CALCBULK(BP26,BR28,BR30,BR32,BR34,BR36,BR38),0)</f>
        <v>4</v>
      </c>
      <c r="BC21" s="395" t="str">
        <f>CONCAT(CONCAT("(", CALCBULK(BP26,BR28,BR30,BR32,BR34,BR36,BR38) ), ")")</f>
        <v>(4)</v>
      </c>
      <c r="BG21" s="103">
        <f>SUM($BL$27:$BL$38)</f>
        <v>0</v>
      </c>
      <c r="BJ21" s="119" t="s">
        <v>113</v>
      </c>
      <c r="BK21" s="63">
        <v>2.0</v>
      </c>
      <c r="BN21" s="397"/>
      <c r="BO21" s="32"/>
      <c r="BP21" s="108"/>
      <c r="BQ21" s="397"/>
      <c r="BR21" s="29"/>
      <c r="BS21" s="32"/>
      <c r="BT21" s="192"/>
    </row>
    <row r="22" ht="9.75" customHeight="1">
      <c r="A22" s="49"/>
      <c r="Z22" s="49"/>
      <c r="AY22" s="212"/>
      <c r="AZ22" s="53" t="s">
        <v>115</v>
      </c>
      <c r="BA22" s="50"/>
      <c r="BB22" s="53" t="s">
        <v>101</v>
      </c>
      <c r="BC22" s="132"/>
      <c r="BD22" s="133" t="s">
        <v>116</v>
      </c>
      <c r="BF22" s="50"/>
      <c r="BG22" s="51" t="s">
        <v>119</v>
      </c>
      <c r="BH22" s="134"/>
      <c r="BI22" s="135" t="s">
        <v>120</v>
      </c>
      <c r="BJ22" s="132"/>
      <c r="BK22" s="51"/>
      <c r="BL22" s="48"/>
      <c r="BN22" s="138" t="s">
        <v>122</v>
      </c>
      <c r="BO22" s="43"/>
      <c r="BP22" s="108"/>
      <c r="BQ22" s="48" t="s">
        <v>123</v>
      </c>
      <c r="BT22" s="127"/>
    </row>
    <row r="23" ht="15.75" customHeight="1">
      <c r="A23" s="10"/>
      <c r="B23" s="209"/>
      <c r="C23" s="29"/>
      <c r="D23" s="29"/>
      <c r="E23" s="29"/>
      <c r="F23" s="29"/>
      <c r="G23" s="29"/>
      <c r="H23" s="29"/>
      <c r="I23" s="29"/>
      <c r="J23" s="29"/>
      <c r="K23" s="32"/>
      <c r="M23" s="255" t="b">
        <v>0</v>
      </c>
      <c r="N23" s="255" t="b">
        <v>0</v>
      </c>
      <c r="P23" s="256" t="str">
        <f>MODIFIER(S21+U21-ABS(S23))</f>
        <v>+1</v>
      </c>
      <c r="Q23" s="258" t="str">
        <f>MODIFIER(S21+U21-2*ABS(S23))</f>
        <v>–4</v>
      </c>
      <c r="R23" s="192"/>
      <c r="S23" s="63">
        <f>IF(N23,-4,-5)</f>
        <v>-5</v>
      </c>
      <c r="U23" s="263"/>
      <c r="V23" s="29"/>
      <c r="W23" s="32"/>
      <c r="X23" s="104" t="s">
        <v>106</v>
      </c>
      <c r="Y23" s="99">
        <f>vlookup(Y24,Data!$B$63:$C$68,2,0)</f>
        <v>3</v>
      </c>
      <c r="Z23" s="14"/>
      <c r="AA23" s="209"/>
      <c r="AB23" s="29"/>
      <c r="AC23" s="29"/>
      <c r="AD23" s="29"/>
      <c r="AE23" s="29"/>
      <c r="AF23" s="29"/>
      <c r="AG23" s="29"/>
      <c r="AH23" s="29"/>
      <c r="AI23" s="29"/>
      <c r="AJ23" s="32"/>
      <c r="AL23" s="255" t="b">
        <v>0</v>
      </c>
      <c r="AM23" s="255" t="b">
        <v>0</v>
      </c>
      <c r="AO23" s="256" t="str">
        <f>MODIFIER(AR21+AT21-ABS(AR23))</f>
        <v>+1</v>
      </c>
      <c r="AP23" s="258" t="str">
        <f>MODIFIER(AR21+AT21-2*ABS(AR23))</f>
        <v>–4</v>
      </c>
      <c r="AQ23" s="192"/>
      <c r="AR23" s="63">
        <f>IF(AM23,-4,-5)</f>
        <v>-5</v>
      </c>
      <c r="AT23" s="263"/>
      <c r="AU23" s="29"/>
      <c r="AV23" s="32"/>
      <c r="AW23" s="104" t="s">
        <v>106</v>
      </c>
      <c r="AX23" s="99">
        <f>vlookup(AX24,Data!$B$63:$C$68,2,0)</f>
        <v>3</v>
      </c>
      <c r="AZ23" s="80">
        <f>5+$BG$23+$BI$23+$BK$23</f>
        <v>8</v>
      </c>
      <c r="BA23" s="143" t="s">
        <v>113</v>
      </c>
      <c r="BB23" s="80">
        <f>10+$BG$23+$BI$23+$BK$23</f>
        <v>13</v>
      </c>
      <c r="BC23" s="146" t="s">
        <v>62</v>
      </c>
      <c r="BD23" s="147" t="s">
        <v>133</v>
      </c>
      <c r="BF23" s="149" t="s">
        <v>106</v>
      </c>
      <c r="BG23" s="99">
        <f>vlookup(BG22,Data!$B$63:$C$68,2,0)</f>
        <v>3</v>
      </c>
      <c r="BH23" s="150" t="s">
        <v>106</v>
      </c>
      <c r="BI23" s="151">
        <v>0.0</v>
      </c>
      <c r="BJ23" s="400"/>
      <c r="BK23" s="401"/>
      <c r="BL23" s="153"/>
      <c r="BN23" s="154"/>
      <c r="BO23" s="32"/>
      <c r="BP23" s="108"/>
      <c r="BQ23" s="397"/>
      <c r="BR23" s="29"/>
      <c r="BS23" s="32"/>
      <c r="BT23" s="14"/>
    </row>
    <row r="24" ht="9.75" customHeight="1">
      <c r="A24" s="49"/>
      <c r="B24" s="267" t="s">
        <v>227</v>
      </c>
      <c r="M24" s="268" t="s">
        <v>228</v>
      </c>
      <c r="N24" s="269" t="s">
        <v>229</v>
      </c>
      <c r="P24" s="269" t="s">
        <v>230</v>
      </c>
      <c r="R24" s="269"/>
      <c r="S24" s="269" t="s">
        <v>231</v>
      </c>
      <c r="T24" s="202"/>
      <c r="U24" s="269" t="s">
        <v>232</v>
      </c>
      <c r="X24" s="231"/>
      <c r="Y24" s="269" t="s">
        <v>119</v>
      </c>
      <c r="Z24" s="270"/>
      <c r="AA24" s="267" t="s">
        <v>227</v>
      </c>
      <c r="AL24" s="287" t="s">
        <v>228</v>
      </c>
      <c r="AM24" s="287" t="s">
        <v>229</v>
      </c>
      <c r="AO24" s="269" t="s">
        <v>230</v>
      </c>
      <c r="AQ24" s="269"/>
      <c r="AR24" s="269" t="s">
        <v>231</v>
      </c>
      <c r="AT24" s="269" t="s">
        <v>232</v>
      </c>
      <c r="AW24" s="231"/>
      <c r="AX24" s="269" t="s">
        <v>119</v>
      </c>
      <c r="AY24" s="220"/>
      <c r="AZ24" s="245"/>
      <c r="BA24" s="245"/>
      <c r="BB24" s="245"/>
      <c r="BC24" s="245"/>
      <c r="BD24" s="246"/>
      <c r="BE24" s="246"/>
      <c r="BF24" s="48"/>
      <c r="BH24" s="49"/>
      <c r="BI24" s="48"/>
      <c r="BJ24" s="49"/>
      <c r="BK24" s="48"/>
      <c r="BL24" s="48"/>
      <c r="BM24" s="48"/>
      <c r="BN24" s="48"/>
      <c r="BO24" s="48"/>
      <c r="BP24" s="49"/>
      <c r="BQ24" s="48"/>
      <c r="BT24" s="49"/>
    </row>
    <row r="25" ht="9.75" customHeight="1">
      <c r="A25" s="127"/>
      <c r="AY25" s="220"/>
      <c r="AZ25" s="402"/>
      <c r="BA25" s="402"/>
      <c r="BB25" s="402"/>
      <c r="BC25" s="402"/>
      <c r="BD25" s="48" t="s">
        <v>37</v>
      </c>
      <c r="BF25" s="48"/>
      <c r="BG25" s="48" t="s">
        <v>38</v>
      </c>
      <c r="BI25" s="48"/>
      <c r="BJ25" s="51" t="s">
        <v>39</v>
      </c>
      <c r="BL25" s="48"/>
      <c r="BM25" s="48" t="s">
        <v>40</v>
      </c>
      <c r="BO25" s="48"/>
      <c r="BP25" s="48" t="s">
        <v>42</v>
      </c>
      <c r="BQ25" s="48"/>
      <c r="BR25" s="48" t="s">
        <v>41</v>
      </c>
      <c r="BT25" s="49"/>
    </row>
    <row r="26" ht="15.75" customHeight="1">
      <c r="A26" s="10"/>
      <c r="B26" s="38" t="s">
        <v>1564</v>
      </c>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32"/>
      <c r="AY26" s="108"/>
      <c r="AZ26" s="1" t="s">
        <v>1580</v>
      </c>
      <c r="BD26" s="63">
        <v>0.0</v>
      </c>
      <c r="BF26" s="48"/>
      <c r="BG26" s="63">
        <v>5.0</v>
      </c>
      <c r="BI26" s="48"/>
      <c r="BJ26" s="65">
        <v>-1.0</v>
      </c>
      <c r="BL26" s="48"/>
      <c r="BM26" s="63">
        <v>-5.0</v>
      </c>
      <c r="BO26" s="48"/>
      <c r="BP26" s="63">
        <v>4.0</v>
      </c>
      <c r="BQ26" s="172"/>
      <c r="BR26" s="65">
        <v>3.0</v>
      </c>
      <c r="BT26" s="14"/>
    </row>
    <row r="27" ht="9.75" customHeight="1">
      <c r="A27" s="127"/>
      <c r="B27" s="361" t="s">
        <v>164</v>
      </c>
      <c r="C27" s="19"/>
      <c r="D27" s="362"/>
      <c r="E27" s="362"/>
      <c r="F27" s="362"/>
      <c r="G27" s="362"/>
      <c r="H27" s="362"/>
      <c r="I27" s="363"/>
      <c r="J27" s="361" t="s">
        <v>227</v>
      </c>
      <c r="K27" s="19"/>
      <c r="L27" s="362"/>
      <c r="M27" s="362"/>
      <c r="N27" s="362"/>
      <c r="O27" s="362"/>
      <c r="P27" s="362"/>
      <c r="Q27" s="362"/>
      <c r="R27" s="362"/>
      <c r="S27" s="362"/>
      <c r="T27" s="362"/>
      <c r="U27" s="362"/>
      <c r="V27" s="363"/>
      <c r="W27" s="364" t="s">
        <v>1127</v>
      </c>
      <c r="X27" s="362"/>
      <c r="Y27" s="363"/>
      <c r="Z27" s="189"/>
      <c r="AA27" s="361" t="s">
        <v>164</v>
      </c>
      <c r="AB27" s="19"/>
      <c r="AC27" s="362"/>
      <c r="AD27" s="362"/>
      <c r="AE27" s="362"/>
      <c r="AF27" s="362"/>
      <c r="AG27" s="362"/>
      <c r="AH27" s="363"/>
      <c r="AI27" s="361" t="s">
        <v>227</v>
      </c>
      <c r="AJ27" s="19"/>
      <c r="AK27" s="362"/>
      <c r="AL27" s="362"/>
      <c r="AM27" s="362"/>
      <c r="AN27" s="362"/>
      <c r="AO27" s="362"/>
      <c r="AP27" s="362"/>
      <c r="AQ27" s="362"/>
      <c r="AR27" s="362"/>
      <c r="AS27" s="362"/>
      <c r="AT27" s="362"/>
      <c r="AU27" s="363"/>
      <c r="AV27" s="364" t="s">
        <v>1127</v>
      </c>
      <c r="AW27" s="362"/>
      <c r="AX27" s="363"/>
      <c r="AY27" s="127"/>
      <c r="AZ27" s="403"/>
      <c r="BK27" s="53"/>
      <c r="BL27" s="53" t="s">
        <v>1618</v>
      </c>
      <c r="BM27" s="127"/>
      <c r="BN27" s="55" t="s">
        <v>47</v>
      </c>
      <c r="BO27" s="56"/>
      <c r="BP27" s="58" t="s">
        <v>42</v>
      </c>
      <c r="BQ27" s="59"/>
      <c r="BR27" s="48" t="s">
        <v>49</v>
      </c>
      <c r="BT27" s="127"/>
    </row>
    <row r="28" ht="15.75" customHeight="1">
      <c r="A28" s="10"/>
      <c r="B28" s="309"/>
      <c r="C28" s="43"/>
      <c r="D28" s="43"/>
      <c r="E28" s="43"/>
      <c r="F28" s="43"/>
      <c r="G28" s="43"/>
      <c r="H28" s="43"/>
      <c r="I28" s="44"/>
      <c r="J28" s="366"/>
      <c r="K28" s="43"/>
      <c r="L28" s="43"/>
      <c r="M28" s="43"/>
      <c r="N28" s="43"/>
      <c r="O28" s="43"/>
      <c r="P28" s="43"/>
      <c r="Q28" s="43"/>
      <c r="R28" s="43"/>
      <c r="S28" s="43"/>
      <c r="T28" s="43"/>
      <c r="U28" s="43"/>
      <c r="V28" s="44"/>
      <c r="W28" s="367"/>
      <c r="X28" s="43"/>
      <c r="Y28" s="44"/>
      <c r="Z28" s="404"/>
      <c r="AA28" s="309"/>
      <c r="AB28" s="43"/>
      <c r="AC28" s="43"/>
      <c r="AD28" s="43"/>
      <c r="AE28" s="43"/>
      <c r="AF28" s="43"/>
      <c r="AG28" s="43"/>
      <c r="AH28" s="44"/>
      <c r="AI28" s="366"/>
      <c r="AJ28" s="43"/>
      <c r="AK28" s="43"/>
      <c r="AL28" s="43"/>
      <c r="AM28" s="43"/>
      <c r="AN28" s="43"/>
      <c r="AO28" s="43"/>
      <c r="AP28" s="43"/>
      <c r="AQ28" s="43"/>
      <c r="AR28" s="43"/>
      <c r="AS28" s="43"/>
      <c r="AT28" s="43"/>
      <c r="AU28" s="44"/>
      <c r="AV28" s="367"/>
      <c r="AW28" s="43"/>
      <c r="AX28" s="44"/>
      <c r="AY28" s="10"/>
      <c r="AZ28" s="43"/>
      <c r="BA28" s="43"/>
      <c r="BB28" s="43"/>
      <c r="BC28" s="43"/>
      <c r="BD28" s="43"/>
      <c r="BE28" s="43"/>
      <c r="BF28" s="43"/>
      <c r="BG28" s="43"/>
      <c r="BH28" s="43"/>
      <c r="BI28" s="43"/>
      <c r="BJ28" s="43"/>
      <c r="BK28" s="68"/>
      <c r="BL28" s="68">
        <v>0.0</v>
      </c>
      <c r="BM28" s="405"/>
      <c r="BN28" s="71">
        <v>0.0</v>
      </c>
      <c r="BO28" s="72" t="s">
        <v>61</v>
      </c>
      <c r="BP28" s="71">
        <v>1.0</v>
      </c>
      <c r="BQ28" s="74" t="s">
        <v>62</v>
      </c>
      <c r="BR28" s="80">
        <f>IF(BP28="",0,IF(BN28="", CALCBULK(BP28), BN28*CALCBULK(BP28)))</f>
        <v>0</v>
      </c>
      <c r="BT28" s="14"/>
    </row>
    <row r="29" ht="9.75" customHeight="1">
      <c r="A29" s="127"/>
      <c r="B29" s="368" t="s">
        <v>162</v>
      </c>
      <c r="D29" s="41"/>
      <c r="E29" s="368" t="s">
        <v>181</v>
      </c>
      <c r="H29" s="186"/>
      <c r="I29" s="186"/>
      <c r="J29" s="186"/>
      <c r="K29" s="186"/>
      <c r="L29" s="186"/>
      <c r="M29" s="186"/>
      <c r="N29" s="186"/>
      <c r="O29" s="186"/>
      <c r="P29" s="186"/>
      <c r="Q29" s="186"/>
      <c r="R29" s="186"/>
      <c r="S29" s="186"/>
      <c r="T29" s="186"/>
      <c r="U29" s="186"/>
      <c r="V29" s="186"/>
      <c r="W29" s="186"/>
      <c r="X29" s="186"/>
      <c r="Y29" s="369"/>
      <c r="Z29" s="189"/>
      <c r="AA29" s="368" t="s">
        <v>162</v>
      </c>
      <c r="AC29" s="41"/>
      <c r="AD29" s="237" t="s">
        <v>181</v>
      </c>
      <c r="AG29" s="186"/>
      <c r="AH29" s="186"/>
      <c r="AI29" s="186"/>
      <c r="AJ29" s="186"/>
      <c r="AK29" s="186"/>
      <c r="AL29" s="186"/>
      <c r="AM29" s="186"/>
      <c r="AN29" s="186"/>
      <c r="AO29" s="186"/>
      <c r="AP29" s="186"/>
      <c r="AQ29" s="186"/>
      <c r="AR29" s="186"/>
      <c r="AS29" s="186"/>
      <c r="AT29" s="186"/>
      <c r="AU29" s="186"/>
      <c r="AV29" s="186"/>
      <c r="AW29" s="186"/>
      <c r="AX29" s="369"/>
      <c r="AY29" s="127"/>
      <c r="AZ29" s="403"/>
      <c r="BK29" s="53"/>
      <c r="BL29" s="53" t="s">
        <v>1618</v>
      </c>
      <c r="BM29" s="127"/>
      <c r="BN29" s="55" t="s">
        <v>47</v>
      </c>
      <c r="BO29" s="56"/>
      <c r="BP29" s="58" t="s">
        <v>42</v>
      </c>
      <c r="BQ29" s="59"/>
      <c r="BR29" s="48" t="s">
        <v>49</v>
      </c>
      <c r="BT29" s="127"/>
    </row>
    <row r="30" ht="15.75" customHeight="1">
      <c r="A30" s="10"/>
      <c r="B30" s="406"/>
      <c r="C30" s="43"/>
      <c r="D30" s="43"/>
      <c r="E30" s="366"/>
      <c r="F30" s="43"/>
      <c r="G30" s="43"/>
      <c r="H30" s="43"/>
      <c r="I30" s="43"/>
      <c r="J30" s="43"/>
      <c r="K30" s="43"/>
      <c r="L30" s="43"/>
      <c r="M30" s="43"/>
      <c r="N30" s="43"/>
      <c r="O30" s="43"/>
      <c r="P30" s="43"/>
      <c r="Q30" s="43"/>
      <c r="R30" s="43"/>
      <c r="S30" s="43"/>
      <c r="T30" s="43"/>
      <c r="U30" s="43"/>
      <c r="V30" s="43"/>
      <c r="W30" s="43"/>
      <c r="X30" s="43"/>
      <c r="Y30" s="44"/>
      <c r="Z30" s="404"/>
      <c r="AA30" s="406"/>
      <c r="AB30" s="43"/>
      <c r="AC30" s="43"/>
      <c r="AD30" s="366"/>
      <c r="AE30" s="43"/>
      <c r="AF30" s="43"/>
      <c r="AG30" s="43"/>
      <c r="AH30" s="43"/>
      <c r="AI30" s="43"/>
      <c r="AJ30" s="43"/>
      <c r="AK30" s="43"/>
      <c r="AL30" s="43"/>
      <c r="AM30" s="43"/>
      <c r="AN30" s="43"/>
      <c r="AO30" s="43"/>
      <c r="AP30" s="43"/>
      <c r="AQ30" s="43"/>
      <c r="AR30" s="43"/>
      <c r="AS30" s="43"/>
      <c r="AT30" s="43"/>
      <c r="AU30" s="43"/>
      <c r="AV30" s="43"/>
      <c r="AW30" s="43"/>
      <c r="AX30" s="44"/>
      <c r="AY30" s="10"/>
      <c r="AZ30" s="43"/>
      <c r="BA30" s="43"/>
      <c r="BB30" s="43"/>
      <c r="BC30" s="43"/>
      <c r="BD30" s="43"/>
      <c r="BE30" s="43"/>
      <c r="BF30" s="43"/>
      <c r="BG30" s="43"/>
      <c r="BH30" s="43"/>
      <c r="BI30" s="43"/>
      <c r="BJ30" s="43"/>
      <c r="BK30" s="68"/>
      <c r="BL30" s="68">
        <v>0.0</v>
      </c>
      <c r="BM30" s="405"/>
      <c r="BN30" s="71">
        <v>0.0</v>
      </c>
      <c r="BO30" s="72" t="s">
        <v>61</v>
      </c>
      <c r="BP30" s="71">
        <v>1.0</v>
      </c>
      <c r="BQ30" s="74" t="s">
        <v>62</v>
      </c>
      <c r="BR30" s="80">
        <f>IF(BP30="",0,IF(BN30="", CALCBULK(BP30), BN30*CALCBULK(BP30)))</f>
        <v>0</v>
      </c>
      <c r="BT30" s="14"/>
    </row>
    <row r="31" ht="9.75" customHeight="1">
      <c r="A31" s="127"/>
      <c r="B31" s="237"/>
      <c r="C31" s="237"/>
      <c r="D31" s="237"/>
      <c r="E31" s="237"/>
      <c r="F31" s="237"/>
      <c r="G31" s="237"/>
      <c r="H31" s="237"/>
      <c r="I31" s="237"/>
      <c r="J31" s="237"/>
      <c r="K31" s="237"/>
      <c r="L31" s="237"/>
      <c r="M31" s="237"/>
      <c r="N31" s="237"/>
      <c r="O31" s="237"/>
      <c r="P31" s="237"/>
      <c r="Q31" s="237"/>
      <c r="R31" s="237"/>
      <c r="S31" s="237"/>
      <c r="T31" s="237"/>
      <c r="U31" s="237"/>
      <c r="V31" s="237"/>
      <c r="W31" s="237"/>
      <c r="X31" s="237"/>
      <c r="Y31" s="237"/>
      <c r="Z31" s="237"/>
      <c r="AA31" s="237"/>
      <c r="AB31" s="237"/>
      <c r="AC31" s="237"/>
      <c r="AD31" s="237"/>
      <c r="AE31" s="237"/>
      <c r="AF31" s="237"/>
      <c r="AG31" s="237"/>
      <c r="AH31" s="237"/>
      <c r="AI31" s="237"/>
      <c r="AJ31" s="237"/>
      <c r="AK31" s="237"/>
      <c r="AL31" s="237"/>
      <c r="AM31" s="237"/>
      <c r="AN31" s="237"/>
      <c r="AO31" s="237"/>
      <c r="AP31" s="237"/>
      <c r="AQ31" s="237"/>
      <c r="AR31" s="237"/>
      <c r="AS31" s="237"/>
      <c r="AT31" s="237"/>
      <c r="AU31" s="237"/>
      <c r="AV31" s="237"/>
      <c r="AW31" s="237"/>
      <c r="AX31" s="237"/>
      <c r="AY31" s="127"/>
      <c r="AZ31" s="403"/>
      <c r="BK31" s="53"/>
      <c r="BL31" s="53" t="s">
        <v>1618</v>
      </c>
      <c r="BM31" s="127"/>
      <c r="BN31" s="55" t="s">
        <v>47</v>
      </c>
      <c r="BO31" s="56"/>
      <c r="BP31" s="58" t="s">
        <v>42</v>
      </c>
      <c r="BQ31" s="59"/>
      <c r="BR31" s="48" t="s">
        <v>49</v>
      </c>
      <c r="BT31" s="127"/>
    </row>
    <row r="32" ht="15.75" customHeight="1">
      <c r="A32" s="10"/>
      <c r="B32" s="38" t="s">
        <v>1751</v>
      </c>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32"/>
      <c r="AY32" s="14"/>
      <c r="AZ32" s="43"/>
      <c r="BA32" s="43"/>
      <c r="BB32" s="43"/>
      <c r="BC32" s="43"/>
      <c r="BD32" s="43"/>
      <c r="BE32" s="43"/>
      <c r="BF32" s="43"/>
      <c r="BG32" s="43"/>
      <c r="BH32" s="43"/>
      <c r="BI32" s="43"/>
      <c r="BJ32" s="43"/>
      <c r="BK32" s="68"/>
      <c r="BL32" s="68">
        <v>0.0</v>
      </c>
      <c r="BM32" s="405"/>
      <c r="BN32" s="71">
        <v>0.0</v>
      </c>
      <c r="BO32" s="72" t="s">
        <v>61</v>
      </c>
      <c r="BP32" s="71">
        <v>1.0</v>
      </c>
      <c r="BQ32" s="74" t="s">
        <v>62</v>
      </c>
      <c r="BR32" s="80">
        <f>IF(BP32="",0,IF(BN32="", CALCBULK(BP32), BN32*CALCBULK(BP32)))</f>
        <v>0</v>
      </c>
      <c r="BT32" s="14"/>
    </row>
    <row r="33" ht="9.75" customHeight="1">
      <c r="A33" s="127"/>
      <c r="B33" s="408"/>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21"/>
      <c r="AY33" s="127"/>
      <c r="AZ33" s="403"/>
      <c r="BK33" s="53"/>
      <c r="BL33" s="53" t="s">
        <v>1618</v>
      </c>
      <c r="BM33" s="127"/>
      <c r="BN33" s="55" t="s">
        <v>47</v>
      </c>
      <c r="BO33" s="56"/>
      <c r="BP33" s="58" t="s">
        <v>42</v>
      </c>
      <c r="BQ33" s="59"/>
      <c r="BR33" s="48" t="s">
        <v>49</v>
      </c>
      <c r="BT33" s="127"/>
    </row>
    <row r="34" ht="15.75" customHeight="1">
      <c r="A34" s="10"/>
      <c r="B34" s="40"/>
      <c r="AX34" s="41"/>
      <c r="AY34" s="10"/>
      <c r="AZ34" s="43"/>
      <c r="BA34" s="43"/>
      <c r="BB34" s="43"/>
      <c r="BC34" s="43"/>
      <c r="BD34" s="43"/>
      <c r="BE34" s="43"/>
      <c r="BF34" s="43"/>
      <c r="BG34" s="43"/>
      <c r="BH34" s="43"/>
      <c r="BI34" s="43"/>
      <c r="BJ34" s="43"/>
      <c r="BK34" s="68"/>
      <c r="BL34" s="68">
        <v>0.0</v>
      </c>
      <c r="BM34" s="405"/>
      <c r="BN34" s="71">
        <v>0.0</v>
      </c>
      <c r="BO34" s="72" t="s">
        <v>61</v>
      </c>
      <c r="BP34" s="71">
        <v>1.0</v>
      </c>
      <c r="BQ34" s="74" t="s">
        <v>62</v>
      </c>
      <c r="BR34" s="80">
        <f>IF(BP34="",0,IF(BN34="", CALCBULK(BP34), BN34*CALCBULK(BP34)))</f>
        <v>0</v>
      </c>
      <c r="BT34" s="14"/>
    </row>
    <row r="35" ht="9.75" customHeight="1">
      <c r="B35" s="40"/>
      <c r="AX35" s="41"/>
      <c r="AZ35" s="403"/>
      <c r="BK35" s="53"/>
      <c r="BL35" s="53" t="s">
        <v>1618</v>
      </c>
      <c r="BM35" s="127"/>
      <c r="BN35" s="55" t="s">
        <v>47</v>
      </c>
      <c r="BO35" s="56"/>
      <c r="BP35" s="58" t="s">
        <v>42</v>
      </c>
      <c r="BQ35" s="59"/>
      <c r="BR35" s="48" t="s">
        <v>49</v>
      </c>
    </row>
    <row r="36" ht="15.75" customHeight="1">
      <c r="B36" s="40"/>
      <c r="AX36" s="41"/>
      <c r="AZ36" s="43"/>
      <c r="BA36" s="43"/>
      <c r="BB36" s="43"/>
      <c r="BC36" s="43"/>
      <c r="BD36" s="43"/>
      <c r="BE36" s="43"/>
      <c r="BF36" s="43"/>
      <c r="BG36" s="43"/>
      <c r="BH36" s="43"/>
      <c r="BI36" s="43"/>
      <c r="BJ36" s="43"/>
      <c r="BK36" s="68"/>
      <c r="BL36" s="68">
        <v>0.0</v>
      </c>
      <c r="BM36" s="405"/>
      <c r="BN36" s="71">
        <v>0.0</v>
      </c>
      <c r="BO36" s="72" t="s">
        <v>61</v>
      </c>
      <c r="BP36" s="71">
        <v>1.0</v>
      </c>
      <c r="BQ36" s="74" t="s">
        <v>62</v>
      </c>
      <c r="BR36" s="80">
        <f>IF(BP36="",0,IF(BN36="", CALCBULK(BP36), BN36*CALCBULK(BP36)))</f>
        <v>0</v>
      </c>
    </row>
    <row r="37" ht="9.75" customHeight="1">
      <c r="B37" s="40"/>
      <c r="AX37" s="41"/>
      <c r="AZ37" s="403"/>
      <c r="BK37" s="53"/>
      <c r="BL37" s="53" t="s">
        <v>1618</v>
      </c>
      <c r="BM37" s="127"/>
      <c r="BN37" s="55" t="s">
        <v>47</v>
      </c>
      <c r="BO37" s="56"/>
      <c r="BP37" s="58" t="s">
        <v>42</v>
      </c>
      <c r="BQ37" s="59"/>
      <c r="BR37" s="48" t="s">
        <v>49</v>
      </c>
    </row>
    <row r="38" ht="15.75" customHeight="1">
      <c r="B38" s="42"/>
      <c r="C38" s="43"/>
      <c r="D38" s="43"/>
      <c r="E38" s="43"/>
      <c r="F38" s="43"/>
      <c r="G38" s="43"/>
      <c r="H38" s="43"/>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4"/>
      <c r="AZ38" s="43"/>
      <c r="BA38" s="43"/>
      <c r="BB38" s="43"/>
      <c r="BC38" s="43"/>
      <c r="BD38" s="43"/>
      <c r="BE38" s="43"/>
      <c r="BF38" s="43"/>
      <c r="BG38" s="43"/>
      <c r="BH38" s="43"/>
      <c r="BI38" s="43"/>
      <c r="BJ38" s="43"/>
      <c r="BK38" s="68"/>
      <c r="BL38" s="68">
        <v>0.0</v>
      </c>
      <c r="BM38" s="405"/>
      <c r="BN38" s="71">
        <v>0.0</v>
      </c>
      <c r="BO38" s="72" t="s">
        <v>61</v>
      </c>
      <c r="BP38" s="71">
        <v>1.0</v>
      </c>
      <c r="BQ38" s="74" t="s">
        <v>62</v>
      </c>
      <c r="BR38" s="80">
        <f>IF(BP38="",0,IF(BN38="", CALCBULK(BP38), BN38*CALCBULK(BP38)))</f>
        <v>0</v>
      </c>
    </row>
    <row r="39" ht="9.75" customHeight="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O39" s="10"/>
    </row>
  </sheetData>
  <mergeCells count="157">
    <mergeCell ref="BJ2:BL3"/>
    <mergeCell ref="BN2:BS3"/>
    <mergeCell ref="AX4:BB5"/>
    <mergeCell ref="BC4:BH5"/>
    <mergeCell ref="BJ4:BL5"/>
    <mergeCell ref="BN4:BN5"/>
    <mergeCell ref="BO4:BS5"/>
    <mergeCell ref="BF8:BG8"/>
    <mergeCell ref="B7:I7"/>
    <mergeCell ref="K7:Y7"/>
    <mergeCell ref="AA7:AQ7"/>
    <mergeCell ref="AS7:AX7"/>
    <mergeCell ref="AZ7:BS7"/>
    <mergeCell ref="B2:O5"/>
    <mergeCell ref="Q2:T5"/>
    <mergeCell ref="U2:AL5"/>
    <mergeCell ref="AM2:AQ3"/>
    <mergeCell ref="AR2:AW3"/>
    <mergeCell ref="AX2:BB3"/>
    <mergeCell ref="BC2:BH3"/>
    <mergeCell ref="AC8:AE8"/>
    <mergeCell ref="AC9:AE9"/>
    <mergeCell ref="S9:T9"/>
    <mergeCell ref="S11:T11"/>
    <mergeCell ref="AA11:AQ11"/>
    <mergeCell ref="AF12:AG12"/>
    <mergeCell ref="BF12:BG12"/>
    <mergeCell ref="K13:L13"/>
    <mergeCell ref="S13:T13"/>
    <mergeCell ref="AA13:AE13"/>
    <mergeCell ref="AF13:AG13"/>
    <mergeCell ref="K15:Y15"/>
    <mergeCell ref="AA15:AE15"/>
    <mergeCell ref="AF15:AG15"/>
    <mergeCell ref="AS15:AT15"/>
    <mergeCell ref="K16:L16"/>
    <mergeCell ref="U16:Y16"/>
    <mergeCell ref="K11:L11"/>
    <mergeCell ref="K17:L17"/>
    <mergeCell ref="U17:Y17"/>
    <mergeCell ref="AA17:AE17"/>
    <mergeCell ref="AZ31:BJ32"/>
    <mergeCell ref="AZ33:BJ34"/>
    <mergeCell ref="AZ35:BJ36"/>
    <mergeCell ref="AZ37:BJ38"/>
    <mergeCell ref="AZ26:BC26"/>
    <mergeCell ref="BD26:BE26"/>
    <mergeCell ref="BG26:BH26"/>
    <mergeCell ref="BJ26:BK26"/>
    <mergeCell ref="BM26:BN26"/>
    <mergeCell ref="AZ27:BJ28"/>
    <mergeCell ref="AZ29:BJ30"/>
    <mergeCell ref="BR35:BS35"/>
    <mergeCell ref="BR36:BS36"/>
    <mergeCell ref="BR37:BS37"/>
    <mergeCell ref="BR38:BS38"/>
    <mergeCell ref="BR26:BS26"/>
    <mergeCell ref="BR29:BS29"/>
    <mergeCell ref="BR30:BS30"/>
    <mergeCell ref="BR31:BS31"/>
    <mergeCell ref="BR32:BS32"/>
    <mergeCell ref="BR33:BS33"/>
    <mergeCell ref="BR34:BS34"/>
    <mergeCell ref="AW8:AX8"/>
    <mergeCell ref="AW9:AX9"/>
    <mergeCell ref="BA9:BE9"/>
    <mergeCell ref="BF9:BG9"/>
    <mergeCell ref="AW10:AX10"/>
    <mergeCell ref="BF10:BG10"/>
    <mergeCell ref="AW11:AX11"/>
    <mergeCell ref="BA11:BE11"/>
    <mergeCell ref="BF11:BG11"/>
    <mergeCell ref="BA13:BE13"/>
    <mergeCell ref="BF13:BG13"/>
    <mergeCell ref="BF14:BG14"/>
    <mergeCell ref="BF15:BG15"/>
    <mergeCell ref="BF16:BG16"/>
    <mergeCell ref="BG20:BI20"/>
    <mergeCell ref="BN20:BO20"/>
    <mergeCell ref="BN21:BO21"/>
    <mergeCell ref="BQ21:BS21"/>
    <mergeCell ref="BN22:BO22"/>
    <mergeCell ref="BQ22:BS22"/>
    <mergeCell ref="BN23:BO23"/>
    <mergeCell ref="BQ23:BS23"/>
    <mergeCell ref="BA15:BE15"/>
    <mergeCell ref="BA17:BE17"/>
    <mergeCell ref="BF17:BG17"/>
    <mergeCell ref="BF18:BG18"/>
    <mergeCell ref="AZ19:BS19"/>
    <mergeCell ref="BC20:BE20"/>
    <mergeCell ref="BQ20:BS20"/>
    <mergeCell ref="BD25:BE25"/>
    <mergeCell ref="BG25:BH25"/>
    <mergeCell ref="BJ25:BK25"/>
    <mergeCell ref="BM25:BN25"/>
    <mergeCell ref="BR25:BS25"/>
    <mergeCell ref="AZ20:BB20"/>
    <mergeCell ref="AZ21:BB21"/>
    <mergeCell ref="BC21:BE21"/>
    <mergeCell ref="BG21:BI21"/>
    <mergeCell ref="BD22:BE22"/>
    <mergeCell ref="BD23:BE23"/>
    <mergeCell ref="BF24:BG24"/>
    <mergeCell ref="BR27:BS27"/>
    <mergeCell ref="BR28:BS28"/>
    <mergeCell ref="AD30:AX30"/>
    <mergeCell ref="B32:AX32"/>
    <mergeCell ref="B33:AX38"/>
    <mergeCell ref="B29:D29"/>
    <mergeCell ref="E29:G29"/>
    <mergeCell ref="AA29:AC29"/>
    <mergeCell ref="AD29:AF29"/>
    <mergeCell ref="B30:D30"/>
    <mergeCell ref="E30:Y30"/>
    <mergeCell ref="AA30:AC30"/>
    <mergeCell ref="AS13:AX13"/>
    <mergeCell ref="AF14:AG14"/>
    <mergeCell ref="AS14:AT14"/>
    <mergeCell ref="AM4:AQ5"/>
    <mergeCell ref="AR4:AW5"/>
    <mergeCell ref="B8:I17"/>
    <mergeCell ref="AS8:AU8"/>
    <mergeCell ref="K9:L9"/>
    <mergeCell ref="AS9:AU9"/>
    <mergeCell ref="AF16:AG16"/>
    <mergeCell ref="AA20:AK20"/>
    <mergeCell ref="AA21:AM21"/>
    <mergeCell ref="AA23:AJ23"/>
    <mergeCell ref="AT23:AV23"/>
    <mergeCell ref="AA24:AJ24"/>
    <mergeCell ref="AO24:AP24"/>
    <mergeCell ref="AT24:AV24"/>
    <mergeCell ref="AF17:AG17"/>
    <mergeCell ref="B19:AX19"/>
    <mergeCell ref="B20:L20"/>
    <mergeCell ref="P20:Q20"/>
    <mergeCell ref="AO20:AP20"/>
    <mergeCell ref="P21:Q21"/>
    <mergeCell ref="AO21:AP21"/>
    <mergeCell ref="B21:N21"/>
    <mergeCell ref="B23:K23"/>
    <mergeCell ref="U23:W23"/>
    <mergeCell ref="B24:K24"/>
    <mergeCell ref="P24:Q24"/>
    <mergeCell ref="U24:W24"/>
    <mergeCell ref="B26:AX26"/>
    <mergeCell ref="AA28:AH28"/>
    <mergeCell ref="AI28:AU28"/>
    <mergeCell ref="AV28:AX28"/>
    <mergeCell ref="B27:C27"/>
    <mergeCell ref="J27:K27"/>
    <mergeCell ref="AA27:AB27"/>
    <mergeCell ref="AI27:AJ27"/>
    <mergeCell ref="B28:I28"/>
    <mergeCell ref="J28:V28"/>
    <mergeCell ref="W28:Y28"/>
  </mergeCells>
  <conditionalFormatting sqref="O8:Q13 W8:Y13 AF8:AO9 BH8:BQ17 N9:N13 V9:V13 AH12:AO17 AQ12:AQ17 AU14:AW17 AX14:AX15 M16:R17 AT16:AT17 R20:Y21 AQ20:AX21 BC22:BI23 S23:S24 AR23:AR24">
    <cfRule type="expression" dxfId="2" priority="1">
      <formula>$BN$4</formula>
    </cfRule>
  </conditionalFormatting>
  <dataValidations>
    <dataValidation type="list" allowBlank="1" showDropDown="1" showInputMessage="1" showErrorMessage="1" prompt="Select an ability (three letter abbreviation)" sqref="BI8">
      <formula1>Data!$B$14:$B$19</formula1>
    </dataValidation>
    <dataValidation type="list" allowBlank="1" showDropDown="1" showInputMessage="1" showErrorMessage="1" prompt="Select Animal Type" sqref="AR4">
      <formula1>Data!$B$73:$B$86</formula1>
    </dataValidation>
    <dataValidation type="list" allowBlank="1" showDropDown="1" showErrorMessage="1" sqref="AG8 BI10 AI12 BI12 AI14 AV14 BI14 AI16 BI16 BI18 S20 AR20 BG22 BI24">
      <formula1>Data!$B$14:$B$19</formula1>
    </dataValidation>
  </dataValidations>
  <printOptions gridLines="1" horizontalCentered="1" verticalCentered="1"/>
  <pageMargins bottom="0.2" footer="0.0" header="0.0" left="0.2" right="0.2" top="0.2"/>
  <pageSetup orientation="landscape" pageOrder="overThenDown"/>
  <rowBreaks count="2" manualBreakCount="2">
    <brk man="1"/>
    <brk id="34" man="1"/>
  </rowBreaks>
  <colBreaks count="2" manualBreakCount="2">
    <brk man="1"/>
    <brk id="72" man="1"/>
  </colBreak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sheetPr>
  <sheetViews>
    <sheetView showGridLines="0" workbookViewId="0"/>
  </sheetViews>
  <sheetFormatPr customHeight="1" defaultColWidth="12.63" defaultRowHeight="15.75"/>
  <cols>
    <col customWidth="1" min="1" max="72" width="2.63"/>
  </cols>
  <sheetData>
    <row r="1" ht="9.75" customHeight="1">
      <c r="A1" s="9"/>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row>
    <row r="2" ht="9.75" customHeight="1">
      <c r="A2" s="10"/>
      <c r="B2" s="14"/>
      <c r="P2" s="10"/>
      <c r="Q2" s="18" t="s">
        <v>899</v>
      </c>
      <c r="R2" s="19"/>
      <c r="S2" s="19"/>
      <c r="T2" s="21"/>
      <c r="U2" s="24"/>
      <c r="V2" s="19"/>
      <c r="W2" s="19"/>
      <c r="X2" s="19"/>
      <c r="Y2" s="19"/>
      <c r="Z2" s="19"/>
      <c r="AA2" s="19"/>
      <c r="AB2" s="19"/>
      <c r="AC2" s="19"/>
      <c r="AD2" s="19"/>
      <c r="AE2" s="19"/>
      <c r="AF2" s="19"/>
      <c r="AG2" s="19"/>
      <c r="AH2" s="19"/>
      <c r="AI2" s="19"/>
      <c r="AJ2" s="19"/>
      <c r="AK2" s="19"/>
      <c r="AL2" s="19"/>
      <c r="AM2" s="18" t="s">
        <v>812</v>
      </c>
      <c r="AN2" s="19"/>
      <c r="AO2" s="19"/>
      <c r="AP2" s="19"/>
      <c r="AQ2" s="21"/>
      <c r="AR2" s="37"/>
      <c r="AS2" s="19"/>
      <c r="AT2" s="19"/>
      <c r="AU2" s="19"/>
      <c r="AV2" s="19"/>
      <c r="AW2" s="19"/>
      <c r="AX2" s="19"/>
      <c r="AY2" s="19"/>
      <c r="AZ2" s="19"/>
      <c r="BA2" s="19"/>
      <c r="BB2" s="19"/>
      <c r="BC2" s="19"/>
      <c r="BD2" s="19"/>
      <c r="BE2" s="19"/>
      <c r="BF2" s="19"/>
      <c r="BG2" s="19"/>
      <c r="BH2" s="21"/>
      <c r="BI2" s="10"/>
      <c r="BJ2" s="148" t="s">
        <v>88</v>
      </c>
      <c r="BM2" s="10"/>
      <c r="BN2" s="148" t="s">
        <v>134</v>
      </c>
      <c r="BT2" s="10"/>
    </row>
    <row r="3" ht="15.75" customHeight="1">
      <c r="A3" s="10"/>
      <c r="P3" s="10"/>
      <c r="Q3" s="40"/>
      <c r="T3" s="41"/>
      <c r="AM3" s="42"/>
      <c r="AN3" s="43"/>
      <c r="AO3" s="43"/>
      <c r="AP3" s="43"/>
      <c r="AQ3" s="44"/>
      <c r="AR3" s="43"/>
      <c r="AS3" s="43"/>
      <c r="AT3" s="43"/>
      <c r="AU3" s="43"/>
      <c r="AV3" s="43"/>
      <c r="AW3" s="43"/>
      <c r="AX3" s="43"/>
      <c r="AY3" s="43"/>
      <c r="AZ3" s="43"/>
      <c r="BA3" s="43"/>
      <c r="BB3" s="43"/>
      <c r="BC3" s="43"/>
      <c r="BD3" s="43"/>
      <c r="BE3" s="43"/>
      <c r="BF3" s="43"/>
      <c r="BG3" s="43"/>
      <c r="BH3" s="44"/>
      <c r="BI3" s="10"/>
      <c r="BM3" s="347"/>
      <c r="BT3" s="348"/>
    </row>
    <row r="4" ht="9.75" customHeight="1">
      <c r="A4" s="10"/>
      <c r="P4" s="10"/>
      <c r="Q4" s="40"/>
      <c r="T4" s="41"/>
      <c r="AM4" s="45" t="s">
        <v>36</v>
      </c>
      <c r="AQ4" s="41"/>
      <c r="AR4" s="37" t="s">
        <v>932</v>
      </c>
      <c r="AS4" s="19"/>
      <c r="AT4" s="19"/>
      <c r="AU4" s="19"/>
      <c r="AV4" s="19"/>
      <c r="AW4" s="19"/>
      <c r="AX4" s="19"/>
      <c r="AY4" s="19"/>
      <c r="AZ4" s="19"/>
      <c r="BA4" s="19"/>
      <c r="BB4" s="19"/>
      <c r="BC4" s="19"/>
      <c r="BD4" s="19"/>
      <c r="BE4" s="19"/>
      <c r="BF4" s="19"/>
      <c r="BG4" s="19"/>
      <c r="BH4" s="21"/>
      <c r="BI4" s="10"/>
      <c r="BJ4" s="349">
        <f>'Character Sheet'!$AZ$13</f>
        <v>1</v>
      </c>
      <c r="BM4" s="347"/>
      <c r="BN4" s="168" t="b">
        <v>0</v>
      </c>
      <c r="BO4" s="169" t="s">
        <v>153</v>
      </c>
      <c r="BT4" s="348"/>
    </row>
    <row r="5" ht="15.75" customHeight="1">
      <c r="A5" s="10"/>
      <c r="P5" s="10"/>
      <c r="Q5" s="42"/>
      <c r="R5" s="43"/>
      <c r="S5" s="43"/>
      <c r="T5" s="44"/>
      <c r="U5" s="43"/>
      <c r="V5" s="43"/>
      <c r="W5" s="43"/>
      <c r="X5" s="43"/>
      <c r="Y5" s="43"/>
      <c r="Z5" s="43"/>
      <c r="AA5" s="43"/>
      <c r="AB5" s="43"/>
      <c r="AC5" s="43"/>
      <c r="AD5" s="43"/>
      <c r="AE5" s="43"/>
      <c r="AF5" s="43"/>
      <c r="AG5" s="43"/>
      <c r="AH5" s="43"/>
      <c r="AI5" s="43"/>
      <c r="AJ5" s="43"/>
      <c r="AK5" s="43"/>
      <c r="AL5" s="43"/>
      <c r="AM5" s="42"/>
      <c r="AN5" s="43"/>
      <c r="AO5" s="43"/>
      <c r="AP5" s="43"/>
      <c r="AQ5" s="44"/>
      <c r="AR5" s="43"/>
      <c r="AS5" s="43"/>
      <c r="AT5" s="43"/>
      <c r="AU5" s="43"/>
      <c r="AV5" s="43"/>
      <c r="AW5" s="43"/>
      <c r="AX5" s="43"/>
      <c r="AY5" s="43"/>
      <c r="AZ5" s="43"/>
      <c r="BA5" s="43"/>
      <c r="BB5" s="43"/>
      <c r="BC5" s="43"/>
      <c r="BD5" s="43"/>
      <c r="BE5" s="43"/>
      <c r="BF5" s="43"/>
      <c r="BG5" s="43"/>
      <c r="BH5" s="44"/>
      <c r="BI5" s="10"/>
      <c r="BM5" s="347"/>
      <c r="BT5" s="348"/>
    </row>
    <row r="6" ht="15.75" customHeight="1">
      <c r="A6" s="10"/>
      <c r="B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row>
    <row r="7" ht="15.75" customHeight="1">
      <c r="A7" s="14"/>
      <c r="B7" s="88" t="s">
        <v>80</v>
      </c>
      <c r="C7" s="29"/>
      <c r="D7" s="29"/>
      <c r="E7" s="29"/>
      <c r="F7" s="29"/>
      <c r="G7" s="29"/>
      <c r="H7" s="29"/>
      <c r="I7" s="29"/>
      <c r="J7" s="29"/>
      <c r="K7" s="32"/>
      <c r="M7" s="163" t="s">
        <v>179</v>
      </c>
      <c r="N7" s="29"/>
      <c r="O7" s="29"/>
      <c r="P7" s="29"/>
      <c r="Q7" s="29"/>
      <c r="R7" s="29"/>
      <c r="S7" s="29"/>
      <c r="T7" s="29"/>
      <c r="U7" s="29"/>
      <c r="V7" s="29"/>
      <c r="W7" s="29"/>
      <c r="X7" s="32"/>
      <c r="Z7" s="88" t="s">
        <v>145</v>
      </c>
      <c r="AA7" s="29"/>
      <c r="AB7" s="29"/>
      <c r="AC7" s="29"/>
      <c r="AD7" s="29"/>
      <c r="AE7" s="29"/>
      <c r="AF7" s="29"/>
      <c r="AG7" s="29"/>
      <c r="AH7" s="29"/>
      <c r="AI7" s="29"/>
      <c r="AJ7" s="29"/>
      <c r="AK7" s="32"/>
      <c r="AL7" s="90"/>
      <c r="AM7" s="38" t="s">
        <v>83</v>
      </c>
      <c r="AN7" s="29"/>
      <c r="AO7" s="29"/>
      <c r="AP7" s="29"/>
      <c r="AQ7" s="29"/>
      <c r="AR7" s="29"/>
      <c r="AS7" s="29"/>
      <c r="AT7" s="32"/>
      <c r="AV7" s="358" t="s">
        <v>1016</v>
      </c>
      <c r="AW7" s="19"/>
      <c r="AX7" s="19"/>
      <c r="AY7" s="19"/>
      <c r="AZ7" s="19"/>
      <c r="BA7" s="19"/>
      <c r="BB7" s="19"/>
      <c r="BC7" s="19"/>
      <c r="BD7" s="19"/>
      <c r="BE7" s="19"/>
      <c r="BF7" s="19"/>
      <c r="BG7" s="19"/>
      <c r="BH7" s="19"/>
      <c r="BI7" s="19"/>
      <c r="BJ7" s="19"/>
      <c r="BK7" s="19"/>
      <c r="BL7" s="19"/>
      <c r="BM7" s="19"/>
      <c r="BN7" s="19"/>
      <c r="BO7" s="19"/>
      <c r="BP7" s="19"/>
      <c r="BQ7" s="19"/>
      <c r="BR7" s="19"/>
      <c r="BS7" s="19"/>
      <c r="BT7" s="64"/>
    </row>
    <row r="8" ht="9.75" customHeight="1">
      <c r="A8" s="49"/>
      <c r="B8" s="351"/>
      <c r="C8" s="19"/>
      <c r="D8" s="19"/>
      <c r="E8" s="19"/>
      <c r="F8" s="19"/>
      <c r="G8" s="19"/>
      <c r="H8" s="19"/>
      <c r="I8" s="19"/>
      <c r="J8" s="19"/>
      <c r="K8" s="21"/>
      <c r="N8" s="48" t="s">
        <v>186</v>
      </c>
      <c r="P8" s="49"/>
      <c r="Q8" s="48" t="s">
        <v>188</v>
      </c>
      <c r="AC8" s="48" t="s">
        <v>142</v>
      </c>
      <c r="AE8" s="48"/>
      <c r="AF8" s="48" t="str">
        <f>'Character Sheet'!$AE$28</f>
        <v>Wis</v>
      </c>
      <c r="AG8" s="98"/>
      <c r="AH8" s="48" t="s">
        <v>88</v>
      </c>
      <c r="AL8" s="48"/>
      <c r="AN8" s="48" t="s">
        <v>37</v>
      </c>
      <c r="AP8" s="49"/>
      <c r="AQ8" s="48" t="s">
        <v>93</v>
      </c>
      <c r="AR8" s="49"/>
      <c r="AS8" s="48" t="s">
        <v>146</v>
      </c>
      <c r="AV8" s="42"/>
      <c r="AW8" s="43"/>
      <c r="AX8" s="43"/>
      <c r="AY8" s="43"/>
      <c r="AZ8" s="43"/>
      <c r="BA8" s="43"/>
      <c r="BB8" s="43"/>
      <c r="BC8" s="43"/>
      <c r="BD8" s="43"/>
      <c r="BE8" s="43"/>
      <c r="BF8" s="43"/>
      <c r="BG8" s="43"/>
      <c r="BH8" s="43"/>
      <c r="BI8" s="43"/>
      <c r="BJ8" s="43"/>
      <c r="BK8" s="43"/>
      <c r="BL8" s="43"/>
      <c r="BM8" s="43"/>
      <c r="BN8" s="43"/>
      <c r="BO8" s="43"/>
      <c r="BP8" s="43"/>
      <c r="BQ8" s="43"/>
      <c r="BR8" s="43"/>
      <c r="BS8" s="43"/>
      <c r="BT8" s="49"/>
    </row>
    <row r="9" ht="15.75" customHeight="1">
      <c r="A9" s="10"/>
      <c r="B9" s="40"/>
      <c r="K9" s="41"/>
      <c r="N9" s="360">
        <v>25.0</v>
      </c>
      <c r="P9" s="192"/>
      <c r="Q9" s="209" t="s">
        <v>1070</v>
      </c>
      <c r="R9" s="29"/>
      <c r="S9" s="29"/>
      <c r="T9" s="29"/>
      <c r="U9" s="29"/>
      <c r="V9" s="29"/>
      <c r="W9" s="32"/>
      <c r="X9" s="192"/>
      <c r="AC9" s="103" t="str">
        <f>MODIFIER(AH9+AF9)</f>
        <v>+1</v>
      </c>
      <c r="AE9" s="185" t="s">
        <v>62</v>
      </c>
      <c r="AF9" s="99">
        <f>'Character Sheet'!$AE$29</f>
        <v>0</v>
      </c>
      <c r="AG9" s="147" t="s">
        <v>106</v>
      </c>
      <c r="AH9" s="99">
        <f>$BJ$4</f>
        <v>1</v>
      </c>
      <c r="AL9" s="153"/>
      <c r="AN9" s="103">
        <f>10+AQ9+AS9</f>
        <v>13</v>
      </c>
      <c r="AP9" s="104" t="s">
        <v>62</v>
      </c>
      <c r="AQ9" s="99">
        <f>'Character Sheet'!AD13</f>
        <v>0</v>
      </c>
      <c r="AR9" s="104" t="s">
        <v>106</v>
      </c>
      <c r="AS9" s="99">
        <f>'Character Sheet'!AF13</f>
        <v>3</v>
      </c>
      <c r="BT9" s="192"/>
    </row>
    <row r="10" ht="9.75" customHeight="1">
      <c r="A10" s="49"/>
      <c r="B10" s="40"/>
      <c r="K10" s="41"/>
      <c r="M10" s="49"/>
      <c r="N10" s="49"/>
      <c r="O10" s="131"/>
      <c r="P10" s="131"/>
      <c r="Q10" s="355"/>
      <c r="S10" s="359"/>
      <c r="U10" s="49"/>
      <c r="V10" s="49"/>
      <c r="W10" s="131"/>
      <c r="X10" s="131"/>
      <c r="Y10" s="355"/>
      <c r="AA10" s="359"/>
      <c r="AL10" s="231"/>
      <c r="AS10" s="98"/>
      <c r="AV10" s="361" t="s">
        <v>164</v>
      </c>
      <c r="AW10" s="19"/>
      <c r="AX10" s="362"/>
      <c r="AY10" s="362"/>
      <c r="AZ10" s="362"/>
      <c r="BA10" s="362"/>
      <c r="BB10" s="362"/>
      <c r="BC10" s="363"/>
      <c r="BD10" s="361" t="s">
        <v>227</v>
      </c>
      <c r="BE10" s="19"/>
      <c r="BF10" s="362"/>
      <c r="BG10" s="362"/>
      <c r="BH10" s="362"/>
      <c r="BI10" s="362"/>
      <c r="BJ10" s="362"/>
      <c r="BK10" s="362"/>
      <c r="BL10" s="362"/>
      <c r="BM10" s="362"/>
      <c r="BN10" s="362"/>
      <c r="BO10" s="362"/>
      <c r="BP10" s="363"/>
      <c r="BQ10" s="364" t="s">
        <v>1127</v>
      </c>
      <c r="BR10" s="362"/>
      <c r="BS10" s="363"/>
      <c r="BT10" s="49"/>
    </row>
    <row r="11" ht="15.75" customHeight="1">
      <c r="A11" s="10"/>
      <c r="B11" s="40"/>
      <c r="K11" s="41"/>
      <c r="M11" s="163" t="s">
        <v>143</v>
      </c>
      <c r="N11" s="29"/>
      <c r="O11" s="29"/>
      <c r="P11" s="29"/>
      <c r="Q11" s="29"/>
      <c r="R11" s="29"/>
      <c r="S11" s="29"/>
      <c r="T11" s="29"/>
      <c r="U11" s="29"/>
      <c r="V11" s="29"/>
      <c r="W11" s="29"/>
      <c r="X11" s="29"/>
      <c r="Z11" s="163" t="s">
        <v>138</v>
      </c>
      <c r="AA11" s="29"/>
      <c r="AB11" s="29"/>
      <c r="AC11" s="29"/>
      <c r="AD11" s="29"/>
      <c r="AE11" s="29"/>
      <c r="AF11" s="29"/>
      <c r="AG11" s="29"/>
      <c r="AH11" s="29"/>
      <c r="AI11" s="29"/>
      <c r="AJ11" s="29"/>
      <c r="AK11" s="32"/>
      <c r="AM11" s="88" t="s">
        <v>87</v>
      </c>
      <c r="AN11" s="29"/>
      <c r="AO11" s="29"/>
      <c r="AP11" s="29"/>
      <c r="AQ11" s="29"/>
      <c r="AR11" s="29"/>
      <c r="AS11" s="29"/>
      <c r="AT11" s="32"/>
      <c r="AV11" s="309"/>
      <c r="AW11" s="43"/>
      <c r="AX11" s="43"/>
      <c r="AY11" s="43"/>
      <c r="AZ11" s="43"/>
      <c r="BA11" s="43"/>
      <c r="BB11" s="43"/>
      <c r="BC11" s="44"/>
      <c r="BD11" s="366"/>
      <c r="BE11" s="43"/>
      <c r="BF11" s="43"/>
      <c r="BG11" s="43"/>
      <c r="BH11" s="43"/>
      <c r="BI11" s="43"/>
      <c r="BJ11" s="43"/>
      <c r="BK11" s="43"/>
      <c r="BL11" s="43"/>
      <c r="BM11" s="43"/>
      <c r="BN11" s="43"/>
      <c r="BO11" s="43"/>
      <c r="BP11" s="44"/>
      <c r="BQ11" s="367"/>
      <c r="BR11" s="43"/>
      <c r="BS11" s="44"/>
      <c r="BT11" s="14"/>
    </row>
    <row r="12" ht="9.75" customHeight="1">
      <c r="A12" s="49"/>
      <c r="B12" s="40"/>
      <c r="K12" s="41"/>
      <c r="M12" s="48"/>
      <c r="N12" s="49"/>
      <c r="O12" s="49"/>
      <c r="P12" s="49"/>
      <c r="Q12" s="49"/>
      <c r="R12" s="48" t="s">
        <v>142</v>
      </c>
      <c r="T12" s="49"/>
      <c r="U12" s="48" t="s">
        <v>151</v>
      </c>
      <c r="V12" s="49"/>
      <c r="W12" s="48" t="s">
        <v>146</v>
      </c>
      <c r="X12" s="131"/>
      <c r="AA12" s="49"/>
      <c r="AB12" s="49"/>
      <c r="AC12" s="49"/>
      <c r="AD12" s="49"/>
      <c r="AE12" s="48" t="s">
        <v>142</v>
      </c>
      <c r="AG12" s="49"/>
      <c r="AH12" s="48" t="s">
        <v>88</v>
      </c>
      <c r="AI12" s="98"/>
      <c r="AJ12" s="48" t="str">
        <f>'Character Sheet'!$AE$28</f>
        <v>Wis</v>
      </c>
      <c r="AN12" s="48" t="s">
        <v>102</v>
      </c>
      <c r="AQ12" s="100"/>
      <c r="AR12" s="48" t="s">
        <v>101</v>
      </c>
      <c r="AV12" s="368" t="s">
        <v>162</v>
      </c>
      <c r="AX12" s="41"/>
      <c r="AY12" s="368" t="s">
        <v>181</v>
      </c>
      <c r="BB12" s="186"/>
      <c r="BC12" s="186"/>
      <c r="BD12" s="186"/>
      <c r="BE12" s="186"/>
      <c r="BF12" s="186"/>
      <c r="BG12" s="186"/>
      <c r="BH12" s="186"/>
      <c r="BI12" s="186"/>
      <c r="BJ12" s="186"/>
      <c r="BK12" s="186"/>
      <c r="BL12" s="186"/>
      <c r="BM12" s="186"/>
      <c r="BN12" s="186"/>
      <c r="BO12" s="186"/>
      <c r="BP12" s="186"/>
      <c r="BQ12" s="186"/>
      <c r="BR12" s="186"/>
      <c r="BS12" s="369"/>
      <c r="BT12" s="49"/>
    </row>
    <row r="13" ht="15.75" customHeight="1">
      <c r="A13" s="10"/>
      <c r="B13" s="40"/>
      <c r="K13" s="41"/>
      <c r="M13" s="171" t="s">
        <v>173</v>
      </c>
      <c r="R13" s="103" t="str">
        <f>MODIFIER(U13+W13)</f>
        <v>+3</v>
      </c>
      <c r="T13" s="104" t="s">
        <v>62</v>
      </c>
      <c r="U13" s="99">
        <f>'Character Sheet'!AI21</f>
        <v>0</v>
      </c>
      <c r="V13" s="104" t="s">
        <v>106</v>
      </c>
      <c r="W13" s="99">
        <f>'Character Sheet'!AK21</f>
        <v>3</v>
      </c>
      <c r="X13" s="192"/>
      <c r="AA13" s="171" t="s">
        <v>155</v>
      </c>
      <c r="AE13" s="103" t="str">
        <f>MODIFIER(AJ13+AH13)</f>
        <v>+1</v>
      </c>
      <c r="AG13" s="104" t="s">
        <v>62</v>
      </c>
      <c r="AH13" s="99">
        <f>$BJ$4</f>
        <v>1</v>
      </c>
      <c r="AI13" s="147" t="s">
        <v>106</v>
      </c>
      <c r="AJ13" s="99">
        <f>'Character Sheet'!$AE$29</f>
        <v>0</v>
      </c>
      <c r="AN13" s="116"/>
      <c r="AO13" s="19"/>
      <c r="AP13" s="21"/>
      <c r="AQ13" s="371" t="s">
        <v>113</v>
      </c>
      <c r="AR13" s="118">
        <f>5 * $BJ$4</f>
        <v>5</v>
      </c>
      <c r="AV13" s="372"/>
      <c r="AY13" s="366"/>
      <c r="AZ13" s="43"/>
      <c r="BA13" s="43"/>
      <c r="BB13" s="43"/>
      <c r="BC13" s="43"/>
      <c r="BD13" s="43"/>
      <c r="BE13" s="43"/>
      <c r="BF13" s="43"/>
      <c r="BG13" s="43"/>
      <c r="BH13" s="43"/>
      <c r="BI13" s="43"/>
      <c r="BJ13" s="43"/>
      <c r="BK13" s="43"/>
      <c r="BL13" s="43"/>
      <c r="BM13" s="43"/>
      <c r="BN13" s="43"/>
      <c r="BO13" s="43"/>
      <c r="BP13" s="43"/>
      <c r="BQ13" s="43"/>
      <c r="BR13" s="43"/>
      <c r="BS13" s="44"/>
      <c r="BT13" s="192"/>
    </row>
    <row r="14" ht="9.75" customHeight="1">
      <c r="A14" s="127"/>
      <c r="B14" s="40"/>
      <c r="K14" s="41"/>
      <c r="M14" s="187"/>
      <c r="N14" s="188"/>
      <c r="O14" s="188"/>
      <c r="P14" s="188"/>
      <c r="Q14" s="188"/>
      <c r="R14" s="48" t="s">
        <v>142</v>
      </c>
      <c r="T14" s="127"/>
      <c r="U14" s="48" t="s">
        <v>93</v>
      </c>
      <c r="V14" s="127"/>
      <c r="W14" s="48" t="s">
        <v>146</v>
      </c>
      <c r="X14" s="127"/>
      <c r="AA14" s="183"/>
      <c r="AB14" s="183"/>
      <c r="AC14" s="183"/>
      <c r="AD14" s="183"/>
      <c r="AE14" s="48" t="s">
        <v>142</v>
      </c>
      <c r="AG14" s="49"/>
      <c r="AH14" s="48" t="s">
        <v>88</v>
      </c>
      <c r="AI14" s="98"/>
      <c r="AJ14" s="48" t="str">
        <f>'Character Sheet'!$AE$28</f>
        <v>Wis</v>
      </c>
      <c r="AN14" s="40"/>
      <c r="AP14" s="41"/>
      <c r="AV14" s="373" t="s">
        <v>164</v>
      </c>
      <c r="AW14" s="19"/>
      <c r="AX14" s="374"/>
      <c r="AY14" s="375"/>
      <c r="AZ14" s="375"/>
      <c r="BA14" s="375"/>
      <c r="BB14" s="375"/>
      <c r="BC14" s="376"/>
      <c r="BD14" s="377" t="s">
        <v>227</v>
      </c>
      <c r="BF14" s="375"/>
      <c r="BG14" s="375"/>
      <c r="BH14" s="375"/>
      <c r="BI14" s="375"/>
      <c r="BJ14" s="375"/>
      <c r="BK14" s="375"/>
      <c r="BL14" s="375"/>
      <c r="BM14" s="375"/>
      <c r="BN14" s="375"/>
      <c r="BO14" s="375"/>
      <c r="BP14" s="376"/>
      <c r="BQ14" s="378" t="s">
        <v>1127</v>
      </c>
      <c r="BR14" s="375"/>
      <c r="BS14" s="376"/>
      <c r="BT14" s="127"/>
    </row>
    <row r="15" ht="15.75" customHeight="1">
      <c r="A15" s="10"/>
      <c r="B15" s="40"/>
      <c r="K15" s="41"/>
      <c r="M15" s="171" t="s">
        <v>180</v>
      </c>
      <c r="R15" s="103" t="str">
        <f>MODIFIER(U15+W15)</f>
        <v>+3</v>
      </c>
      <c r="T15" s="104" t="s">
        <v>62</v>
      </c>
      <c r="U15" s="99">
        <f>'Character Sheet'!AI23</f>
        <v>0</v>
      </c>
      <c r="V15" s="104" t="s">
        <v>106</v>
      </c>
      <c r="W15" s="99">
        <f>'Character Sheet'!AK23</f>
        <v>3</v>
      </c>
      <c r="X15" s="166"/>
      <c r="AA15" s="171" t="s">
        <v>257</v>
      </c>
      <c r="AE15" s="103" t="str">
        <f>MODIFIER(AJ15+AH15)</f>
        <v>+1</v>
      </c>
      <c r="AG15" s="104" t="s">
        <v>62</v>
      </c>
      <c r="AH15" s="99">
        <f>$BJ$4</f>
        <v>1</v>
      </c>
      <c r="AI15" s="147" t="s">
        <v>106</v>
      </c>
      <c r="AJ15" s="99">
        <f>'Character Sheet'!$AE$29</f>
        <v>0</v>
      </c>
      <c r="AN15" s="42"/>
      <c r="AO15" s="43"/>
      <c r="AP15" s="44"/>
      <c r="AV15" s="380"/>
      <c r="AW15" s="43"/>
      <c r="AX15" s="43"/>
      <c r="AY15" s="43"/>
      <c r="AZ15" s="43"/>
      <c r="BA15" s="43"/>
      <c r="BB15" s="43"/>
      <c r="BC15" s="44"/>
      <c r="BD15" s="381"/>
      <c r="BE15" s="43"/>
      <c r="BF15" s="43"/>
      <c r="BG15" s="43"/>
      <c r="BH15" s="43"/>
      <c r="BI15" s="43"/>
      <c r="BJ15" s="43"/>
      <c r="BK15" s="43"/>
      <c r="BL15" s="43"/>
      <c r="BM15" s="43"/>
      <c r="BN15" s="43"/>
      <c r="BO15" s="43"/>
      <c r="BP15" s="44"/>
      <c r="BQ15" s="382"/>
      <c r="BR15" s="43"/>
      <c r="BS15" s="44"/>
      <c r="BT15" s="14"/>
    </row>
    <row r="16" ht="9.75" customHeight="1">
      <c r="A16" s="49"/>
      <c r="B16" s="40"/>
      <c r="K16" s="41"/>
      <c r="M16" s="187"/>
      <c r="N16" s="188"/>
      <c r="O16" s="188"/>
      <c r="P16" s="188"/>
      <c r="Q16" s="188"/>
      <c r="R16" s="48" t="s">
        <v>142</v>
      </c>
      <c r="T16" s="127"/>
      <c r="U16" s="48" t="s">
        <v>59</v>
      </c>
      <c r="V16" s="127"/>
      <c r="W16" s="48" t="s">
        <v>146</v>
      </c>
      <c r="AA16" s="183"/>
      <c r="AB16" s="183"/>
      <c r="AC16" s="183"/>
      <c r="AD16" s="183"/>
      <c r="AE16" s="48" t="s">
        <v>142</v>
      </c>
      <c r="AG16" s="49"/>
      <c r="AH16" s="48" t="s">
        <v>88</v>
      </c>
      <c r="AI16" s="98"/>
      <c r="AN16" s="144" t="s">
        <v>130</v>
      </c>
      <c r="AO16" s="145"/>
      <c r="AP16" s="144" t="s">
        <v>131</v>
      </c>
      <c r="AQ16" s="98"/>
      <c r="AR16" s="48" t="s">
        <v>132</v>
      </c>
      <c r="AU16" s="48"/>
      <c r="AV16" s="377" t="s">
        <v>162</v>
      </c>
      <c r="AX16" s="41"/>
      <c r="AY16" s="378" t="s">
        <v>181</v>
      </c>
      <c r="BB16" s="375"/>
      <c r="BC16" s="375"/>
      <c r="BD16" s="375"/>
      <c r="BE16" s="375"/>
      <c r="BF16" s="375"/>
      <c r="BG16" s="375"/>
      <c r="BH16" s="375"/>
      <c r="BI16" s="375"/>
      <c r="BJ16" s="375"/>
      <c r="BK16" s="375"/>
      <c r="BL16" s="375"/>
      <c r="BM16" s="375"/>
      <c r="BN16" s="375"/>
      <c r="BO16" s="375"/>
      <c r="BP16" s="375"/>
      <c r="BQ16" s="375"/>
      <c r="BR16" s="375"/>
      <c r="BS16" s="376"/>
      <c r="BT16" s="49"/>
    </row>
    <row r="17" ht="15.75" customHeight="1">
      <c r="A17" s="10"/>
      <c r="B17" s="42"/>
      <c r="C17" s="43"/>
      <c r="D17" s="43"/>
      <c r="E17" s="43"/>
      <c r="F17" s="43"/>
      <c r="G17" s="43"/>
      <c r="H17" s="43"/>
      <c r="I17" s="43"/>
      <c r="J17" s="43"/>
      <c r="K17" s="44"/>
      <c r="M17" s="171" t="s">
        <v>192</v>
      </c>
      <c r="R17" s="103" t="str">
        <f>MODIFIER(U17+W17)</f>
        <v>+3</v>
      </c>
      <c r="T17" s="104" t="s">
        <v>62</v>
      </c>
      <c r="U17" s="99">
        <f>'Character Sheet'!AI25</f>
        <v>0</v>
      </c>
      <c r="V17" s="104" t="s">
        <v>106</v>
      </c>
      <c r="W17" s="99">
        <f>'Character Sheet'!AK25</f>
        <v>3</v>
      </c>
      <c r="AA17" s="171" t="s">
        <v>1294</v>
      </c>
      <c r="AE17" s="103" t="str">
        <f>MODIFIER(AH17)</f>
        <v>+1</v>
      </c>
      <c r="AG17" s="104" t="s">
        <v>62</v>
      </c>
      <c r="AH17" s="99">
        <f>$BJ$4</f>
        <v>1</v>
      </c>
      <c r="AI17" s="143"/>
      <c r="AN17" s="158"/>
      <c r="AO17" s="117" t="s">
        <v>113</v>
      </c>
      <c r="AP17" s="158"/>
      <c r="AR17" s="159"/>
      <c r="AS17" s="32"/>
      <c r="AU17" s="153"/>
      <c r="AV17" s="385"/>
      <c r="AW17" s="43"/>
      <c r="AX17" s="44"/>
      <c r="AY17" s="382"/>
      <c r="AZ17" s="43"/>
      <c r="BA17" s="43"/>
      <c r="BB17" s="43"/>
      <c r="BC17" s="43"/>
      <c r="BD17" s="43"/>
      <c r="BE17" s="43"/>
      <c r="BF17" s="43"/>
      <c r="BG17" s="43"/>
      <c r="BH17" s="43"/>
      <c r="BI17" s="43"/>
      <c r="BJ17" s="43"/>
      <c r="BK17" s="43"/>
      <c r="BL17" s="43"/>
      <c r="BM17" s="43"/>
      <c r="BN17" s="43"/>
      <c r="BO17" s="43"/>
      <c r="BP17" s="43"/>
      <c r="BQ17" s="43"/>
      <c r="BR17" s="43"/>
      <c r="BS17" s="44"/>
      <c r="BT17" s="14"/>
    </row>
    <row r="18" ht="9.75" customHeight="1">
      <c r="A18" s="127"/>
      <c r="B18" s="383"/>
      <c r="C18" s="383"/>
      <c r="D18" s="383"/>
      <c r="E18" s="383"/>
      <c r="F18" s="383"/>
      <c r="G18" s="383"/>
      <c r="H18" s="383"/>
      <c r="I18" s="383"/>
      <c r="J18" s="384"/>
      <c r="K18" s="98"/>
      <c r="L18" s="127"/>
      <c r="M18" s="127"/>
      <c r="N18" s="127"/>
      <c r="O18" s="127"/>
      <c r="P18" s="127"/>
      <c r="Q18" s="127"/>
      <c r="R18" s="127"/>
      <c r="S18" s="127"/>
      <c r="T18" s="127"/>
      <c r="U18" s="127"/>
      <c r="V18" s="127"/>
      <c r="W18" s="127"/>
      <c r="X18" s="127"/>
      <c r="Y18" s="127"/>
      <c r="Z18" s="127"/>
      <c r="AR18" s="98"/>
      <c r="AY18" s="190"/>
      <c r="AZ18" s="227"/>
      <c r="BA18" s="183"/>
      <c r="BB18" s="183"/>
      <c r="BC18" s="183"/>
      <c r="BD18" s="183"/>
      <c r="BE18" s="183"/>
      <c r="BF18" s="48"/>
      <c r="BH18" s="49"/>
      <c r="BI18" s="48"/>
      <c r="BJ18" s="49"/>
      <c r="BK18" s="48"/>
      <c r="BL18" s="48"/>
      <c r="BM18" s="48"/>
      <c r="BN18" s="48"/>
      <c r="BO18" s="48"/>
      <c r="BP18" s="49"/>
      <c r="BQ18" s="48"/>
      <c r="BT18" s="127"/>
    </row>
    <row r="19" ht="15.75" customHeight="1">
      <c r="A19" s="10"/>
      <c r="B19" s="38" t="s">
        <v>1316</v>
      </c>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32"/>
      <c r="AV19" s="90"/>
      <c r="AX19" s="38" t="s">
        <v>1332</v>
      </c>
      <c r="AY19" s="29"/>
      <c r="AZ19" s="29"/>
      <c r="BA19" s="29"/>
      <c r="BB19" s="29"/>
      <c r="BC19" s="29"/>
      <c r="BD19" s="29"/>
      <c r="BE19" s="29"/>
      <c r="BF19" s="29"/>
      <c r="BG19" s="29"/>
      <c r="BH19" s="29"/>
      <c r="BI19" s="29"/>
      <c r="BJ19" s="29"/>
      <c r="BK19" s="29"/>
      <c r="BL19" s="29"/>
      <c r="BM19" s="29"/>
      <c r="BN19" s="29"/>
      <c r="BO19" s="29"/>
      <c r="BP19" s="29"/>
      <c r="BQ19" s="29"/>
      <c r="BR19" s="29"/>
      <c r="BS19" s="32"/>
      <c r="BT19" s="386"/>
    </row>
    <row r="20" ht="9.75" customHeight="1">
      <c r="A20" s="127"/>
      <c r="B20" s="387" t="b">
        <v>0</v>
      </c>
      <c r="I20" s="388" t="s">
        <v>1348</v>
      </c>
      <c r="X20" s="130"/>
      <c r="Y20" s="130"/>
      <c r="Z20" s="387" t="b">
        <v>0</v>
      </c>
      <c r="AG20" s="388" t="s">
        <v>1351</v>
      </c>
      <c r="AV20" s="130"/>
      <c r="AW20" s="299"/>
      <c r="AX20" s="387" t="b">
        <v>0</v>
      </c>
      <c r="BE20" s="388" t="s">
        <v>1355</v>
      </c>
      <c r="BT20" s="390"/>
    </row>
    <row r="21" ht="15.75" customHeight="1">
      <c r="A21" s="10"/>
      <c r="X21" s="162"/>
      <c r="Y21" s="162"/>
      <c r="AV21" s="162"/>
      <c r="AW21" s="299"/>
      <c r="BT21" s="392"/>
    </row>
    <row r="22" ht="9.75" customHeight="1">
      <c r="A22" s="49"/>
      <c r="X22" s="162"/>
      <c r="Y22" s="162"/>
      <c r="AV22" s="162"/>
      <c r="AW22" s="299"/>
      <c r="BT22" s="390"/>
    </row>
    <row r="23" ht="15.75" customHeight="1">
      <c r="A23" s="10"/>
      <c r="B23" s="393" t="s">
        <v>1375</v>
      </c>
      <c r="C23" s="43"/>
      <c r="D23" s="43"/>
      <c r="E23" s="43"/>
      <c r="F23" s="43"/>
      <c r="G23" s="43"/>
      <c r="H23" s="43"/>
      <c r="I23" s="43"/>
      <c r="J23" s="43"/>
      <c r="K23" s="43"/>
      <c r="L23" s="43"/>
      <c r="M23" s="43"/>
      <c r="N23" s="43"/>
      <c r="O23" s="43"/>
      <c r="P23" s="43"/>
      <c r="Q23" s="43"/>
      <c r="R23" s="43"/>
      <c r="S23" s="43"/>
      <c r="T23" s="43"/>
      <c r="U23" s="43"/>
      <c r="V23" s="43"/>
      <c r="W23" s="43"/>
      <c r="X23" s="162"/>
      <c r="Y23" s="162"/>
      <c r="Z23" s="393" t="s">
        <v>1378</v>
      </c>
      <c r="AA23" s="43"/>
      <c r="AB23" s="43"/>
      <c r="AC23" s="43"/>
      <c r="AD23" s="43"/>
      <c r="AE23" s="43"/>
      <c r="AF23" s="43"/>
      <c r="AG23" s="43"/>
      <c r="AH23" s="43"/>
      <c r="AI23" s="43"/>
      <c r="AJ23" s="43"/>
      <c r="AK23" s="43"/>
      <c r="AL23" s="43"/>
      <c r="AM23" s="43"/>
      <c r="AN23" s="43"/>
      <c r="AO23" s="43"/>
      <c r="AP23" s="43"/>
      <c r="AQ23" s="43"/>
      <c r="AR23" s="43"/>
      <c r="AS23" s="43"/>
      <c r="AT23" s="43"/>
      <c r="AU23" s="43"/>
      <c r="AV23" s="162"/>
      <c r="AW23" s="299"/>
      <c r="AX23" s="393" t="s">
        <v>1380</v>
      </c>
      <c r="AY23" s="43"/>
      <c r="AZ23" s="43"/>
      <c r="BA23" s="43"/>
      <c r="BB23" s="43"/>
      <c r="BC23" s="43"/>
      <c r="BD23" s="43"/>
      <c r="BE23" s="43"/>
      <c r="BF23" s="43"/>
      <c r="BG23" s="43"/>
      <c r="BH23" s="43"/>
      <c r="BI23" s="43"/>
      <c r="BJ23" s="43"/>
      <c r="BK23" s="43"/>
      <c r="BL23" s="43"/>
      <c r="BM23" s="43"/>
      <c r="BN23" s="43"/>
      <c r="BO23" s="43"/>
      <c r="BP23" s="43"/>
      <c r="BQ23" s="43"/>
      <c r="BR23" s="43"/>
      <c r="BS23" s="43"/>
      <c r="BT23" s="386"/>
    </row>
    <row r="24" ht="9.75" customHeight="1">
      <c r="A24" s="49"/>
      <c r="B24" s="387" t="b">
        <v>0</v>
      </c>
      <c r="I24" s="388" t="s">
        <v>1388</v>
      </c>
      <c r="X24" s="130"/>
      <c r="Y24" s="130"/>
      <c r="Z24" s="387" t="b">
        <v>0</v>
      </c>
      <c r="AG24" s="388" t="s">
        <v>1396</v>
      </c>
      <c r="AV24" s="162"/>
      <c r="AW24" s="299"/>
      <c r="AX24" s="387" t="b">
        <v>0</v>
      </c>
      <c r="BE24" s="388" t="s">
        <v>1401</v>
      </c>
      <c r="BT24" s="394"/>
    </row>
    <row r="25" ht="15.75" customHeight="1">
      <c r="A25" s="10"/>
      <c r="X25" s="162"/>
      <c r="Y25" s="162"/>
      <c r="AV25" s="162"/>
      <c r="AW25" s="162"/>
      <c r="BT25" s="386"/>
    </row>
    <row r="26" ht="9.75" customHeight="1">
      <c r="A26" s="127"/>
      <c r="X26" s="162"/>
      <c r="Y26" s="162"/>
      <c r="AV26" s="162"/>
      <c r="AW26" s="162"/>
      <c r="BT26" s="390"/>
    </row>
    <row r="27" ht="15.75" customHeight="1">
      <c r="A27" s="10"/>
      <c r="B27" s="393" t="s">
        <v>1417</v>
      </c>
      <c r="C27" s="43"/>
      <c r="D27" s="43"/>
      <c r="E27" s="43"/>
      <c r="F27" s="43"/>
      <c r="G27" s="43"/>
      <c r="H27" s="43"/>
      <c r="I27" s="43"/>
      <c r="J27" s="43"/>
      <c r="K27" s="43"/>
      <c r="L27" s="43"/>
      <c r="M27" s="43"/>
      <c r="N27" s="43"/>
      <c r="O27" s="43"/>
      <c r="P27" s="43"/>
      <c r="Q27" s="43"/>
      <c r="R27" s="43"/>
      <c r="S27" s="43"/>
      <c r="T27" s="43"/>
      <c r="U27" s="43"/>
      <c r="V27" s="43"/>
      <c r="W27" s="43"/>
      <c r="X27" s="162"/>
      <c r="Y27" s="162"/>
      <c r="Z27" s="393" t="s">
        <v>1427</v>
      </c>
      <c r="AA27" s="43"/>
      <c r="AB27" s="43"/>
      <c r="AC27" s="43"/>
      <c r="AD27" s="43"/>
      <c r="AE27" s="43"/>
      <c r="AF27" s="43"/>
      <c r="AG27" s="43"/>
      <c r="AH27" s="43"/>
      <c r="AI27" s="43"/>
      <c r="AJ27" s="43"/>
      <c r="AK27" s="43"/>
      <c r="AL27" s="43"/>
      <c r="AM27" s="43"/>
      <c r="AN27" s="43"/>
      <c r="AO27" s="43"/>
      <c r="AP27" s="43"/>
      <c r="AQ27" s="43"/>
      <c r="AR27" s="43"/>
      <c r="AS27" s="43"/>
      <c r="AT27" s="43"/>
      <c r="AU27" s="43"/>
      <c r="AV27" s="162"/>
      <c r="AW27" s="162"/>
      <c r="AX27" s="393" t="s">
        <v>1434</v>
      </c>
      <c r="AY27" s="43"/>
      <c r="AZ27" s="43"/>
      <c r="BA27" s="43"/>
      <c r="BB27" s="43"/>
      <c r="BC27" s="43"/>
      <c r="BD27" s="43"/>
      <c r="BE27" s="43"/>
      <c r="BF27" s="43"/>
      <c r="BG27" s="43"/>
      <c r="BH27" s="43"/>
      <c r="BI27" s="43"/>
      <c r="BJ27" s="43"/>
      <c r="BK27" s="43"/>
      <c r="BL27" s="43"/>
      <c r="BM27" s="43"/>
      <c r="BN27" s="43"/>
      <c r="BO27" s="43"/>
      <c r="BP27" s="43"/>
      <c r="BQ27" s="43"/>
      <c r="BR27" s="43"/>
      <c r="BS27" s="43"/>
      <c r="BT27" s="386"/>
    </row>
    <row r="28" ht="9.75" customHeight="1">
      <c r="A28" s="127"/>
      <c r="B28" s="387" t="b">
        <v>0</v>
      </c>
      <c r="I28" s="388" t="s">
        <v>1442</v>
      </c>
      <c r="X28" s="130"/>
      <c r="Y28" s="130"/>
      <c r="Z28" s="387" t="b">
        <v>0</v>
      </c>
      <c r="AG28" s="388" t="s">
        <v>1444</v>
      </c>
      <c r="AV28" s="162"/>
      <c r="AX28" s="387" t="b">
        <v>0</v>
      </c>
      <c r="BE28" s="388" t="s">
        <v>1449</v>
      </c>
      <c r="BT28" s="390"/>
    </row>
    <row r="29" ht="15.75" customHeight="1">
      <c r="A29" s="10"/>
      <c r="X29" s="162"/>
      <c r="Y29" s="162"/>
      <c r="AV29" s="162"/>
      <c r="AW29" s="162"/>
      <c r="BT29" s="386"/>
    </row>
    <row r="30" ht="9.75" customHeight="1">
      <c r="A30" s="127"/>
      <c r="X30" s="162"/>
      <c r="Y30" s="162"/>
      <c r="AV30" s="162"/>
      <c r="AW30" s="162"/>
      <c r="BT30" s="390"/>
    </row>
    <row r="31" ht="15.75" customHeight="1">
      <c r="A31" s="10"/>
      <c r="B31" s="393" t="s">
        <v>1462</v>
      </c>
      <c r="C31" s="43"/>
      <c r="D31" s="43"/>
      <c r="E31" s="43"/>
      <c r="F31" s="43"/>
      <c r="G31" s="43"/>
      <c r="H31" s="43"/>
      <c r="I31" s="43"/>
      <c r="J31" s="43"/>
      <c r="K31" s="43"/>
      <c r="L31" s="43"/>
      <c r="M31" s="43"/>
      <c r="N31" s="43"/>
      <c r="O31" s="43"/>
      <c r="P31" s="43"/>
      <c r="Q31" s="43"/>
      <c r="R31" s="43"/>
      <c r="S31" s="43"/>
      <c r="T31" s="43"/>
      <c r="U31" s="43"/>
      <c r="V31" s="43"/>
      <c r="W31" s="43"/>
      <c r="X31" s="162"/>
      <c r="Y31" s="162"/>
      <c r="Z31" s="393" t="s">
        <v>1471</v>
      </c>
      <c r="AA31" s="43"/>
      <c r="AB31" s="43"/>
      <c r="AC31" s="43"/>
      <c r="AD31" s="43"/>
      <c r="AE31" s="43"/>
      <c r="AF31" s="43"/>
      <c r="AG31" s="43"/>
      <c r="AH31" s="43"/>
      <c r="AI31" s="43"/>
      <c r="AJ31" s="43"/>
      <c r="AK31" s="43"/>
      <c r="AL31" s="43"/>
      <c r="AM31" s="43"/>
      <c r="AN31" s="43"/>
      <c r="AO31" s="43"/>
      <c r="AP31" s="43"/>
      <c r="AQ31" s="43"/>
      <c r="AR31" s="43"/>
      <c r="AS31" s="43"/>
      <c r="AT31" s="43"/>
      <c r="AU31" s="43"/>
      <c r="AV31" s="162"/>
      <c r="AW31" s="162"/>
      <c r="AX31" s="393" t="s">
        <v>1475</v>
      </c>
      <c r="AY31" s="43"/>
      <c r="AZ31" s="43"/>
      <c r="BA31" s="43"/>
      <c r="BB31" s="43"/>
      <c r="BC31" s="43"/>
      <c r="BD31" s="43"/>
      <c r="BE31" s="43"/>
      <c r="BF31" s="43"/>
      <c r="BG31" s="43"/>
      <c r="BH31" s="43"/>
      <c r="BI31" s="43"/>
      <c r="BJ31" s="43"/>
      <c r="BK31" s="43"/>
      <c r="BL31" s="43"/>
      <c r="BM31" s="43"/>
      <c r="BN31" s="43"/>
      <c r="BO31" s="43"/>
      <c r="BP31" s="43"/>
      <c r="BQ31" s="43"/>
      <c r="BR31" s="43"/>
      <c r="BS31" s="43"/>
      <c r="BT31" s="386"/>
    </row>
    <row r="32" ht="12.75" customHeight="1">
      <c r="A32" s="127"/>
      <c r="B32" s="387" t="b">
        <v>0</v>
      </c>
      <c r="I32" s="173" t="s">
        <v>1486</v>
      </c>
      <c r="M32" s="173" t="s">
        <v>1488</v>
      </c>
      <c r="X32" s="130"/>
      <c r="Y32" s="130"/>
      <c r="Z32" s="387" t="b">
        <v>0</v>
      </c>
      <c r="AG32" s="388" t="s">
        <v>1491</v>
      </c>
      <c r="AV32" s="162"/>
      <c r="AW32" s="162"/>
      <c r="AX32" s="387" t="b">
        <v>0</v>
      </c>
      <c r="BE32" s="388" t="s">
        <v>1495</v>
      </c>
      <c r="BT32" s="390"/>
    </row>
    <row r="33" ht="15.75" customHeight="1">
      <c r="A33" s="10"/>
      <c r="I33" s="388" t="s">
        <v>1497</v>
      </c>
      <c r="X33" s="162"/>
      <c r="Y33" s="162"/>
      <c r="AV33" s="162"/>
      <c r="AW33" s="162"/>
      <c r="BT33" s="386"/>
    </row>
    <row r="34" ht="9.75" customHeight="1">
      <c r="X34" s="162"/>
      <c r="Y34" s="162"/>
      <c r="AV34" s="162"/>
      <c r="AW34" s="162"/>
      <c r="BT34" s="398"/>
    </row>
    <row r="35" ht="15.75" customHeight="1">
      <c r="B35" s="393" t="s">
        <v>1526</v>
      </c>
      <c r="C35" s="43"/>
      <c r="D35" s="43"/>
      <c r="E35" s="43"/>
      <c r="F35" s="43"/>
      <c r="G35" s="43"/>
      <c r="H35" s="43"/>
      <c r="I35" s="43"/>
      <c r="J35" s="43"/>
      <c r="K35" s="43"/>
      <c r="L35" s="43"/>
      <c r="M35" s="43"/>
      <c r="N35" s="43"/>
      <c r="O35" s="43"/>
      <c r="P35" s="43"/>
      <c r="Q35" s="43"/>
      <c r="R35" s="43"/>
      <c r="S35" s="43"/>
      <c r="T35" s="43"/>
      <c r="U35" s="43"/>
      <c r="V35" s="43"/>
      <c r="W35" s="43"/>
      <c r="X35" s="162"/>
      <c r="Y35" s="162"/>
      <c r="Z35" s="393" t="s">
        <v>1540</v>
      </c>
      <c r="AA35" s="43"/>
      <c r="AB35" s="43"/>
      <c r="AC35" s="43"/>
      <c r="AD35" s="43"/>
      <c r="AE35" s="43"/>
      <c r="AF35" s="43"/>
      <c r="AG35" s="43"/>
      <c r="AH35" s="43"/>
      <c r="AI35" s="43"/>
      <c r="AJ35" s="43"/>
      <c r="AK35" s="43"/>
      <c r="AL35" s="43"/>
      <c r="AM35" s="43"/>
      <c r="AN35" s="43"/>
      <c r="AO35" s="43"/>
      <c r="AP35" s="43"/>
      <c r="AQ35" s="43"/>
      <c r="AR35" s="43"/>
      <c r="AS35" s="43"/>
      <c r="AT35" s="43"/>
      <c r="AU35" s="43"/>
      <c r="AV35" s="162"/>
      <c r="AW35" s="162"/>
      <c r="AX35" s="393" t="s">
        <v>1546</v>
      </c>
      <c r="AY35" s="43"/>
      <c r="AZ35" s="43"/>
      <c r="BA35" s="43"/>
      <c r="BB35" s="43"/>
      <c r="BC35" s="43"/>
      <c r="BD35" s="43"/>
      <c r="BE35" s="43"/>
      <c r="BF35" s="43"/>
      <c r="BG35" s="43"/>
      <c r="BH35" s="43"/>
      <c r="BI35" s="43"/>
      <c r="BJ35" s="43"/>
      <c r="BK35" s="43"/>
      <c r="BL35" s="43"/>
      <c r="BM35" s="43"/>
      <c r="BN35" s="43"/>
      <c r="BO35" s="43"/>
      <c r="BP35" s="43"/>
      <c r="BQ35" s="43"/>
      <c r="BR35" s="43"/>
      <c r="BS35" s="43"/>
      <c r="BT35" s="398"/>
    </row>
    <row r="36" ht="9.75" customHeight="1">
      <c r="B36" s="387" t="b">
        <v>0</v>
      </c>
      <c r="I36" s="388" t="s">
        <v>1551</v>
      </c>
      <c r="X36" s="130"/>
      <c r="Y36" s="130"/>
      <c r="Z36" s="387" t="b">
        <v>0</v>
      </c>
      <c r="AG36" s="388" t="s">
        <v>1555</v>
      </c>
      <c r="AV36" s="162"/>
      <c r="AW36" s="162"/>
      <c r="AX36" s="387" t="b">
        <v>0</v>
      </c>
      <c r="BE36" s="388" t="s">
        <v>1559</v>
      </c>
      <c r="BT36" s="398"/>
    </row>
    <row r="37" ht="15.75" customHeight="1">
      <c r="X37" s="162"/>
      <c r="Y37" s="162"/>
      <c r="AV37" s="162"/>
      <c r="AW37" s="162"/>
      <c r="BT37" s="398"/>
    </row>
    <row r="38" ht="9.75" customHeight="1">
      <c r="X38" s="162"/>
      <c r="Y38" s="162"/>
      <c r="AV38" s="162"/>
      <c r="AW38" s="162"/>
      <c r="BT38" s="398"/>
    </row>
    <row r="39" ht="15.75" customHeight="1">
      <c r="B39" s="393" t="s">
        <v>1566</v>
      </c>
      <c r="C39" s="43"/>
      <c r="D39" s="43"/>
      <c r="E39" s="43"/>
      <c r="F39" s="43"/>
      <c r="G39" s="43"/>
      <c r="H39" s="43"/>
      <c r="I39" s="43"/>
      <c r="J39" s="43"/>
      <c r="K39" s="43"/>
      <c r="L39" s="43"/>
      <c r="M39" s="43"/>
      <c r="N39" s="43"/>
      <c r="O39" s="43"/>
      <c r="P39" s="43"/>
      <c r="Q39" s="43"/>
      <c r="R39" s="43"/>
      <c r="S39" s="43"/>
      <c r="T39" s="43"/>
      <c r="U39" s="43"/>
      <c r="V39" s="43"/>
      <c r="W39" s="43"/>
      <c r="X39" s="162"/>
      <c r="Y39" s="162"/>
      <c r="Z39" s="393" t="s">
        <v>1571</v>
      </c>
      <c r="AA39" s="43"/>
      <c r="AB39" s="43"/>
      <c r="AC39" s="43"/>
      <c r="AD39" s="43"/>
      <c r="AE39" s="43"/>
      <c r="AF39" s="43"/>
      <c r="AG39" s="43"/>
      <c r="AH39" s="43"/>
      <c r="AI39" s="43"/>
      <c r="AJ39" s="43"/>
      <c r="AK39" s="43"/>
      <c r="AL39" s="43"/>
      <c r="AM39" s="43"/>
      <c r="AN39" s="43"/>
      <c r="AO39" s="43"/>
      <c r="AP39" s="43"/>
      <c r="AQ39" s="43"/>
      <c r="AR39" s="43"/>
      <c r="AS39" s="43"/>
      <c r="AT39" s="43"/>
      <c r="AU39" s="43"/>
      <c r="AV39" s="130"/>
      <c r="AW39" s="130"/>
      <c r="AX39" s="393" t="s">
        <v>1579</v>
      </c>
      <c r="AY39" s="43"/>
      <c r="AZ39" s="43"/>
      <c r="BA39" s="43"/>
      <c r="BB39" s="43"/>
      <c r="BC39" s="43"/>
      <c r="BD39" s="43"/>
      <c r="BE39" s="43"/>
      <c r="BF39" s="43"/>
      <c r="BG39" s="43"/>
      <c r="BH39" s="43"/>
      <c r="BI39" s="43"/>
      <c r="BJ39" s="43"/>
      <c r="BK39" s="43"/>
      <c r="BL39" s="43"/>
      <c r="BM39" s="43"/>
      <c r="BN39" s="43"/>
      <c r="BO39" s="43"/>
      <c r="BP39" s="43"/>
      <c r="BQ39" s="43"/>
      <c r="BR39" s="43"/>
      <c r="BS39" s="43"/>
      <c r="BT39" s="398"/>
    </row>
    <row r="40" ht="9.75" customHeight="1">
      <c r="B40" s="387" t="b">
        <v>0</v>
      </c>
      <c r="I40" s="388" t="s">
        <v>1594</v>
      </c>
      <c r="X40" s="130"/>
      <c r="Y40" s="130"/>
      <c r="Z40" s="387" t="b">
        <v>0</v>
      </c>
      <c r="AG40" s="388" t="s">
        <v>1596</v>
      </c>
      <c r="AV40" s="130"/>
      <c r="AW40" s="130"/>
      <c r="AX40" s="387" t="b">
        <v>0</v>
      </c>
      <c r="BE40" s="388" t="s">
        <v>1607</v>
      </c>
      <c r="BT40" s="398"/>
    </row>
    <row r="41" ht="15.75" customHeight="1">
      <c r="X41" s="162"/>
      <c r="Y41" s="162"/>
      <c r="AV41" s="130"/>
      <c r="AW41" s="130"/>
      <c r="BT41" s="398"/>
    </row>
    <row r="42" ht="9.75" customHeight="1">
      <c r="X42" s="162"/>
      <c r="Y42" s="162"/>
      <c r="AV42" s="130"/>
      <c r="AW42" s="130"/>
      <c r="BT42" s="398"/>
    </row>
    <row r="43" ht="15.75" customHeight="1">
      <c r="B43" s="393" t="s">
        <v>1621</v>
      </c>
      <c r="C43" s="43"/>
      <c r="D43" s="43"/>
      <c r="E43" s="43"/>
      <c r="F43" s="43"/>
      <c r="G43" s="43"/>
      <c r="H43" s="43"/>
      <c r="I43" s="43"/>
      <c r="J43" s="43"/>
      <c r="K43" s="43"/>
      <c r="L43" s="43"/>
      <c r="M43" s="43"/>
      <c r="N43" s="43"/>
      <c r="O43" s="43"/>
      <c r="P43" s="43"/>
      <c r="Q43" s="43"/>
      <c r="R43" s="43"/>
      <c r="S43" s="43"/>
      <c r="T43" s="43"/>
      <c r="U43" s="43"/>
      <c r="V43" s="43"/>
      <c r="W43" s="43"/>
      <c r="X43" s="162"/>
      <c r="Y43" s="162"/>
      <c r="Z43" s="393" t="s">
        <v>1625</v>
      </c>
      <c r="AA43" s="43"/>
      <c r="AB43" s="43"/>
      <c r="AC43" s="43"/>
      <c r="AD43" s="43"/>
      <c r="AE43" s="43"/>
      <c r="AF43" s="43"/>
      <c r="AG43" s="43"/>
      <c r="AH43" s="43"/>
      <c r="AI43" s="43"/>
      <c r="AJ43" s="43"/>
      <c r="AK43" s="43"/>
      <c r="AL43" s="43"/>
      <c r="AM43" s="43"/>
      <c r="AN43" s="43"/>
      <c r="AO43" s="43"/>
      <c r="AP43" s="43"/>
      <c r="AQ43" s="43"/>
      <c r="AR43" s="43"/>
      <c r="AS43" s="43"/>
      <c r="AT43" s="43"/>
      <c r="AU43" s="43"/>
      <c r="AV43" s="130"/>
      <c r="AW43" s="130"/>
      <c r="AX43" s="393" t="s">
        <v>1637</v>
      </c>
      <c r="AY43" s="43"/>
      <c r="AZ43" s="43"/>
      <c r="BA43" s="43"/>
      <c r="BB43" s="43"/>
      <c r="BC43" s="43"/>
      <c r="BD43" s="43"/>
      <c r="BE43" s="43"/>
      <c r="BF43" s="43"/>
      <c r="BG43" s="43"/>
      <c r="BH43" s="43"/>
      <c r="BI43" s="43"/>
      <c r="BJ43" s="43"/>
      <c r="BK43" s="43"/>
      <c r="BL43" s="43"/>
      <c r="BM43" s="43"/>
      <c r="BN43" s="43"/>
      <c r="BO43" s="43"/>
      <c r="BP43" s="43"/>
      <c r="BQ43" s="43"/>
      <c r="BR43" s="43"/>
      <c r="BS43" s="43"/>
      <c r="BT43" s="398"/>
    </row>
    <row r="44" ht="9.75" customHeight="1">
      <c r="B44" s="130"/>
      <c r="C44" s="130"/>
      <c r="D44" s="130"/>
      <c r="E44" s="130"/>
      <c r="F44" s="13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0"/>
      <c r="AX44" s="130"/>
      <c r="AY44" s="130"/>
      <c r="AZ44" s="130"/>
      <c r="BA44" s="130"/>
      <c r="BB44" s="130"/>
      <c r="BC44" s="130"/>
      <c r="BD44" s="130"/>
      <c r="BE44" s="130"/>
      <c r="BF44" s="130"/>
      <c r="BG44" s="130"/>
      <c r="BH44" s="130"/>
      <c r="BI44" s="130"/>
      <c r="BJ44" s="130"/>
      <c r="BK44" s="130"/>
      <c r="BL44" s="130"/>
      <c r="BM44" s="130"/>
      <c r="BN44" s="130"/>
      <c r="BO44" s="130"/>
      <c r="BP44" s="130"/>
      <c r="BQ44" s="130"/>
      <c r="BR44" s="130"/>
      <c r="BS44" s="130"/>
      <c r="BT44" s="398"/>
    </row>
    <row r="45" ht="15.75" customHeight="1">
      <c r="B45" s="38" t="s">
        <v>1688</v>
      </c>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32"/>
      <c r="AV45" s="130"/>
      <c r="AW45" s="130"/>
      <c r="AX45" s="38" t="s">
        <v>1716</v>
      </c>
      <c r="AY45" s="29"/>
      <c r="AZ45" s="29"/>
      <c r="BA45" s="29"/>
      <c r="BB45" s="29"/>
      <c r="BC45" s="29"/>
      <c r="BD45" s="29"/>
      <c r="BE45" s="29"/>
      <c r="BF45" s="29"/>
      <c r="BG45" s="29"/>
      <c r="BH45" s="29"/>
      <c r="BI45" s="29"/>
      <c r="BJ45" s="29"/>
      <c r="BK45" s="29"/>
      <c r="BL45" s="29"/>
      <c r="BM45" s="29"/>
      <c r="BN45" s="29"/>
      <c r="BO45" s="29"/>
      <c r="BP45" s="29"/>
      <c r="BQ45" s="29"/>
      <c r="BR45" s="29"/>
      <c r="BS45" s="32"/>
      <c r="BT45" s="398"/>
    </row>
    <row r="46" ht="9.75" customHeight="1">
      <c r="B46" s="173" t="s">
        <v>1725</v>
      </c>
      <c r="D46" s="173" t="s">
        <v>678</v>
      </c>
      <c r="I46" s="388" t="s">
        <v>1727</v>
      </c>
      <c r="X46" s="130"/>
      <c r="Y46" s="130"/>
      <c r="Z46" s="173" t="s">
        <v>1725</v>
      </c>
      <c r="AB46" s="173" t="s">
        <v>1729</v>
      </c>
      <c r="AG46" s="388" t="s">
        <v>1732</v>
      </c>
      <c r="AV46" s="130"/>
      <c r="AW46" s="130"/>
      <c r="AX46" s="173" t="s">
        <v>1725</v>
      </c>
      <c r="AZ46" s="173" t="s">
        <v>678</v>
      </c>
      <c r="BE46" s="388" t="s">
        <v>1742</v>
      </c>
      <c r="BT46" s="398"/>
    </row>
    <row r="47" ht="15.75" customHeight="1">
      <c r="B47" s="387" t="b">
        <v>0</v>
      </c>
      <c r="X47" s="162"/>
      <c r="Y47" s="162"/>
      <c r="Z47" s="387" t="b">
        <v>0</v>
      </c>
      <c r="AV47" s="130"/>
      <c r="AW47" s="130"/>
      <c r="AX47" s="387" t="b">
        <v>0</v>
      </c>
      <c r="BT47" s="398"/>
    </row>
    <row r="48" ht="9.75" customHeight="1">
      <c r="X48" s="162"/>
      <c r="Y48" s="162"/>
      <c r="AV48" s="130"/>
      <c r="AW48" s="130"/>
      <c r="BT48" s="398"/>
    </row>
    <row r="49" ht="15.75" customHeight="1">
      <c r="B49" s="393" t="s">
        <v>1750</v>
      </c>
      <c r="C49" s="43"/>
      <c r="D49" s="43"/>
      <c r="E49" s="43"/>
      <c r="F49" s="43"/>
      <c r="G49" s="43"/>
      <c r="H49" s="43"/>
      <c r="I49" s="43"/>
      <c r="J49" s="43"/>
      <c r="K49" s="43"/>
      <c r="L49" s="43"/>
      <c r="M49" s="43"/>
      <c r="N49" s="43"/>
      <c r="O49" s="43"/>
      <c r="P49" s="43"/>
      <c r="Q49" s="43"/>
      <c r="R49" s="43"/>
      <c r="S49" s="43"/>
      <c r="T49" s="43"/>
      <c r="U49" s="43"/>
      <c r="V49" s="43"/>
      <c r="W49" s="43"/>
      <c r="X49" s="162"/>
      <c r="Y49" s="162"/>
      <c r="Z49" s="393" t="s">
        <v>1755</v>
      </c>
      <c r="AA49" s="43"/>
      <c r="AB49" s="43"/>
      <c r="AC49" s="43"/>
      <c r="AD49" s="43"/>
      <c r="AE49" s="43"/>
      <c r="AF49" s="43"/>
      <c r="AG49" s="43"/>
      <c r="AH49" s="43"/>
      <c r="AI49" s="43"/>
      <c r="AJ49" s="43"/>
      <c r="AK49" s="43"/>
      <c r="AL49" s="43"/>
      <c r="AM49" s="43"/>
      <c r="AN49" s="43"/>
      <c r="AO49" s="43"/>
      <c r="AP49" s="43"/>
      <c r="AQ49" s="43"/>
      <c r="AR49" s="43"/>
      <c r="AS49" s="43"/>
      <c r="AT49" s="43"/>
      <c r="AU49" s="43"/>
      <c r="AV49" s="130"/>
      <c r="AW49" s="130"/>
      <c r="AX49" s="393" t="s">
        <v>1757</v>
      </c>
      <c r="AY49" s="43"/>
      <c r="AZ49" s="43"/>
      <c r="BA49" s="43"/>
      <c r="BB49" s="43"/>
      <c r="BC49" s="43"/>
      <c r="BD49" s="43"/>
      <c r="BE49" s="43"/>
      <c r="BF49" s="43"/>
      <c r="BG49" s="43"/>
      <c r="BH49" s="43"/>
      <c r="BI49" s="43"/>
      <c r="BJ49" s="43"/>
      <c r="BK49" s="43"/>
      <c r="BL49" s="43"/>
      <c r="BM49" s="43"/>
      <c r="BN49" s="43"/>
      <c r="BO49" s="43"/>
      <c r="BP49" s="43"/>
      <c r="BQ49" s="43"/>
      <c r="BR49" s="43"/>
      <c r="BS49" s="43"/>
      <c r="BT49" s="398"/>
    </row>
    <row r="50" ht="9.75" customHeight="1">
      <c r="B50" s="173" t="s">
        <v>1725</v>
      </c>
      <c r="D50" s="173" t="s">
        <v>1729</v>
      </c>
      <c r="I50" s="388" t="s">
        <v>1767</v>
      </c>
      <c r="X50" s="162"/>
      <c r="Y50" s="162"/>
      <c r="Z50" s="173" t="s">
        <v>1725</v>
      </c>
      <c r="AB50" s="173" t="s">
        <v>678</v>
      </c>
      <c r="AG50" s="173" t="s">
        <v>1774</v>
      </c>
      <c r="AI50" s="173" t="s">
        <v>1775</v>
      </c>
      <c r="AV50" s="130"/>
      <c r="AW50" s="130"/>
      <c r="AX50" s="173" t="s">
        <v>1725</v>
      </c>
      <c r="AZ50" s="173" t="s">
        <v>1729</v>
      </c>
      <c r="BE50" s="388" t="s">
        <v>1777</v>
      </c>
      <c r="BT50" s="398"/>
    </row>
    <row r="51" ht="15.0" customHeight="1">
      <c r="B51" s="387" t="b">
        <v>0</v>
      </c>
      <c r="X51" s="162"/>
      <c r="Y51" s="162"/>
      <c r="Z51" s="387" t="b">
        <v>0</v>
      </c>
      <c r="AG51" s="388" t="s">
        <v>1785</v>
      </c>
      <c r="AV51" s="130"/>
      <c r="AW51" s="130"/>
      <c r="AX51" s="387" t="b">
        <v>0</v>
      </c>
      <c r="BT51" s="398"/>
    </row>
    <row r="52" ht="9.75" customHeight="1">
      <c r="X52" s="162"/>
      <c r="Y52" s="162"/>
      <c r="AV52" s="130"/>
      <c r="AW52" s="130"/>
      <c r="BT52" s="398"/>
    </row>
    <row r="53" ht="15.75" customHeight="1">
      <c r="B53" s="393" t="s">
        <v>1793</v>
      </c>
      <c r="C53" s="43"/>
      <c r="D53" s="43"/>
      <c r="E53" s="43"/>
      <c r="F53" s="43"/>
      <c r="G53" s="43"/>
      <c r="H53" s="43"/>
      <c r="I53" s="43"/>
      <c r="J53" s="43"/>
      <c r="K53" s="43"/>
      <c r="L53" s="43"/>
      <c r="M53" s="43"/>
      <c r="N53" s="43"/>
      <c r="O53" s="43"/>
      <c r="P53" s="43"/>
      <c r="Q53" s="43"/>
      <c r="R53" s="43"/>
      <c r="S53" s="43"/>
      <c r="T53" s="43"/>
      <c r="U53" s="43"/>
      <c r="V53" s="43"/>
      <c r="W53" s="43"/>
      <c r="X53" s="162"/>
      <c r="Y53" s="162"/>
      <c r="Z53" s="393" t="s">
        <v>1795</v>
      </c>
      <c r="AA53" s="43"/>
      <c r="AB53" s="43"/>
      <c r="AC53" s="43"/>
      <c r="AD53" s="43"/>
      <c r="AE53" s="43"/>
      <c r="AF53" s="43"/>
      <c r="AG53" s="43"/>
      <c r="AH53" s="43"/>
      <c r="AI53" s="43"/>
      <c r="AJ53" s="43"/>
      <c r="AK53" s="43"/>
      <c r="AL53" s="43"/>
      <c r="AM53" s="43"/>
      <c r="AN53" s="43"/>
      <c r="AO53" s="43"/>
      <c r="AP53" s="43"/>
      <c r="AQ53" s="43"/>
      <c r="AR53" s="43"/>
      <c r="AS53" s="43"/>
      <c r="AT53" s="43"/>
      <c r="AU53" s="43"/>
      <c r="AV53" s="130"/>
      <c r="AW53" s="130"/>
      <c r="AX53" s="393" t="s">
        <v>1802</v>
      </c>
      <c r="AY53" s="43"/>
      <c r="AZ53" s="43"/>
      <c r="BA53" s="43"/>
      <c r="BB53" s="43"/>
      <c r="BC53" s="43"/>
      <c r="BD53" s="43"/>
      <c r="BE53" s="43"/>
      <c r="BF53" s="43"/>
      <c r="BG53" s="43"/>
      <c r="BH53" s="43"/>
      <c r="BI53" s="43"/>
      <c r="BJ53" s="43"/>
      <c r="BK53" s="43"/>
      <c r="BL53" s="43"/>
      <c r="BM53" s="43"/>
      <c r="BN53" s="43"/>
      <c r="BO53" s="43"/>
      <c r="BP53" s="43"/>
      <c r="BQ53" s="43"/>
      <c r="BR53" s="43"/>
      <c r="BS53" s="43"/>
      <c r="BT53" s="398"/>
    </row>
    <row r="54" ht="11.25" customHeight="1">
      <c r="B54" s="173" t="s">
        <v>1725</v>
      </c>
      <c r="D54" s="173" t="s">
        <v>678</v>
      </c>
      <c r="I54" s="388" t="s">
        <v>1811</v>
      </c>
      <c r="X54" s="162"/>
      <c r="Y54" s="162"/>
      <c r="Z54" s="173" t="s">
        <v>1725</v>
      </c>
      <c r="AB54" s="173" t="s">
        <v>1729</v>
      </c>
      <c r="AG54" s="388" t="s">
        <v>1814</v>
      </c>
      <c r="AV54" s="130"/>
      <c r="AW54" s="130"/>
      <c r="AX54" s="173" t="s">
        <v>1725</v>
      </c>
      <c r="AZ54" s="173" t="s">
        <v>1729</v>
      </c>
      <c r="BE54" s="388" t="s">
        <v>1822</v>
      </c>
      <c r="BT54" s="398"/>
    </row>
    <row r="55" ht="15.75" customHeight="1">
      <c r="B55" s="387" t="b">
        <v>0</v>
      </c>
      <c r="X55" s="162"/>
      <c r="Y55" s="162"/>
      <c r="Z55" s="387" t="b">
        <v>0</v>
      </c>
      <c r="AV55" s="130"/>
      <c r="AW55" s="130"/>
      <c r="AX55" s="387" t="b">
        <v>0</v>
      </c>
      <c r="BT55" s="398"/>
    </row>
    <row r="56" ht="10.5" customHeight="1">
      <c r="X56" s="162"/>
      <c r="Y56" s="162"/>
      <c r="AV56" s="130"/>
      <c r="AW56" s="130"/>
      <c r="BT56" s="398"/>
    </row>
    <row r="57" ht="15.75" customHeight="1">
      <c r="B57" s="393" t="s">
        <v>1831</v>
      </c>
      <c r="C57" s="43"/>
      <c r="D57" s="43"/>
      <c r="E57" s="43"/>
      <c r="F57" s="43"/>
      <c r="G57" s="43"/>
      <c r="H57" s="43"/>
      <c r="I57" s="43"/>
      <c r="J57" s="43"/>
      <c r="K57" s="43"/>
      <c r="L57" s="43"/>
      <c r="M57" s="43"/>
      <c r="N57" s="43"/>
      <c r="O57" s="43"/>
      <c r="P57" s="43"/>
      <c r="Q57" s="43"/>
      <c r="R57" s="43"/>
      <c r="S57" s="43"/>
      <c r="T57" s="43"/>
      <c r="U57" s="43"/>
      <c r="V57" s="43"/>
      <c r="W57" s="43"/>
      <c r="X57" s="162"/>
      <c r="Y57" s="162"/>
      <c r="Z57" s="393" t="s">
        <v>1837</v>
      </c>
      <c r="AA57" s="43"/>
      <c r="AB57" s="43"/>
      <c r="AC57" s="43"/>
      <c r="AD57" s="43"/>
      <c r="AE57" s="43"/>
      <c r="AF57" s="43"/>
      <c r="AG57" s="43"/>
      <c r="AH57" s="43"/>
      <c r="AI57" s="43"/>
      <c r="AJ57" s="43"/>
      <c r="AK57" s="43"/>
      <c r="AL57" s="43"/>
      <c r="AM57" s="43"/>
      <c r="AN57" s="43"/>
      <c r="AO57" s="43"/>
      <c r="AP57" s="43"/>
      <c r="AQ57" s="43"/>
      <c r="AR57" s="43"/>
      <c r="AS57" s="43"/>
      <c r="AT57" s="43"/>
      <c r="AU57" s="43"/>
      <c r="AV57" s="130"/>
      <c r="AW57" s="130"/>
      <c r="AX57" s="393" t="s">
        <v>1841</v>
      </c>
      <c r="AY57" s="43"/>
      <c r="AZ57" s="43"/>
      <c r="BA57" s="43"/>
      <c r="BB57" s="43"/>
      <c r="BC57" s="43"/>
      <c r="BD57" s="43"/>
      <c r="BE57" s="43"/>
      <c r="BF57" s="43"/>
      <c r="BG57" s="43"/>
      <c r="BH57" s="43"/>
      <c r="BI57" s="43"/>
      <c r="BJ57" s="43"/>
      <c r="BK57" s="43"/>
      <c r="BL57" s="43"/>
      <c r="BM57" s="43"/>
      <c r="BN57" s="43"/>
      <c r="BO57" s="43"/>
      <c r="BP57" s="43"/>
      <c r="BQ57" s="43"/>
      <c r="BR57" s="43"/>
      <c r="BS57" s="43"/>
      <c r="BT57" s="398"/>
    </row>
    <row r="58" ht="9.75" customHeight="1">
      <c r="B58" s="173" t="s">
        <v>1725</v>
      </c>
      <c r="D58" s="173" t="s">
        <v>1729</v>
      </c>
      <c r="I58" s="388" t="s">
        <v>1848</v>
      </c>
      <c r="X58" s="162"/>
      <c r="Y58" s="162"/>
      <c r="Z58" s="173" t="s">
        <v>1725</v>
      </c>
      <c r="AB58" s="173" t="s">
        <v>678</v>
      </c>
      <c r="AG58" s="173" t="s">
        <v>1853</v>
      </c>
      <c r="AJ58" s="173" t="s">
        <v>1227</v>
      </c>
      <c r="AV58" s="130"/>
      <c r="AW58" s="130"/>
      <c r="AX58" s="173" t="s">
        <v>1725</v>
      </c>
      <c r="AZ58" s="173" t="s">
        <v>678</v>
      </c>
      <c r="BE58" s="388" t="s">
        <v>1857</v>
      </c>
      <c r="BT58" s="398"/>
    </row>
    <row r="59" ht="15.75" customHeight="1">
      <c r="B59" s="387" t="b">
        <v>0</v>
      </c>
      <c r="X59" s="162"/>
      <c r="Y59" s="162"/>
      <c r="Z59" s="387" t="b">
        <v>0</v>
      </c>
      <c r="AG59" s="388" t="s">
        <v>1860</v>
      </c>
      <c r="AV59" s="130"/>
      <c r="AW59" s="130"/>
      <c r="AX59" s="387" t="b">
        <v>0</v>
      </c>
      <c r="BT59" s="398"/>
    </row>
    <row r="60" ht="10.5" customHeight="1">
      <c r="X60" s="162"/>
      <c r="Y60" s="162"/>
      <c r="AV60" s="130"/>
      <c r="AW60" s="130"/>
      <c r="BT60" s="398"/>
    </row>
    <row r="61" ht="15.75" customHeight="1">
      <c r="B61" s="393" t="s">
        <v>1874</v>
      </c>
      <c r="C61" s="43"/>
      <c r="D61" s="43"/>
      <c r="E61" s="43"/>
      <c r="F61" s="43"/>
      <c r="G61" s="43"/>
      <c r="H61" s="43"/>
      <c r="I61" s="43"/>
      <c r="J61" s="43"/>
      <c r="K61" s="43"/>
      <c r="L61" s="43"/>
      <c r="M61" s="43"/>
      <c r="N61" s="43"/>
      <c r="O61" s="43"/>
      <c r="P61" s="43"/>
      <c r="Q61" s="43"/>
      <c r="R61" s="43"/>
      <c r="S61" s="43"/>
      <c r="T61" s="43"/>
      <c r="U61" s="43"/>
      <c r="V61" s="43"/>
      <c r="W61" s="43"/>
      <c r="X61" s="162"/>
      <c r="Y61" s="162"/>
      <c r="Z61" s="393" t="s">
        <v>1880</v>
      </c>
      <c r="AA61" s="43"/>
      <c r="AB61" s="43"/>
      <c r="AC61" s="43"/>
      <c r="AD61" s="43"/>
      <c r="AE61" s="43"/>
      <c r="AF61" s="43"/>
      <c r="AG61" s="43"/>
      <c r="AH61" s="43"/>
      <c r="AI61" s="43"/>
      <c r="AJ61" s="43"/>
      <c r="AK61" s="43"/>
      <c r="AL61" s="43"/>
      <c r="AM61" s="43"/>
      <c r="AN61" s="43"/>
      <c r="AO61" s="43"/>
      <c r="AP61" s="43"/>
      <c r="AQ61" s="43"/>
      <c r="AR61" s="43"/>
      <c r="AS61" s="43"/>
      <c r="AT61" s="43"/>
      <c r="AU61" s="43"/>
      <c r="AV61" s="130"/>
      <c r="AW61" s="130"/>
      <c r="AX61" s="393" t="s">
        <v>1882</v>
      </c>
      <c r="AY61" s="43"/>
      <c r="AZ61" s="43"/>
      <c r="BA61" s="43"/>
      <c r="BB61" s="43"/>
      <c r="BC61" s="43"/>
      <c r="BD61" s="43"/>
      <c r="BE61" s="43"/>
      <c r="BF61" s="43"/>
      <c r="BG61" s="43"/>
      <c r="BH61" s="43"/>
      <c r="BI61" s="43"/>
      <c r="BJ61" s="43"/>
      <c r="BK61" s="43"/>
      <c r="BL61" s="43"/>
      <c r="BM61" s="43"/>
      <c r="BN61" s="43"/>
      <c r="BO61" s="43"/>
      <c r="BP61" s="43"/>
      <c r="BQ61" s="43"/>
      <c r="BR61" s="43"/>
      <c r="BS61" s="43"/>
      <c r="BT61" s="398"/>
    </row>
    <row r="62" ht="10.5" customHeight="1">
      <c r="B62" s="173" t="s">
        <v>1725</v>
      </c>
      <c r="D62" s="173" t="s">
        <v>1729</v>
      </c>
      <c r="I62" s="388" t="s">
        <v>1888</v>
      </c>
      <c r="X62" s="162"/>
      <c r="Y62" s="162"/>
      <c r="Z62" s="173" t="s">
        <v>1725</v>
      </c>
      <c r="AB62" s="173" t="s">
        <v>1729</v>
      </c>
      <c r="AG62" s="388" t="s">
        <v>1890</v>
      </c>
      <c r="AV62" s="130"/>
      <c r="AW62" s="130"/>
      <c r="AX62" s="173" t="s">
        <v>1725</v>
      </c>
      <c r="AZ62" s="173" t="s">
        <v>1729</v>
      </c>
      <c r="BE62" s="388" t="s">
        <v>1892</v>
      </c>
      <c r="BT62" s="398"/>
    </row>
    <row r="63" ht="15.75" customHeight="1">
      <c r="B63" s="387" t="b">
        <v>0</v>
      </c>
      <c r="X63" s="162"/>
      <c r="Y63" s="162"/>
      <c r="Z63" s="387" t="b">
        <v>0</v>
      </c>
      <c r="AV63" s="130"/>
      <c r="AW63" s="130"/>
      <c r="AX63" s="387" t="b">
        <v>0</v>
      </c>
      <c r="BT63" s="398"/>
    </row>
    <row r="64" ht="9.75" customHeight="1">
      <c r="X64" s="162"/>
      <c r="Y64" s="162"/>
      <c r="AV64" s="130"/>
      <c r="AW64" s="130"/>
      <c r="BT64" s="398"/>
    </row>
    <row r="65" ht="15.75" customHeight="1">
      <c r="B65" s="393" t="s">
        <v>1899</v>
      </c>
      <c r="C65" s="43"/>
      <c r="D65" s="43"/>
      <c r="E65" s="43"/>
      <c r="F65" s="43"/>
      <c r="G65" s="43"/>
      <c r="H65" s="43"/>
      <c r="I65" s="43"/>
      <c r="J65" s="43"/>
      <c r="K65" s="43"/>
      <c r="L65" s="43"/>
      <c r="M65" s="43"/>
      <c r="N65" s="43"/>
      <c r="O65" s="43"/>
      <c r="P65" s="43"/>
      <c r="Q65" s="43"/>
      <c r="R65" s="43"/>
      <c r="S65" s="43"/>
      <c r="T65" s="43"/>
      <c r="U65" s="43"/>
      <c r="V65" s="43"/>
      <c r="W65" s="43"/>
      <c r="X65" s="162"/>
      <c r="Y65" s="162"/>
      <c r="Z65" s="393" t="s">
        <v>1908</v>
      </c>
      <c r="AA65" s="43"/>
      <c r="AB65" s="43"/>
      <c r="AC65" s="43"/>
      <c r="AD65" s="43"/>
      <c r="AE65" s="43"/>
      <c r="AF65" s="43"/>
      <c r="AG65" s="43"/>
      <c r="AH65" s="43"/>
      <c r="AI65" s="43"/>
      <c r="AJ65" s="43"/>
      <c r="AK65" s="43"/>
      <c r="AL65" s="43"/>
      <c r="AM65" s="43"/>
      <c r="AN65" s="43"/>
      <c r="AO65" s="43"/>
      <c r="AP65" s="43"/>
      <c r="AQ65" s="43"/>
      <c r="AR65" s="43"/>
      <c r="AS65" s="43"/>
      <c r="AT65" s="43"/>
      <c r="AU65" s="43"/>
      <c r="AV65" s="130"/>
      <c r="AW65" s="130"/>
      <c r="AX65" s="393" t="s">
        <v>1915</v>
      </c>
      <c r="AY65" s="43"/>
      <c r="AZ65" s="43"/>
      <c r="BA65" s="43"/>
      <c r="BB65" s="43"/>
      <c r="BC65" s="43"/>
      <c r="BD65" s="43"/>
      <c r="BE65" s="43"/>
      <c r="BF65" s="43"/>
      <c r="BG65" s="43"/>
      <c r="BH65" s="43"/>
      <c r="BI65" s="43"/>
      <c r="BJ65" s="43"/>
      <c r="BK65" s="43"/>
      <c r="BL65" s="43"/>
      <c r="BM65" s="43"/>
      <c r="BN65" s="43"/>
      <c r="BO65" s="43"/>
      <c r="BP65" s="43"/>
      <c r="BQ65" s="43"/>
      <c r="BR65" s="43"/>
      <c r="BS65" s="43"/>
      <c r="BT65" s="398"/>
    </row>
    <row r="66" ht="10.5" customHeight="1">
      <c r="B66" s="173" t="s">
        <v>1725</v>
      </c>
      <c r="D66" s="173" t="s">
        <v>678</v>
      </c>
      <c r="I66" s="388" t="s">
        <v>1922</v>
      </c>
      <c r="X66" s="162"/>
      <c r="Y66" s="162"/>
      <c r="Z66" s="173" t="s">
        <v>1725</v>
      </c>
      <c r="AB66" s="173" t="s">
        <v>678</v>
      </c>
      <c r="AG66" s="388" t="s">
        <v>1926</v>
      </c>
      <c r="AV66" s="130"/>
      <c r="AW66" s="130"/>
      <c r="AX66" s="412"/>
      <c r="AY66" s="412"/>
      <c r="AZ66" s="412"/>
      <c r="BA66" s="412"/>
      <c r="BB66" s="412"/>
      <c r="BC66" s="412"/>
      <c r="BD66" s="412"/>
      <c r="BE66" s="388"/>
      <c r="BF66" s="388"/>
      <c r="BG66" s="388"/>
      <c r="BH66" s="388"/>
      <c r="BI66" s="388"/>
      <c r="BJ66" s="388"/>
      <c r="BK66" s="388"/>
      <c r="BL66" s="388"/>
      <c r="BM66" s="388"/>
      <c r="BN66" s="388"/>
      <c r="BO66" s="388"/>
      <c r="BP66" s="388"/>
      <c r="BQ66" s="388"/>
      <c r="BR66" s="388"/>
      <c r="BS66" s="388"/>
      <c r="BT66" s="398"/>
    </row>
    <row r="67" ht="15.75" customHeight="1">
      <c r="B67" s="387" t="b">
        <v>0</v>
      </c>
      <c r="X67" s="162"/>
      <c r="Y67" s="162"/>
      <c r="Z67" s="387" t="b">
        <v>0</v>
      </c>
      <c r="AV67" s="130"/>
      <c r="AW67" s="130"/>
      <c r="AX67" s="412"/>
      <c r="AY67" s="412"/>
      <c r="AZ67" s="412"/>
      <c r="BA67" s="412"/>
      <c r="BB67" s="412"/>
      <c r="BC67" s="412"/>
      <c r="BD67" s="412"/>
      <c r="BE67" s="412"/>
      <c r="BF67" s="412"/>
      <c r="BG67" s="412"/>
      <c r="BH67" s="412"/>
      <c r="BI67" s="412"/>
      <c r="BJ67" s="412"/>
      <c r="BK67" s="412"/>
      <c r="BL67" s="412"/>
      <c r="BM67" s="412"/>
      <c r="BN67" s="412"/>
      <c r="BO67" s="412"/>
      <c r="BP67" s="412"/>
      <c r="BQ67" s="412"/>
      <c r="BR67" s="412"/>
      <c r="BS67" s="412"/>
      <c r="BT67" s="398"/>
    </row>
    <row r="68" ht="12.0" customHeight="1">
      <c r="X68" s="162"/>
      <c r="Y68" s="162"/>
      <c r="AV68" s="130"/>
      <c r="AW68" s="130"/>
      <c r="AX68" s="412"/>
      <c r="AY68" s="412"/>
      <c r="AZ68" s="412"/>
      <c r="BA68" s="412"/>
      <c r="BB68" s="412"/>
      <c r="BC68" s="412"/>
      <c r="BD68" s="412"/>
      <c r="BE68" s="412"/>
      <c r="BF68" s="412"/>
      <c r="BG68" s="412"/>
      <c r="BH68" s="412"/>
      <c r="BI68" s="412"/>
      <c r="BJ68" s="412"/>
      <c r="BK68" s="412"/>
      <c r="BL68" s="412"/>
      <c r="BM68" s="412"/>
      <c r="BN68" s="412"/>
      <c r="BO68" s="412"/>
      <c r="BP68" s="412"/>
      <c r="BQ68" s="412"/>
      <c r="BR68" s="412"/>
      <c r="BS68" s="412"/>
      <c r="BT68" s="398"/>
    </row>
    <row r="69" ht="15.75" customHeight="1">
      <c r="B69" s="393" t="s">
        <v>1940</v>
      </c>
      <c r="C69" s="43"/>
      <c r="D69" s="43"/>
      <c r="E69" s="43"/>
      <c r="F69" s="43"/>
      <c r="G69" s="43"/>
      <c r="H69" s="43"/>
      <c r="I69" s="43"/>
      <c r="J69" s="43"/>
      <c r="K69" s="43"/>
      <c r="L69" s="43"/>
      <c r="M69" s="43"/>
      <c r="N69" s="43"/>
      <c r="O69" s="43"/>
      <c r="P69" s="43"/>
      <c r="Q69" s="43"/>
      <c r="R69" s="43"/>
      <c r="S69" s="43"/>
      <c r="T69" s="43"/>
      <c r="U69" s="43"/>
      <c r="V69" s="43"/>
      <c r="W69" s="43"/>
      <c r="X69" s="162"/>
      <c r="Y69" s="162"/>
      <c r="Z69" s="393" t="s">
        <v>1944</v>
      </c>
      <c r="AA69" s="43"/>
      <c r="AB69" s="43"/>
      <c r="AC69" s="43"/>
      <c r="AD69" s="43"/>
      <c r="AE69" s="43"/>
      <c r="AF69" s="43"/>
      <c r="AG69" s="43"/>
      <c r="AH69" s="43"/>
      <c r="AI69" s="43"/>
      <c r="AJ69" s="43"/>
      <c r="AK69" s="43"/>
      <c r="AL69" s="43"/>
      <c r="AM69" s="43"/>
      <c r="AN69" s="43"/>
      <c r="AO69" s="43"/>
      <c r="AP69" s="43"/>
      <c r="AQ69" s="43"/>
      <c r="AR69" s="43"/>
      <c r="AS69" s="43"/>
      <c r="AT69" s="43"/>
      <c r="AU69" s="43"/>
      <c r="AV69" s="130"/>
      <c r="AW69" s="130"/>
      <c r="AX69" s="412"/>
      <c r="AY69" s="412"/>
      <c r="AZ69" s="412"/>
      <c r="BA69" s="412"/>
      <c r="BB69" s="412"/>
      <c r="BC69" s="412"/>
      <c r="BD69" s="412"/>
      <c r="BE69" s="388"/>
      <c r="BF69" s="388"/>
      <c r="BG69" s="388"/>
      <c r="BH69" s="388"/>
      <c r="BI69" s="388"/>
      <c r="BJ69" s="388"/>
      <c r="BK69" s="388"/>
      <c r="BL69" s="388"/>
      <c r="BM69" s="388"/>
      <c r="BN69" s="388"/>
      <c r="BO69" s="388"/>
      <c r="BP69" s="388"/>
      <c r="BQ69" s="388"/>
      <c r="BR69" s="388"/>
      <c r="BS69" s="388"/>
      <c r="BT69" s="398"/>
    </row>
    <row r="70" ht="11.25" customHeight="1">
      <c r="B70" s="173" t="s">
        <v>1725</v>
      </c>
      <c r="D70" s="173" t="s">
        <v>678</v>
      </c>
      <c r="I70" s="388" t="s">
        <v>1951</v>
      </c>
      <c r="X70" s="162"/>
      <c r="Y70" s="162"/>
      <c r="Z70" s="173" t="s">
        <v>1725</v>
      </c>
      <c r="AB70" s="173" t="s">
        <v>678</v>
      </c>
      <c r="AG70" s="388" t="s">
        <v>1955</v>
      </c>
      <c r="AV70" s="130"/>
      <c r="AW70" s="130"/>
      <c r="BT70" s="398"/>
    </row>
    <row r="71" ht="15.75" customHeight="1">
      <c r="B71" s="387" t="b">
        <v>0</v>
      </c>
      <c r="X71" s="162"/>
      <c r="Y71" s="162"/>
      <c r="Z71" s="387" t="b">
        <v>0</v>
      </c>
      <c r="AV71" s="130"/>
      <c r="AW71" s="130"/>
      <c r="BT71" s="398"/>
    </row>
    <row r="72" ht="12.0" customHeight="1">
      <c r="X72" s="162"/>
      <c r="Y72" s="162"/>
      <c r="AV72" s="130"/>
      <c r="AW72" s="130"/>
      <c r="BT72" s="398"/>
    </row>
    <row r="73" ht="15.75" customHeight="1">
      <c r="B73" s="393" t="s">
        <v>1965</v>
      </c>
      <c r="C73" s="43"/>
      <c r="D73" s="43"/>
      <c r="E73" s="43"/>
      <c r="F73" s="43"/>
      <c r="G73" s="43"/>
      <c r="H73" s="43"/>
      <c r="I73" s="43"/>
      <c r="J73" s="43"/>
      <c r="K73" s="43"/>
      <c r="L73" s="43"/>
      <c r="M73" s="43"/>
      <c r="N73" s="43"/>
      <c r="O73" s="43"/>
      <c r="P73" s="43"/>
      <c r="Q73" s="43"/>
      <c r="R73" s="43"/>
      <c r="S73" s="43"/>
      <c r="T73" s="43"/>
      <c r="U73" s="43"/>
      <c r="V73" s="43"/>
      <c r="W73" s="43"/>
      <c r="X73" s="162"/>
      <c r="Y73" s="162"/>
      <c r="Z73" s="393" t="s">
        <v>1970</v>
      </c>
      <c r="AA73" s="43"/>
      <c r="AB73" s="43"/>
      <c r="AC73" s="43"/>
      <c r="AD73" s="43"/>
      <c r="AE73" s="43"/>
      <c r="AF73" s="43"/>
      <c r="AG73" s="43"/>
      <c r="AH73" s="43"/>
      <c r="AI73" s="43"/>
      <c r="AJ73" s="43"/>
      <c r="AK73" s="43"/>
      <c r="AL73" s="43"/>
      <c r="AM73" s="43"/>
      <c r="AN73" s="43"/>
      <c r="AO73" s="43"/>
      <c r="AP73" s="43"/>
      <c r="AQ73" s="43"/>
      <c r="AR73" s="43"/>
      <c r="AS73" s="43"/>
      <c r="AT73" s="43"/>
      <c r="AU73" s="43"/>
      <c r="AV73" s="130"/>
      <c r="AW73" s="130"/>
      <c r="BT73" s="398"/>
    </row>
    <row r="74" ht="11.25" customHeight="1">
      <c r="B74" s="173" t="s">
        <v>1725</v>
      </c>
      <c r="D74" s="173" t="s">
        <v>678</v>
      </c>
      <c r="I74" s="388" t="s">
        <v>1978</v>
      </c>
      <c r="X74" s="162"/>
      <c r="Y74" s="162"/>
      <c r="Z74" s="173" t="s">
        <v>1725</v>
      </c>
      <c r="AB74" s="173" t="s">
        <v>678</v>
      </c>
      <c r="AG74" s="388" t="s">
        <v>1988</v>
      </c>
      <c r="AV74" s="130"/>
      <c r="AW74" s="130"/>
      <c r="BT74" s="398"/>
    </row>
    <row r="75" ht="15.75" customHeight="1">
      <c r="B75" s="387" t="b">
        <v>0</v>
      </c>
      <c r="X75" s="162"/>
      <c r="Y75" s="162"/>
      <c r="Z75" s="387" t="b">
        <v>0</v>
      </c>
      <c r="AV75" s="130"/>
      <c r="AW75" s="130"/>
      <c r="BT75" s="398"/>
    </row>
    <row r="76" ht="12.0" customHeight="1">
      <c r="X76" s="162"/>
      <c r="Y76" s="162"/>
      <c r="AV76" s="130"/>
      <c r="AW76" s="130"/>
      <c r="BT76" s="398"/>
    </row>
    <row r="77" ht="15.75" customHeight="1">
      <c r="B77" s="393" t="s">
        <v>1996</v>
      </c>
      <c r="C77" s="43"/>
      <c r="D77" s="43"/>
      <c r="E77" s="43"/>
      <c r="F77" s="43"/>
      <c r="G77" s="43"/>
      <c r="H77" s="43"/>
      <c r="I77" s="43"/>
      <c r="J77" s="43"/>
      <c r="K77" s="43"/>
      <c r="L77" s="43"/>
      <c r="M77" s="43"/>
      <c r="N77" s="43"/>
      <c r="O77" s="43"/>
      <c r="P77" s="43"/>
      <c r="Q77" s="43"/>
      <c r="R77" s="43"/>
      <c r="S77" s="43"/>
      <c r="T77" s="43"/>
      <c r="U77" s="43"/>
      <c r="V77" s="43"/>
      <c r="W77" s="43"/>
      <c r="X77" s="162"/>
      <c r="Y77" s="162"/>
      <c r="Z77" s="393" t="s">
        <v>2000</v>
      </c>
      <c r="AA77" s="43"/>
      <c r="AB77" s="43"/>
      <c r="AC77" s="43"/>
      <c r="AD77" s="43"/>
      <c r="AE77" s="43"/>
      <c r="AF77" s="43"/>
      <c r="AG77" s="43"/>
      <c r="AH77" s="43"/>
      <c r="AI77" s="43"/>
      <c r="AJ77" s="43"/>
      <c r="AK77" s="43"/>
      <c r="AL77" s="43"/>
      <c r="AM77" s="43"/>
      <c r="AN77" s="43"/>
      <c r="AO77" s="43"/>
      <c r="AP77" s="43"/>
      <c r="AQ77" s="43"/>
      <c r="AR77" s="43"/>
      <c r="AS77" s="43"/>
      <c r="AT77" s="43"/>
      <c r="AU77" s="43"/>
      <c r="AV77" s="130"/>
      <c r="AW77" s="130"/>
      <c r="BT77" s="398"/>
    </row>
    <row r="78" ht="11.25" customHeight="1">
      <c r="B78" s="173" t="s">
        <v>1725</v>
      </c>
      <c r="D78" s="173" t="s">
        <v>678</v>
      </c>
      <c r="I78" s="388" t="s">
        <v>2008</v>
      </c>
      <c r="X78" s="162"/>
      <c r="Y78" s="162"/>
      <c r="Z78" s="173" t="s">
        <v>1725</v>
      </c>
      <c r="AB78" s="173" t="s">
        <v>678</v>
      </c>
      <c r="AG78" s="388" t="s">
        <v>2014</v>
      </c>
      <c r="AV78" s="130"/>
      <c r="AW78" s="130"/>
      <c r="BT78" s="398"/>
    </row>
    <row r="79" ht="15.75" customHeight="1">
      <c r="B79" s="387" t="b">
        <v>0</v>
      </c>
      <c r="X79" s="162"/>
      <c r="Y79" s="162"/>
      <c r="Z79" s="387" t="b">
        <v>0</v>
      </c>
      <c r="AV79" s="130"/>
      <c r="AW79" s="130"/>
      <c r="BT79" s="398"/>
    </row>
    <row r="80" ht="11.25" customHeight="1">
      <c r="X80" s="162"/>
      <c r="Y80" s="162"/>
      <c r="AV80" s="130"/>
      <c r="AW80" s="130"/>
      <c r="BT80" s="398"/>
    </row>
    <row r="81" ht="15.75" customHeight="1">
      <c r="B81" s="393" t="s">
        <v>2021</v>
      </c>
      <c r="C81" s="43"/>
      <c r="D81" s="43"/>
      <c r="E81" s="43"/>
      <c r="F81" s="43"/>
      <c r="G81" s="43"/>
      <c r="H81" s="43"/>
      <c r="I81" s="43"/>
      <c r="J81" s="43"/>
      <c r="K81" s="43"/>
      <c r="L81" s="43"/>
      <c r="M81" s="43"/>
      <c r="N81" s="43"/>
      <c r="O81" s="43"/>
      <c r="P81" s="43"/>
      <c r="Q81" s="43"/>
      <c r="R81" s="43"/>
      <c r="S81" s="43"/>
      <c r="T81" s="43"/>
      <c r="U81" s="43"/>
      <c r="V81" s="43"/>
      <c r="W81" s="43"/>
      <c r="X81" s="162"/>
      <c r="Y81" s="162"/>
      <c r="Z81" s="393" t="s">
        <v>2032</v>
      </c>
      <c r="AA81" s="43"/>
      <c r="AB81" s="43"/>
      <c r="AC81" s="43"/>
      <c r="AD81" s="43"/>
      <c r="AE81" s="43"/>
      <c r="AF81" s="43"/>
      <c r="AG81" s="43"/>
      <c r="AH81" s="43"/>
      <c r="AI81" s="43"/>
      <c r="AJ81" s="43"/>
      <c r="AK81" s="43"/>
      <c r="AL81" s="43"/>
      <c r="AM81" s="43"/>
      <c r="AN81" s="43"/>
      <c r="AO81" s="43"/>
      <c r="AP81" s="43"/>
      <c r="AQ81" s="43"/>
      <c r="AR81" s="43"/>
      <c r="AS81" s="43"/>
      <c r="AT81" s="43"/>
      <c r="AU81" s="43"/>
      <c r="AV81" s="130"/>
      <c r="AW81" s="130"/>
      <c r="BT81" s="398"/>
    </row>
    <row r="82" ht="10.5" customHeight="1">
      <c r="B82" s="173" t="s">
        <v>1725</v>
      </c>
      <c r="D82" s="173" t="s">
        <v>678</v>
      </c>
      <c r="I82" s="388" t="s">
        <v>2037</v>
      </c>
      <c r="X82" s="162"/>
      <c r="Y82" s="162"/>
      <c r="Z82" s="173" t="s">
        <v>1725</v>
      </c>
      <c r="AB82" s="173" t="s">
        <v>678</v>
      </c>
      <c r="AG82" s="388" t="s">
        <v>2046</v>
      </c>
      <c r="AV82" s="130"/>
      <c r="AW82" s="130"/>
      <c r="AX82" s="412"/>
      <c r="AY82" s="412"/>
      <c r="AZ82" s="412"/>
      <c r="BA82" s="412"/>
      <c r="BB82" s="412"/>
      <c r="BC82" s="412"/>
      <c r="BD82" s="412"/>
      <c r="BE82" s="388"/>
      <c r="BF82" s="388"/>
      <c r="BG82" s="388"/>
      <c r="BH82" s="388"/>
      <c r="BI82" s="388"/>
      <c r="BJ82" s="388"/>
      <c r="BK82" s="388"/>
      <c r="BL82" s="388"/>
      <c r="BM82" s="388"/>
      <c r="BN82" s="388"/>
      <c r="BO82" s="388"/>
      <c r="BP82" s="388"/>
      <c r="BQ82" s="388"/>
      <c r="BR82" s="388"/>
      <c r="BS82" s="388"/>
      <c r="BT82" s="398"/>
    </row>
    <row r="83" ht="15.75" customHeight="1">
      <c r="B83" s="387" t="b">
        <v>0</v>
      </c>
      <c r="X83" s="162"/>
      <c r="Y83" s="162"/>
      <c r="Z83" s="387" t="b">
        <v>0</v>
      </c>
      <c r="AV83" s="130"/>
      <c r="AW83" s="130"/>
      <c r="AX83" s="412"/>
      <c r="AY83" s="412"/>
      <c r="AZ83" s="412"/>
      <c r="BA83" s="412"/>
      <c r="BB83" s="412"/>
      <c r="BC83" s="412"/>
      <c r="BD83" s="412"/>
      <c r="BE83" s="388"/>
      <c r="BF83" s="388"/>
      <c r="BG83" s="388"/>
      <c r="BH83" s="388"/>
      <c r="BI83" s="388"/>
      <c r="BJ83" s="388"/>
      <c r="BK83" s="388"/>
      <c r="BL83" s="388"/>
      <c r="BM83" s="388"/>
      <c r="BN83" s="388"/>
      <c r="BO83" s="388"/>
      <c r="BP83" s="388"/>
      <c r="BQ83" s="388"/>
      <c r="BR83" s="388"/>
      <c r="BS83" s="388"/>
      <c r="BT83" s="398"/>
    </row>
    <row r="84" ht="11.25" customHeight="1">
      <c r="X84" s="162"/>
      <c r="Y84" s="162"/>
      <c r="AV84" s="130"/>
      <c r="AW84" s="130"/>
      <c r="AX84" s="412"/>
      <c r="AY84" s="412"/>
      <c r="AZ84" s="412"/>
      <c r="BA84" s="412"/>
      <c r="BB84" s="412"/>
      <c r="BC84" s="412"/>
      <c r="BD84" s="412"/>
      <c r="BE84" s="388"/>
      <c r="BF84" s="388"/>
      <c r="BG84" s="388"/>
      <c r="BH84" s="388"/>
      <c r="BI84" s="388"/>
      <c r="BJ84" s="388"/>
      <c r="BK84" s="388"/>
      <c r="BL84" s="388"/>
      <c r="BM84" s="388"/>
      <c r="BN84" s="388"/>
      <c r="BO84" s="388"/>
      <c r="BP84" s="388"/>
      <c r="BQ84" s="388"/>
      <c r="BR84" s="388"/>
      <c r="BS84" s="388"/>
      <c r="BT84" s="398"/>
    </row>
    <row r="85" ht="15.75" customHeight="1">
      <c r="B85" s="393" t="s">
        <v>2123</v>
      </c>
      <c r="C85" s="43"/>
      <c r="D85" s="43"/>
      <c r="E85" s="43"/>
      <c r="F85" s="43"/>
      <c r="G85" s="43"/>
      <c r="H85" s="43"/>
      <c r="I85" s="43"/>
      <c r="J85" s="43"/>
      <c r="K85" s="43"/>
      <c r="L85" s="43"/>
      <c r="M85" s="43"/>
      <c r="N85" s="43"/>
      <c r="O85" s="43"/>
      <c r="P85" s="43"/>
      <c r="Q85" s="43"/>
      <c r="R85" s="43"/>
      <c r="S85" s="43"/>
      <c r="T85" s="43"/>
      <c r="U85" s="43"/>
      <c r="V85" s="43"/>
      <c r="W85" s="43"/>
      <c r="X85" s="162"/>
      <c r="Y85" s="162"/>
      <c r="Z85" s="393" t="s">
        <v>2131</v>
      </c>
      <c r="AA85" s="43"/>
      <c r="AB85" s="43"/>
      <c r="AC85" s="43"/>
      <c r="AD85" s="43"/>
      <c r="AE85" s="43"/>
      <c r="AF85" s="43"/>
      <c r="AG85" s="43"/>
      <c r="AH85" s="43"/>
      <c r="AI85" s="43"/>
      <c r="AJ85" s="43"/>
      <c r="AK85" s="43"/>
      <c r="AL85" s="43"/>
      <c r="AM85" s="43"/>
      <c r="AN85" s="43"/>
      <c r="AO85" s="43"/>
      <c r="AP85" s="43"/>
      <c r="AQ85" s="43"/>
      <c r="AR85" s="43"/>
      <c r="AS85" s="43"/>
      <c r="AT85" s="43"/>
      <c r="AU85" s="43"/>
      <c r="AV85" s="130"/>
      <c r="AW85" s="130"/>
      <c r="AX85" s="412"/>
      <c r="AY85" s="412"/>
      <c r="AZ85" s="412"/>
      <c r="BA85" s="412"/>
      <c r="BB85" s="412"/>
      <c r="BC85" s="412"/>
      <c r="BD85" s="412"/>
      <c r="BE85" s="388"/>
      <c r="BF85" s="388"/>
      <c r="BG85" s="388"/>
      <c r="BH85" s="388"/>
      <c r="BI85" s="388"/>
      <c r="BJ85" s="388"/>
      <c r="BK85" s="388"/>
      <c r="BL85" s="388"/>
      <c r="BM85" s="388"/>
      <c r="BN85" s="388"/>
      <c r="BO85" s="388"/>
      <c r="BP85" s="388"/>
      <c r="BQ85" s="388"/>
      <c r="BR85" s="388"/>
      <c r="BS85" s="388"/>
      <c r="BT85" s="398"/>
    </row>
    <row r="86" ht="11.25" customHeight="1">
      <c r="B86" s="173" t="s">
        <v>1725</v>
      </c>
      <c r="D86" s="173" t="s">
        <v>678</v>
      </c>
      <c r="I86" s="173" t="s">
        <v>2141</v>
      </c>
      <c r="M86" s="173" t="s">
        <v>2143</v>
      </c>
      <c r="X86" s="162"/>
      <c r="Y86" s="162"/>
      <c r="Z86" s="173" t="s">
        <v>1725</v>
      </c>
      <c r="AB86" s="173" t="s">
        <v>678</v>
      </c>
      <c r="AG86" s="388" t="s">
        <v>2147</v>
      </c>
      <c r="AV86" s="130"/>
      <c r="AW86" s="130"/>
      <c r="AX86" s="412"/>
      <c r="AY86" s="412"/>
      <c r="AZ86" s="412"/>
      <c r="BA86" s="412"/>
      <c r="BB86" s="412"/>
      <c r="BC86" s="412"/>
      <c r="BD86" s="412"/>
      <c r="BE86" s="388"/>
      <c r="BF86" s="388"/>
      <c r="BG86" s="388"/>
      <c r="BH86" s="388"/>
      <c r="BI86" s="388"/>
      <c r="BJ86" s="388"/>
      <c r="BK86" s="388"/>
      <c r="BL86" s="388"/>
      <c r="BM86" s="388"/>
      <c r="BN86" s="388"/>
      <c r="BO86" s="388"/>
      <c r="BP86" s="388"/>
      <c r="BQ86" s="388"/>
      <c r="BR86" s="388"/>
      <c r="BS86" s="388"/>
      <c r="BT86" s="398"/>
    </row>
    <row r="87" ht="15.75" customHeight="1">
      <c r="B87" s="387" t="b">
        <v>0</v>
      </c>
      <c r="I87" s="388" t="s">
        <v>2161</v>
      </c>
      <c r="X87" s="162"/>
      <c r="Y87" s="162"/>
      <c r="Z87" s="387" t="b">
        <v>0</v>
      </c>
      <c r="AV87" s="130"/>
      <c r="AW87" s="130"/>
      <c r="AX87" s="412"/>
      <c r="AY87" s="412"/>
      <c r="AZ87" s="412"/>
      <c r="BA87" s="412"/>
      <c r="BB87" s="412"/>
      <c r="BC87" s="412"/>
      <c r="BD87" s="412"/>
      <c r="BE87" s="388"/>
      <c r="BF87" s="388"/>
      <c r="BG87" s="388"/>
      <c r="BH87" s="388"/>
      <c r="BI87" s="388"/>
      <c r="BJ87" s="388"/>
      <c r="BK87" s="388"/>
      <c r="BL87" s="388"/>
      <c r="BM87" s="388"/>
      <c r="BN87" s="388"/>
      <c r="BO87" s="388"/>
      <c r="BP87" s="388"/>
      <c r="BQ87" s="388"/>
      <c r="BR87" s="388"/>
      <c r="BS87" s="388"/>
      <c r="BT87" s="398"/>
    </row>
    <row r="88" ht="12.0" customHeight="1">
      <c r="X88" s="162"/>
      <c r="Y88" s="162"/>
      <c r="AV88" s="130"/>
      <c r="AW88" s="130"/>
      <c r="AX88" s="412"/>
      <c r="AY88" s="412"/>
      <c r="AZ88" s="412"/>
      <c r="BA88" s="412"/>
      <c r="BB88" s="412"/>
      <c r="BC88" s="412"/>
      <c r="BD88" s="412"/>
      <c r="BE88" s="388"/>
      <c r="BF88" s="388"/>
      <c r="BG88" s="388"/>
      <c r="BH88" s="388"/>
      <c r="BI88" s="388"/>
      <c r="BJ88" s="388"/>
      <c r="BK88" s="388"/>
      <c r="BL88" s="388"/>
      <c r="BM88" s="388"/>
      <c r="BN88" s="388"/>
      <c r="BO88" s="388"/>
      <c r="BP88" s="388"/>
      <c r="BQ88" s="388"/>
      <c r="BR88" s="388"/>
      <c r="BS88" s="388"/>
      <c r="BT88" s="398"/>
    </row>
    <row r="89" ht="15.75" customHeight="1">
      <c r="B89" s="393" t="s">
        <v>2173</v>
      </c>
      <c r="C89" s="43"/>
      <c r="D89" s="43"/>
      <c r="E89" s="43"/>
      <c r="F89" s="43"/>
      <c r="G89" s="43"/>
      <c r="H89" s="43"/>
      <c r="I89" s="43"/>
      <c r="J89" s="43"/>
      <c r="K89" s="43"/>
      <c r="L89" s="43"/>
      <c r="M89" s="43"/>
      <c r="N89" s="43"/>
      <c r="O89" s="43"/>
      <c r="P89" s="43"/>
      <c r="Q89" s="43"/>
      <c r="R89" s="43"/>
      <c r="S89" s="43"/>
      <c r="T89" s="43"/>
      <c r="U89" s="43"/>
      <c r="V89" s="43"/>
      <c r="W89" s="43"/>
      <c r="X89" s="162"/>
      <c r="Y89" s="162"/>
      <c r="Z89" s="393" t="s">
        <v>2180</v>
      </c>
      <c r="AA89" s="43"/>
      <c r="AB89" s="43"/>
      <c r="AC89" s="43"/>
      <c r="AD89" s="43"/>
      <c r="AE89" s="43"/>
      <c r="AF89" s="43"/>
      <c r="AG89" s="43"/>
      <c r="AH89" s="43"/>
      <c r="AI89" s="43"/>
      <c r="AJ89" s="43"/>
      <c r="AK89" s="43"/>
      <c r="AL89" s="43"/>
      <c r="AM89" s="43"/>
      <c r="AN89" s="43"/>
      <c r="AO89" s="43"/>
      <c r="AP89" s="43"/>
      <c r="AQ89" s="43"/>
      <c r="AR89" s="43"/>
      <c r="AS89" s="43"/>
      <c r="AT89" s="43"/>
      <c r="AU89" s="43"/>
      <c r="AV89" s="130"/>
      <c r="AW89" s="130"/>
      <c r="AX89" s="412"/>
      <c r="AY89" s="412"/>
      <c r="AZ89" s="412"/>
      <c r="BA89" s="412"/>
      <c r="BB89" s="412"/>
      <c r="BC89" s="412"/>
      <c r="BD89" s="412"/>
      <c r="BE89" s="388"/>
      <c r="BF89" s="388"/>
      <c r="BG89" s="388"/>
      <c r="BH89" s="388"/>
      <c r="BI89" s="388"/>
      <c r="BJ89" s="388"/>
      <c r="BK89" s="388"/>
      <c r="BL89" s="388"/>
      <c r="BM89" s="388"/>
      <c r="BN89" s="388"/>
      <c r="BO89" s="388"/>
      <c r="BP89" s="388"/>
      <c r="BQ89" s="388"/>
      <c r="BR89" s="388"/>
      <c r="BS89" s="388"/>
      <c r="BT89" s="398"/>
    </row>
    <row r="90" ht="9.75" customHeight="1">
      <c r="B90" s="130"/>
      <c r="C90" s="130"/>
      <c r="D90" s="130"/>
      <c r="E90" s="130"/>
      <c r="F90" s="130"/>
      <c r="G90" s="130"/>
      <c r="H90" s="130"/>
      <c r="I90" s="130"/>
      <c r="J90" s="130"/>
      <c r="K90" s="130"/>
      <c r="L90" s="130"/>
      <c r="M90" s="130"/>
      <c r="N90" s="130"/>
      <c r="O90" s="130"/>
      <c r="P90" s="130"/>
      <c r="Q90" s="130"/>
      <c r="R90" s="130"/>
      <c r="S90" s="130"/>
      <c r="T90" s="130"/>
      <c r="U90" s="130"/>
      <c r="V90" s="130"/>
      <c r="W90" s="130"/>
      <c r="X90" s="130"/>
      <c r="Y90" s="130"/>
      <c r="Z90" s="130"/>
      <c r="AA90" s="130"/>
      <c r="AB90" s="130"/>
      <c r="AC90" s="130"/>
      <c r="AD90" s="130"/>
      <c r="AE90" s="130"/>
      <c r="AF90" s="130"/>
      <c r="AG90" s="130"/>
      <c r="AH90" s="130"/>
      <c r="AI90" s="130"/>
      <c r="AJ90" s="130"/>
      <c r="AK90" s="130"/>
      <c r="AL90" s="130"/>
      <c r="AM90" s="130"/>
      <c r="AN90" s="130"/>
      <c r="AO90" s="130"/>
      <c r="AP90" s="130"/>
      <c r="AQ90" s="130"/>
      <c r="AR90" s="130"/>
      <c r="AS90" s="130"/>
      <c r="AT90" s="130"/>
      <c r="AU90" s="130"/>
      <c r="AV90" s="130"/>
      <c r="AW90" s="130"/>
      <c r="AX90" s="130"/>
      <c r="AY90" s="130"/>
      <c r="AZ90" s="130"/>
      <c r="BA90" s="130"/>
      <c r="BB90" s="130"/>
      <c r="BC90" s="130"/>
      <c r="BD90" s="130"/>
      <c r="BE90" s="130"/>
      <c r="BF90" s="130"/>
      <c r="BG90" s="130"/>
      <c r="BH90" s="130"/>
      <c r="BI90" s="130"/>
      <c r="BJ90" s="130"/>
      <c r="BK90" s="130"/>
      <c r="BL90" s="130"/>
      <c r="BM90" s="130"/>
      <c r="BN90" s="130"/>
      <c r="BO90" s="130"/>
      <c r="BP90" s="130"/>
      <c r="BQ90" s="130"/>
      <c r="BR90" s="130"/>
      <c r="BS90" s="130"/>
      <c r="BT90" s="398"/>
    </row>
    <row r="91" ht="15.75" customHeight="1">
      <c r="B91" s="38" t="s">
        <v>2220</v>
      </c>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29"/>
      <c r="BP91" s="29"/>
      <c r="BQ91" s="29"/>
      <c r="BR91" s="29"/>
      <c r="BS91" s="32"/>
      <c r="BT91" s="398"/>
    </row>
    <row r="92" ht="11.25" customHeight="1">
      <c r="B92" s="173" t="s">
        <v>1725</v>
      </c>
      <c r="D92" s="173" t="s">
        <v>2230</v>
      </c>
      <c r="I92" s="173" t="s">
        <v>2231</v>
      </c>
      <c r="L92" s="173" t="s">
        <v>2232</v>
      </c>
      <c r="X92" s="130"/>
      <c r="Y92" s="130"/>
      <c r="Z92" s="173" t="s">
        <v>1725</v>
      </c>
      <c r="AB92" s="173" t="s">
        <v>2233</v>
      </c>
      <c r="AG92" s="173" t="s">
        <v>2231</v>
      </c>
      <c r="AJ92" s="173" t="s">
        <v>2235</v>
      </c>
      <c r="AV92" s="130"/>
      <c r="AW92" s="130"/>
      <c r="AX92" s="173" t="s">
        <v>1725</v>
      </c>
      <c r="AZ92" s="173" t="s">
        <v>678</v>
      </c>
      <c r="BE92" s="173" t="s">
        <v>2231</v>
      </c>
      <c r="BH92" s="173" t="s">
        <v>2237</v>
      </c>
      <c r="BT92" s="398"/>
    </row>
    <row r="93" ht="15.75" customHeight="1">
      <c r="B93" s="387" t="b">
        <v>0</v>
      </c>
      <c r="I93" s="388" t="s">
        <v>2241</v>
      </c>
      <c r="X93" s="162"/>
      <c r="Y93" s="162"/>
      <c r="Z93" s="387" t="b">
        <v>0</v>
      </c>
      <c r="AG93" s="388" t="s">
        <v>2244</v>
      </c>
      <c r="AV93" s="130"/>
      <c r="AW93" s="130"/>
      <c r="AX93" s="387" t="b">
        <v>0</v>
      </c>
      <c r="BE93" s="388" t="s">
        <v>2247</v>
      </c>
      <c r="BT93" s="398"/>
    </row>
    <row r="94" ht="9.75" customHeight="1">
      <c r="X94" s="162"/>
      <c r="Y94" s="162"/>
      <c r="AV94" s="130"/>
      <c r="AW94" s="130"/>
      <c r="BT94" s="398"/>
    </row>
    <row r="95" ht="15.75" customHeight="1">
      <c r="B95" s="393" t="s">
        <v>2253</v>
      </c>
      <c r="C95" s="43"/>
      <c r="D95" s="43"/>
      <c r="E95" s="43"/>
      <c r="F95" s="43"/>
      <c r="G95" s="43"/>
      <c r="H95" s="43"/>
      <c r="I95" s="43"/>
      <c r="J95" s="43"/>
      <c r="K95" s="43"/>
      <c r="L95" s="43"/>
      <c r="M95" s="43"/>
      <c r="N95" s="43"/>
      <c r="O95" s="43"/>
      <c r="P95" s="43"/>
      <c r="Q95" s="43"/>
      <c r="R95" s="43"/>
      <c r="S95" s="43"/>
      <c r="T95" s="43"/>
      <c r="U95" s="43"/>
      <c r="V95" s="43"/>
      <c r="W95" s="43"/>
      <c r="X95" s="162"/>
      <c r="Y95" s="162"/>
      <c r="Z95" s="393" t="s">
        <v>2256</v>
      </c>
      <c r="AA95" s="43"/>
      <c r="AB95" s="43"/>
      <c r="AC95" s="43"/>
      <c r="AD95" s="43"/>
      <c r="AE95" s="43"/>
      <c r="AF95" s="43"/>
      <c r="AG95" s="43"/>
      <c r="AH95" s="43"/>
      <c r="AI95" s="43"/>
      <c r="AJ95" s="43"/>
      <c r="AK95" s="43"/>
      <c r="AL95" s="43"/>
      <c r="AM95" s="43"/>
      <c r="AN95" s="43"/>
      <c r="AO95" s="43"/>
      <c r="AP95" s="43"/>
      <c r="AQ95" s="43"/>
      <c r="AR95" s="43"/>
      <c r="AS95" s="43"/>
      <c r="AT95" s="43"/>
      <c r="AU95" s="43"/>
      <c r="AV95" s="130"/>
      <c r="AW95" s="130"/>
      <c r="AX95" s="393" t="s">
        <v>2259</v>
      </c>
      <c r="AY95" s="43"/>
      <c r="AZ95" s="43"/>
      <c r="BA95" s="43"/>
      <c r="BB95" s="43"/>
      <c r="BC95" s="43"/>
      <c r="BD95" s="43"/>
      <c r="BE95" s="43"/>
      <c r="BF95" s="43"/>
      <c r="BG95" s="43"/>
      <c r="BH95" s="43"/>
      <c r="BI95" s="43"/>
      <c r="BJ95" s="43"/>
      <c r="BK95" s="43"/>
      <c r="BL95" s="43"/>
      <c r="BM95" s="43"/>
      <c r="BN95" s="43"/>
      <c r="BO95" s="43"/>
      <c r="BP95" s="43"/>
      <c r="BQ95" s="43"/>
      <c r="BR95" s="43"/>
      <c r="BS95" s="43"/>
      <c r="BT95" s="398"/>
    </row>
    <row r="96" ht="12.0" customHeight="1">
      <c r="B96" s="173" t="s">
        <v>1725</v>
      </c>
      <c r="D96" s="173" t="s">
        <v>2230</v>
      </c>
      <c r="I96" s="173" t="s">
        <v>2231</v>
      </c>
      <c r="L96" s="173" t="s">
        <v>2265</v>
      </c>
      <c r="X96" s="162"/>
      <c r="Y96" s="162"/>
      <c r="Z96" s="173" t="s">
        <v>1725</v>
      </c>
      <c r="AB96" s="173" t="s">
        <v>2233</v>
      </c>
      <c r="AG96" s="173" t="s">
        <v>2231</v>
      </c>
      <c r="AJ96" s="173" t="s">
        <v>2273</v>
      </c>
      <c r="AV96" s="130"/>
      <c r="AW96" s="130"/>
      <c r="AX96" s="173" t="s">
        <v>1725</v>
      </c>
      <c r="AZ96" s="173" t="s">
        <v>678</v>
      </c>
      <c r="BE96" s="173" t="s">
        <v>2231</v>
      </c>
      <c r="BH96" s="173" t="s">
        <v>2277</v>
      </c>
      <c r="BT96" s="398"/>
    </row>
    <row r="97" ht="15.75" customHeight="1">
      <c r="B97" s="387" t="b">
        <v>0</v>
      </c>
      <c r="I97" s="403" t="s">
        <v>2282</v>
      </c>
      <c r="X97" s="162"/>
      <c r="Y97" s="162"/>
      <c r="Z97" s="387" t="b">
        <v>0</v>
      </c>
      <c r="AG97" s="388" t="s">
        <v>2291</v>
      </c>
      <c r="AV97" s="130"/>
      <c r="AW97" s="130"/>
      <c r="AX97" s="387" t="b">
        <v>0</v>
      </c>
      <c r="BE97" s="388" t="s">
        <v>2294</v>
      </c>
      <c r="BT97" s="398"/>
    </row>
    <row r="98" ht="11.25" customHeight="1">
      <c r="X98" s="162"/>
      <c r="Y98" s="162"/>
      <c r="AV98" s="130"/>
      <c r="AW98" s="130"/>
      <c r="BT98" s="398"/>
    </row>
    <row r="99" ht="15.75" customHeight="1">
      <c r="B99" s="393" t="s">
        <v>2297</v>
      </c>
      <c r="C99" s="43"/>
      <c r="D99" s="43"/>
      <c r="E99" s="43"/>
      <c r="F99" s="43"/>
      <c r="G99" s="43"/>
      <c r="H99" s="43"/>
      <c r="I99" s="43"/>
      <c r="J99" s="43"/>
      <c r="K99" s="43"/>
      <c r="L99" s="43"/>
      <c r="M99" s="43"/>
      <c r="N99" s="43"/>
      <c r="O99" s="43"/>
      <c r="P99" s="43"/>
      <c r="Q99" s="43"/>
      <c r="R99" s="43"/>
      <c r="S99" s="43"/>
      <c r="T99" s="43"/>
      <c r="U99" s="43"/>
      <c r="V99" s="43"/>
      <c r="W99" s="43"/>
      <c r="X99" s="162"/>
      <c r="Y99" s="162"/>
      <c r="Z99" s="393" t="s">
        <v>2300</v>
      </c>
      <c r="AA99" s="43"/>
      <c r="AB99" s="43"/>
      <c r="AC99" s="43"/>
      <c r="AD99" s="43"/>
      <c r="AE99" s="43"/>
      <c r="AF99" s="43"/>
      <c r="AG99" s="43"/>
      <c r="AH99" s="43"/>
      <c r="AI99" s="43"/>
      <c r="AJ99" s="43"/>
      <c r="AK99" s="43"/>
      <c r="AL99" s="43"/>
      <c r="AM99" s="43"/>
      <c r="AN99" s="43"/>
      <c r="AO99" s="43"/>
      <c r="AP99" s="43"/>
      <c r="AQ99" s="43"/>
      <c r="AR99" s="43"/>
      <c r="AS99" s="43"/>
      <c r="AT99" s="43"/>
      <c r="AU99" s="43"/>
      <c r="AV99" s="130"/>
      <c r="AW99" s="130"/>
      <c r="AX99" s="393" t="s">
        <v>2303</v>
      </c>
      <c r="AY99" s="43"/>
      <c r="AZ99" s="43"/>
      <c r="BA99" s="43"/>
      <c r="BB99" s="43"/>
      <c r="BC99" s="43"/>
      <c r="BD99" s="43"/>
      <c r="BE99" s="43"/>
      <c r="BF99" s="43"/>
      <c r="BG99" s="43"/>
      <c r="BH99" s="43"/>
      <c r="BI99" s="43"/>
      <c r="BJ99" s="43"/>
      <c r="BK99" s="43"/>
      <c r="BL99" s="43"/>
      <c r="BM99" s="43"/>
      <c r="BN99" s="43"/>
      <c r="BO99" s="43"/>
      <c r="BP99" s="43"/>
      <c r="BQ99" s="43"/>
      <c r="BR99" s="43"/>
      <c r="BS99" s="43"/>
      <c r="BT99" s="398"/>
    </row>
    <row r="100" ht="11.25" customHeight="1">
      <c r="B100" s="173" t="s">
        <v>1725</v>
      </c>
      <c r="D100" s="173" t="s">
        <v>318</v>
      </c>
      <c r="I100" s="173" t="s">
        <v>2231</v>
      </c>
      <c r="L100" s="173" t="s">
        <v>2307</v>
      </c>
      <c r="X100" s="162"/>
      <c r="Y100" s="162"/>
      <c r="Z100" s="173" t="s">
        <v>1725</v>
      </c>
      <c r="AB100" s="173" t="s">
        <v>2233</v>
      </c>
      <c r="AG100" s="173" t="s">
        <v>2231</v>
      </c>
      <c r="AJ100" s="173" t="s">
        <v>2310</v>
      </c>
      <c r="AV100" s="130"/>
      <c r="AW100" s="130"/>
      <c r="AX100" s="173" t="s">
        <v>1725</v>
      </c>
      <c r="AZ100" s="173" t="s">
        <v>2233</v>
      </c>
      <c r="BE100" s="173" t="s">
        <v>2231</v>
      </c>
      <c r="BH100" s="173" t="s">
        <v>2312</v>
      </c>
      <c r="BT100" s="398"/>
    </row>
    <row r="101" ht="15.75" customHeight="1">
      <c r="B101" s="387" t="b">
        <v>0</v>
      </c>
      <c r="I101" s="388" t="s">
        <v>2314</v>
      </c>
      <c r="X101" s="162"/>
      <c r="Y101" s="162"/>
      <c r="Z101" s="387" t="b">
        <v>0</v>
      </c>
      <c r="AG101" s="388" t="s">
        <v>2318</v>
      </c>
      <c r="AV101" s="130"/>
      <c r="AW101" s="130"/>
      <c r="AX101" s="387" t="b">
        <v>0</v>
      </c>
      <c r="BE101" s="388" t="s">
        <v>2324</v>
      </c>
      <c r="BT101" s="398"/>
    </row>
    <row r="102" ht="12.0" customHeight="1">
      <c r="X102" s="162"/>
      <c r="Y102" s="162"/>
      <c r="AV102" s="130"/>
      <c r="AW102" s="130"/>
      <c r="BT102" s="398"/>
    </row>
    <row r="103" ht="15.75" customHeight="1">
      <c r="B103" s="393" t="s">
        <v>2329</v>
      </c>
      <c r="C103" s="43"/>
      <c r="D103" s="43"/>
      <c r="E103" s="43"/>
      <c r="F103" s="43"/>
      <c r="G103" s="43"/>
      <c r="H103" s="43"/>
      <c r="I103" s="43"/>
      <c r="J103" s="43"/>
      <c r="K103" s="43"/>
      <c r="L103" s="43"/>
      <c r="M103" s="43"/>
      <c r="N103" s="43"/>
      <c r="O103" s="43"/>
      <c r="P103" s="43"/>
      <c r="Q103" s="43"/>
      <c r="R103" s="43"/>
      <c r="S103" s="43"/>
      <c r="T103" s="43"/>
      <c r="U103" s="43"/>
      <c r="V103" s="43"/>
      <c r="W103" s="43"/>
      <c r="X103" s="162"/>
      <c r="Y103" s="162"/>
      <c r="Z103" s="393" t="s">
        <v>2312</v>
      </c>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130"/>
      <c r="AW103" s="130"/>
      <c r="AX103" s="393" t="s">
        <v>2335</v>
      </c>
      <c r="AY103" s="43"/>
      <c r="AZ103" s="43"/>
      <c r="BA103" s="43"/>
      <c r="BB103" s="43"/>
      <c r="BC103" s="43"/>
      <c r="BD103" s="43"/>
      <c r="BE103" s="43"/>
      <c r="BF103" s="43"/>
      <c r="BG103" s="43"/>
      <c r="BH103" s="43"/>
      <c r="BI103" s="43"/>
      <c r="BJ103" s="43"/>
      <c r="BK103" s="43"/>
      <c r="BL103" s="43"/>
      <c r="BM103" s="43"/>
      <c r="BN103" s="43"/>
      <c r="BO103" s="43"/>
      <c r="BP103" s="43"/>
      <c r="BQ103" s="43"/>
      <c r="BR103" s="43"/>
      <c r="BS103" s="43"/>
      <c r="BT103" s="398"/>
    </row>
    <row r="104" ht="11.25" customHeight="1">
      <c r="B104" s="173" t="s">
        <v>1725</v>
      </c>
      <c r="D104" s="173" t="s">
        <v>678</v>
      </c>
      <c r="I104" s="173" t="s">
        <v>2231</v>
      </c>
      <c r="L104" s="173" t="s">
        <v>2347</v>
      </c>
      <c r="X104" s="162"/>
      <c r="Y104" s="162"/>
      <c r="Z104" s="173" t="s">
        <v>1725</v>
      </c>
      <c r="AB104" s="173" t="s">
        <v>2230</v>
      </c>
      <c r="AG104" s="173" t="s">
        <v>2231</v>
      </c>
      <c r="AJ104" s="173" t="s">
        <v>2348</v>
      </c>
      <c r="AV104" s="130"/>
      <c r="AW104" s="130"/>
      <c r="AX104" s="173" t="s">
        <v>1725</v>
      </c>
      <c r="AZ104" s="173" t="s">
        <v>318</v>
      </c>
      <c r="BE104" s="173" t="s">
        <v>2231</v>
      </c>
      <c r="BH104" s="173" t="s">
        <v>2307</v>
      </c>
      <c r="BT104" s="398"/>
    </row>
    <row r="105" ht="15.75" customHeight="1">
      <c r="B105" s="387" t="b">
        <v>0</v>
      </c>
      <c r="I105" s="388" t="s">
        <v>2352</v>
      </c>
      <c r="X105" s="162"/>
      <c r="Y105" s="162"/>
      <c r="Z105" s="387" t="b">
        <v>0</v>
      </c>
      <c r="AG105" s="388" t="s">
        <v>2355</v>
      </c>
      <c r="AV105" s="130"/>
      <c r="AW105" s="130"/>
      <c r="AX105" s="387" t="b">
        <v>0</v>
      </c>
      <c r="BE105" s="388" t="s">
        <v>2357</v>
      </c>
      <c r="BT105" s="398"/>
    </row>
    <row r="106" ht="10.5" customHeight="1">
      <c r="X106" s="162"/>
      <c r="Y106" s="162"/>
      <c r="AV106" s="130"/>
      <c r="AW106" s="130"/>
      <c r="BT106" s="398"/>
    </row>
    <row r="107" ht="15.75" customHeight="1">
      <c r="B107" s="393" t="s">
        <v>2362</v>
      </c>
      <c r="C107" s="43"/>
      <c r="D107" s="43"/>
      <c r="E107" s="43"/>
      <c r="F107" s="43"/>
      <c r="G107" s="43"/>
      <c r="H107" s="43"/>
      <c r="I107" s="43"/>
      <c r="J107" s="43"/>
      <c r="K107" s="43"/>
      <c r="L107" s="43"/>
      <c r="M107" s="43"/>
      <c r="N107" s="43"/>
      <c r="O107" s="43"/>
      <c r="P107" s="43"/>
      <c r="Q107" s="43"/>
      <c r="R107" s="43"/>
      <c r="S107" s="43"/>
      <c r="T107" s="43"/>
      <c r="U107" s="43"/>
      <c r="V107" s="43"/>
      <c r="W107" s="43"/>
      <c r="X107" s="162"/>
      <c r="Y107" s="162"/>
      <c r="Z107" s="393" t="s">
        <v>2365</v>
      </c>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130"/>
      <c r="AW107" s="130"/>
      <c r="AX107" s="393" t="s">
        <v>2369</v>
      </c>
      <c r="AY107" s="43"/>
      <c r="AZ107" s="43"/>
      <c r="BA107" s="43"/>
      <c r="BB107" s="43"/>
      <c r="BC107" s="43"/>
      <c r="BD107" s="43"/>
      <c r="BE107" s="43"/>
      <c r="BF107" s="43"/>
      <c r="BG107" s="43"/>
      <c r="BH107" s="43"/>
      <c r="BI107" s="43"/>
      <c r="BJ107" s="43"/>
      <c r="BK107" s="43"/>
      <c r="BL107" s="43"/>
      <c r="BM107" s="43"/>
      <c r="BN107" s="43"/>
      <c r="BO107" s="43"/>
      <c r="BP107" s="43"/>
      <c r="BQ107" s="43"/>
      <c r="BR107" s="43"/>
      <c r="BS107" s="43"/>
      <c r="BT107" s="398"/>
    </row>
    <row r="108" ht="10.5" customHeight="1">
      <c r="B108" s="173" t="s">
        <v>1725</v>
      </c>
      <c r="D108" s="173" t="s">
        <v>2230</v>
      </c>
      <c r="I108" s="173" t="s">
        <v>2231</v>
      </c>
      <c r="L108" s="173" t="s">
        <v>2232</v>
      </c>
      <c r="X108" s="162"/>
      <c r="Y108" s="162"/>
      <c r="Z108" s="173" t="s">
        <v>1725</v>
      </c>
      <c r="AB108" s="173" t="s">
        <v>2233</v>
      </c>
      <c r="AG108" s="173" t="s">
        <v>2231</v>
      </c>
      <c r="AJ108" s="173" t="s">
        <v>2381</v>
      </c>
      <c r="AV108" s="130"/>
      <c r="AW108" s="130"/>
      <c r="AX108" s="173" t="s">
        <v>1725</v>
      </c>
      <c r="AZ108" s="173" t="s">
        <v>678</v>
      </c>
      <c r="BE108" s="173" t="s">
        <v>2231</v>
      </c>
      <c r="BH108" s="173" t="s">
        <v>2237</v>
      </c>
      <c r="BT108" s="398"/>
    </row>
    <row r="109" ht="15.75" customHeight="1">
      <c r="B109" s="387" t="b">
        <v>0</v>
      </c>
      <c r="I109" s="388" t="s">
        <v>2385</v>
      </c>
      <c r="X109" s="162"/>
      <c r="Y109" s="162"/>
      <c r="Z109" s="387" t="b">
        <v>0</v>
      </c>
      <c r="AG109" s="403" t="s">
        <v>2388</v>
      </c>
      <c r="AV109" s="130"/>
      <c r="AW109" s="130"/>
      <c r="AX109" s="387" t="b">
        <v>0</v>
      </c>
      <c r="BE109" s="388" t="s">
        <v>2390</v>
      </c>
      <c r="BT109" s="398"/>
    </row>
    <row r="110" ht="10.5" customHeight="1">
      <c r="X110" s="162"/>
      <c r="Y110" s="162"/>
      <c r="AV110" s="130"/>
      <c r="AW110" s="130"/>
      <c r="BT110" s="398"/>
    </row>
    <row r="111" ht="15.75" customHeight="1">
      <c r="B111" s="393" t="s">
        <v>2392</v>
      </c>
      <c r="C111" s="43"/>
      <c r="D111" s="43"/>
      <c r="E111" s="43"/>
      <c r="F111" s="43"/>
      <c r="G111" s="43"/>
      <c r="H111" s="43"/>
      <c r="I111" s="43"/>
      <c r="J111" s="43"/>
      <c r="K111" s="43"/>
      <c r="L111" s="43"/>
      <c r="M111" s="43"/>
      <c r="N111" s="43"/>
      <c r="O111" s="43"/>
      <c r="P111" s="43"/>
      <c r="Q111" s="43"/>
      <c r="R111" s="43"/>
      <c r="S111" s="43"/>
      <c r="T111" s="43"/>
      <c r="U111" s="43"/>
      <c r="V111" s="43"/>
      <c r="W111" s="43"/>
      <c r="X111" s="162"/>
      <c r="Y111" s="162"/>
      <c r="Z111" s="393" t="s">
        <v>2395</v>
      </c>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130"/>
      <c r="AW111" s="130"/>
      <c r="AX111" s="393" t="s">
        <v>2397</v>
      </c>
      <c r="AY111" s="43"/>
      <c r="AZ111" s="43"/>
      <c r="BA111" s="43"/>
      <c r="BB111" s="43"/>
      <c r="BC111" s="43"/>
      <c r="BD111" s="43"/>
      <c r="BE111" s="43"/>
      <c r="BF111" s="43"/>
      <c r="BG111" s="43"/>
      <c r="BH111" s="43"/>
      <c r="BI111" s="43"/>
      <c r="BJ111" s="43"/>
      <c r="BK111" s="43"/>
      <c r="BL111" s="43"/>
      <c r="BM111" s="43"/>
      <c r="BN111" s="43"/>
      <c r="BO111" s="43"/>
      <c r="BP111" s="43"/>
      <c r="BQ111" s="43"/>
      <c r="BR111" s="43"/>
      <c r="BS111" s="43"/>
      <c r="BT111" s="398"/>
    </row>
    <row r="112" ht="12.0" customHeight="1">
      <c r="B112" s="173" t="s">
        <v>1725</v>
      </c>
      <c r="D112" s="173" t="s">
        <v>2233</v>
      </c>
      <c r="I112" s="173" t="s">
        <v>2231</v>
      </c>
      <c r="L112" s="173" t="s">
        <v>2273</v>
      </c>
      <c r="X112" s="162"/>
      <c r="Y112" s="162"/>
      <c r="Z112" s="173" t="s">
        <v>1725</v>
      </c>
      <c r="AB112" s="173" t="s">
        <v>678</v>
      </c>
      <c r="AG112" s="173" t="s">
        <v>2231</v>
      </c>
      <c r="AJ112" s="173" t="s">
        <v>2410</v>
      </c>
      <c r="AV112" s="130"/>
      <c r="AW112" s="130"/>
      <c r="AX112" s="173" t="s">
        <v>1725</v>
      </c>
      <c r="AZ112" s="173" t="s">
        <v>318</v>
      </c>
      <c r="BE112" s="173" t="s">
        <v>2231</v>
      </c>
      <c r="BH112" s="173" t="s">
        <v>2307</v>
      </c>
      <c r="BT112" s="398"/>
    </row>
    <row r="113" ht="15.75" customHeight="1">
      <c r="B113" s="387" t="b">
        <v>0</v>
      </c>
      <c r="I113" s="388" t="s">
        <v>2413</v>
      </c>
      <c r="X113" s="162"/>
      <c r="Y113" s="162"/>
      <c r="Z113" s="387" t="b">
        <v>0</v>
      </c>
      <c r="AG113" s="388" t="s">
        <v>2417</v>
      </c>
      <c r="AV113" s="130"/>
      <c r="AW113" s="130"/>
      <c r="AX113" s="387" t="b">
        <v>0</v>
      </c>
      <c r="BE113" s="388" t="s">
        <v>2421</v>
      </c>
      <c r="BT113" s="398"/>
    </row>
    <row r="114" ht="11.25" customHeight="1">
      <c r="X114" s="162"/>
      <c r="Y114" s="162"/>
      <c r="AV114" s="130"/>
      <c r="AW114" s="130"/>
      <c r="BT114" s="398"/>
    </row>
    <row r="115" ht="15.75" customHeight="1">
      <c r="B115" s="393" t="s">
        <v>2273</v>
      </c>
      <c r="C115" s="43"/>
      <c r="D115" s="43"/>
      <c r="E115" s="43"/>
      <c r="F115" s="43"/>
      <c r="G115" s="43"/>
      <c r="H115" s="43"/>
      <c r="I115" s="43"/>
      <c r="J115" s="43"/>
      <c r="K115" s="43"/>
      <c r="L115" s="43"/>
      <c r="M115" s="43"/>
      <c r="N115" s="43"/>
      <c r="O115" s="43"/>
      <c r="P115" s="43"/>
      <c r="Q115" s="43"/>
      <c r="R115" s="43"/>
      <c r="S115" s="43"/>
      <c r="T115" s="43"/>
      <c r="U115" s="43"/>
      <c r="V115" s="43"/>
      <c r="W115" s="43"/>
      <c r="X115" s="162"/>
      <c r="Y115" s="162"/>
      <c r="Z115" s="393" t="s">
        <v>2431</v>
      </c>
      <c r="AA115" s="43"/>
      <c r="AB115" s="43"/>
      <c r="AC115" s="43"/>
      <c r="AD115" s="43"/>
      <c r="AE115" s="43"/>
      <c r="AF115" s="43"/>
      <c r="AG115" s="43"/>
      <c r="AH115" s="43"/>
      <c r="AI115" s="43"/>
      <c r="AJ115" s="43"/>
      <c r="AK115" s="43"/>
      <c r="AL115" s="43"/>
      <c r="AM115" s="43"/>
      <c r="AN115" s="43"/>
      <c r="AO115" s="43"/>
      <c r="AP115" s="43"/>
      <c r="AQ115" s="43"/>
      <c r="AR115" s="43"/>
      <c r="AS115" s="43"/>
      <c r="AT115" s="43"/>
      <c r="AU115" s="43"/>
      <c r="AV115" s="130"/>
      <c r="AW115" s="130"/>
      <c r="AX115" s="393" t="s">
        <v>2438</v>
      </c>
      <c r="AY115" s="43"/>
      <c r="AZ115" s="43"/>
      <c r="BA115" s="43"/>
      <c r="BB115" s="43"/>
      <c r="BC115" s="43"/>
      <c r="BD115" s="43"/>
      <c r="BE115" s="43"/>
      <c r="BF115" s="43"/>
      <c r="BG115" s="43"/>
      <c r="BH115" s="43"/>
      <c r="BI115" s="43"/>
      <c r="BJ115" s="43"/>
      <c r="BK115" s="43"/>
      <c r="BL115" s="43"/>
      <c r="BM115" s="43"/>
      <c r="BN115" s="43"/>
      <c r="BO115" s="43"/>
      <c r="BP115" s="43"/>
      <c r="BQ115" s="43"/>
      <c r="BR115" s="43"/>
      <c r="BS115" s="43"/>
      <c r="BT115" s="398"/>
    </row>
    <row r="116" ht="12.0" customHeight="1">
      <c r="B116" s="173" t="s">
        <v>1725</v>
      </c>
      <c r="D116" s="173" t="s">
        <v>2230</v>
      </c>
      <c r="I116" s="173" t="s">
        <v>2231</v>
      </c>
      <c r="L116" s="173"/>
      <c r="X116" s="162"/>
      <c r="Y116" s="162"/>
      <c r="Z116" s="173" t="s">
        <v>1725</v>
      </c>
      <c r="AB116" s="173" t="s">
        <v>678</v>
      </c>
      <c r="AG116" s="173" t="s">
        <v>2231</v>
      </c>
      <c r="AJ116" s="173" t="s">
        <v>2410</v>
      </c>
      <c r="AV116" s="130"/>
      <c r="AW116" s="130"/>
      <c r="AX116" s="173" t="s">
        <v>1725</v>
      </c>
      <c r="AZ116" s="173" t="s">
        <v>318</v>
      </c>
      <c r="BE116" s="173" t="s">
        <v>2231</v>
      </c>
      <c r="BH116" s="173" t="s">
        <v>2307</v>
      </c>
      <c r="BT116" s="398"/>
    </row>
    <row r="117" ht="15.75" customHeight="1">
      <c r="B117" s="387" t="b">
        <v>0</v>
      </c>
      <c r="I117" s="388" t="s">
        <v>2464</v>
      </c>
      <c r="X117" s="162"/>
      <c r="Y117" s="162"/>
      <c r="Z117" s="387" t="b">
        <v>0</v>
      </c>
      <c r="AG117" s="388" t="s">
        <v>2468</v>
      </c>
      <c r="AV117" s="130"/>
      <c r="AW117" s="130"/>
      <c r="AX117" s="387" t="b">
        <v>0</v>
      </c>
      <c r="BE117" s="388" t="s">
        <v>2476</v>
      </c>
      <c r="BT117" s="398"/>
    </row>
    <row r="118" ht="11.25" customHeight="1">
      <c r="X118" s="162"/>
      <c r="Y118" s="162"/>
      <c r="AV118" s="130"/>
      <c r="AW118" s="130"/>
      <c r="BT118" s="398"/>
    </row>
    <row r="119" ht="15.75" customHeight="1">
      <c r="B119" s="393" t="s">
        <v>2480</v>
      </c>
      <c r="C119" s="43"/>
      <c r="D119" s="43"/>
      <c r="E119" s="43"/>
      <c r="F119" s="43"/>
      <c r="G119" s="43"/>
      <c r="H119" s="43"/>
      <c r="I119" s="43"/>
      <c r="J119" s="43"/>
      <c r="K119" s="43"/>
      <c r="L119" s="43"/>
      <c r="M119" s="43"/>
      <c r="N119" s="43"/>
      <c r="O119" s="43"/>
      <c r="P119" s="43"/>
      <c r="Q119" s="43"/>
      <c r="R119" s="43"/>
      <c r="S119" s="43"/>
      <c r="T119" s="43"/>
      <c r="U119" s="43"/>
      <c r="V119" s="43"/>
      <c r="W119" s="43"/>
      <c r="X119" s="162"/>
      <c r="Y119" s="162"/>
      <c r="Z119" s="393" t="s">
        <v>2486</v>
      </c>
      <c r="AA119" s="43"/>
      <c r="AB119" s="43"/>
      <c r="AC119" s="43"/>
      <c r="AD119" s="43"/>
      <c r="AE119" s="43"/>
      <c r="AF119" s="43"/>
      <c r="AG119" s="43"/>
      <c r="AH119" s="43"/>
      <c r="AI119" s="43"/>
      <c r="AJ119" s="43"/>
      <c r="AK119" s="43"/>
      <c r="AL119" s="43"/>
      <c r="AM119" s="43"/>
      <c r="AN119" s="43"/>
      <c r="AO119" s="43"/>
      <c r="AP119" s="43"/>
      <c r="AQ119" s="43"/>
      <c r="AR119" s="43"/>
      <c r="AS119" s="43"/>
      <c r="AT119" s="43"/>
      <c r="AU119" s="43"/>
      <c r="AV119" s="130"/>
      <c r="AW119" s="130"/>
      <c r="AX119" s="393" t="s">
        <v>2489</v>
      </c>
      <c r="AY119" s="43"/>
      <c r="AZ119" s="43"/>
      <c r="BA119" s="43"/>
      <c r="BB119" s="43"/>
      <c r="BC119" s="43"/>
      <c r="BD119" s="43"/>
      <c r="BE119" s="43"/>
      <c r="BF119" s="43"/>
      <c r="BG119" s="43"/>
      <c r="BH119" s="43"/>
      <c r="BI119" s="43"/>
      <c r="BJ119" s="43"/>
      <c r="BK119" s="43"/>
      <c r="BL119" s="43"/>
      <c r="BM119" s="43"/>
      <c r="BN119" s="43"/>
      <c r="BO119" s="43"/>
      <c r="BP119" s="43"/>
      <c r="BQ119" s="43"/>
      <c r="BR119" s="43"/>
      <c r="BS119" s="43"/>
      <c r="BT119" s="398"/>
    </row>
    <row r="120" ht="11.25" customHeight="1">
      <c r="B120" s="173" t="s">
        <v>1725</v>
      </c>
      <c r="D120" s="173" t="s">
        <v>2230</v>
      </c>
      <c r="I120" s="173" t="s">
        <v>2231</v>
      </c>
      <c r="L120" s="173" t="s">
        <v>2232</v>
      </c>
      <c r="X120" s="162"/>
      <c r="Y120" s="162"/>
      <c r="Z120" s="173" t="s">
        <v>1725</v>
      </c>
      <c r="AB120" s="173" t="s">
        <v>2230</v>
      </c>
      <c r="AG120" s="173" t="s">
        <v>2231</v>
      </c>
      <c r="AJ120" s="173" t="s">
        <v>2499</v>
      </c>
      <c r="AV120" s="130"/>
      <c r="AW120" s="130"/>
      <c r="AX120" s="173" t="s">
        <v>1725</v>
      </c>
      <c r="AZ120" s="173" t="s">
        <v>2233</v>
      </c>
      <c r="BE120" s="173" t="s">
        <v>2231</v>
      </c>
      <c r="BH120" s="173" t="s">
        <v>2501</v>
      </c>
      <c r="BT120" s="398"/>
    </row>
    <row r="121" ht="15.75" customHeight="1">
      <c r="B121" s="387" t="b">
        <v>0</v>
      </c>
      <c r="I121" s="388" t="s">
        <v>2503</v>
      </c>
      <c r="X121" s="162"/>
      <c r="Y121" s="162"/>
      <c r="Z121" s="387" t="b">
        <v>0</v>
      </c>
      <c r="AG121" s="388" t="s">
        <v>2505</v>
      </c>
      <c r="AV121" s="130"/>
      <c r="AW121" s="130"/>
      <c r="AX121" s="387" t="b">
        <v>0</v>
      </c>
      <c r="BE121" s="388" t="s">
        <v>2508</v>
      </c>
      <c r="BT121" s="398"/>
    </row>
    <row r="122" ht="12.0" customHeight="1">
      <c r="X122" s="162"/>
      <c r="Y122" s="162"/>
      <c r="AV122" s="130"/>
      <c r="AW122" s="130"/>
      <c r="BT122" s="398"/>
    </row>
    <row r="123" ht="15.75" customHeight="1">
      <c r="B123" s="393" t="s">
        <v>2515</v>
      </c>
      <c r="C123" s="43"/>
      <c r="D123" s="43"/>
      <c r="E123" s="43"/>
      <c r="F123" s="43"/>
      <c r="G123" s="43"/>
      <c r="H123" s="43"/>
      <c r="I123" s="43"/>
      <c r="J123" s="43"/>
      <c r="K123" s="43"/>
      <c r="L123" s="43"/>
      <c r="M123" s="43"/>
      <c r="N123" s="43"/>
      <c r="O123" s="43"/>
      <c r="P123" s="43"/>
      <c r="Q123" s="43"/>
      <c r="R123" s="43"/>
      <c r="S123" s="43"/>
      <c r="T123" s="43"/>
      <c r="U123" s="43"/>
      <c r="V123" s="43"/>
      <c r="W123" s="43"/>
      <c r="X123" s="162"/>
      <c r="Y123" s="162"/>
      <c r="Z123" s="393" t="s">
        <v>2521</v>
      </c>
      <c r="AA123" s="43"/>
      <c r="AB123" s="43"/>
      <c r="AC123" s="43"/>
      <c r="AD123" s="43"/>
      <c r="AE123" s="43"/>
      <c r="AF123" s="43"/>
      <c r="AG123" s="43"/>
      <c r="AH123" s="43"/>
      <c r="AI123" s="43"/>
      <c r="AJ123" s="43"/>
      <c r="AK123" s="43"/>
      <c r="AL123" s="43"/>
      <c r="AM123" s="43"/>
      <c r="AN123" s="43"/>
      <c r="AO123" s="43"/>
      <c r="AP123" s="43"/>
      <c r="AQ123" s="43"/>
      <c r="AR123" s="43"/>
      <c r="AS123" s="43"/>
      <c r="AT123" s="43"/>
      <c r="AU123" s="43"/>
      <c r="AV123" s="130"/>
      <c r="AW123" s="130"/>
      <c r="AX123" s="393" t="s">
        <v>2525</v>
      </c>
      <c r="AY123" s="43"/>
      <c r="AZ123" s="43"/>
      <c r="BA123" s="43"/>
      <c r="BB123" s="43"/>
      <c r="BC123" s="43"/>
      <c r="BD123" s="43"/>
      <c r="BE123" s="43"/>
      <c r="BF123" s="43"/>
      <c r="BG123" s="43"/>
      <c r="BH123" s="43"/>
      <c r="BI123" s="43"/>
      <c r="BJ123" s="43"/>
      <c r="BK123" s="43"/>
      <c r="BL123" s="43"/>
      <c r="BM123" s="43"/>
      <c r="BN123" s="43"/>
      <c r="BO123" s="43"/>
      <c r="BP123" s="43"/>
      <c r="BQ123" s="43"/>
      <c r="BR123" s="43"/>
      <c r="BS123" s="43"/>
      <c r="BT123" s="398"/>
    </row>
    <row r="124" ht="9.75" customHeight="1">
      <c r="B124" s="173" t="s">
        <v>1725</v>
      </c>
      <c r="D124" s="173" t="s">
        <v>318</v>
      </c>
      <c r="I124" s="173" t="s">
        <v>2231</v>
      </c>
      <c r="L124" s="173" t="s">
        <v>2307</v>
      </c>
      <c r="X124" s="162"/>
      <c r="Y124" s="162"/>
      <c r="Z124" s="173" t="s">
        <v>1725</v>
      </c>
      <c r="AB124" s="173" t="s">
        <v>678</v>
      </c>
      <c r="AG124" s="173" t="s">
        <v>2231</v>
      </c>
      <c r="AJ124" s="173" t="s">
        <v>2237</v>
      </c>
      <c r="AV124" s="130"/>
      <c r="AW124" s="130"/>
      <c r="AX124" s="173" t="s">
        <v>1725</v>
      </c>
      <c r="AZ124" s="173" t="s">
        <v>2230</v>
      </c>
      <c r="BE124" s="173" t="s">
        <v>2231</v>
      </c>
      <c r="BH124" s="173" t="s">
        <v>2499</v>
      </c>
      <c r="BT124" s="398"/>
    </row>
    <row r="125" ht="15.75" customHeight="1">
      <c r="B125" s="387" t="b">
        <v>0</v>
      </c>
      <c r="I125" s="388" t="s">
        <v>2534</v>
      </c>
      <c r="X125" s="162"/>
      <c r="Y125" s="162"/>
      <c r="Z125" s="387" t="b">
        <v>0</v>
      </c>
      <c r="AG125" s="388" t="s">
        <v>2541</v>
      </c>
      <c r="AV125" s="130"/>
      <c r="AW125" s="130"/>
      <c r="AX125" s="387" t="b">
        <v>0</v>
      </c>
      <c r="BE125" s="388" t="s">
        <v>2545</v>
      </c>
      <c r="BT125" s="398"/>
    </row>
    <row r="126" ht="11.25" customHeight="1">
      <c r="X126" s="162"/>
      <c r="Y126" s="162"/>
      <c r="AV126" s="130"/>
      <c r="AW126" s="130"/>
      <c r="BT126" s="398"/>
    </row>
    <row r="127" ht="15.75" customHeight="1">
      <c r="B127" s="393" t="s">
        <v>2553</v>
      </c>
      <c r="C127" s="43"/>
      <c r="D127" s="43"/>
      <c r="E127" s="43"/>
      <c r="F127" s="43"/>
      <c r="G127" s="43"/>
      <c r="H127" s="43"/>
      <c r="I127" s="43"/>
      <c r="J127" s="43"/>
      <c r="K127" s="43"/>
      <c r="L127" s="43"/>
      <c r="M127" s="43"/>
      <c r="N127" s="43"/>
      <c r="O127" s="43"/>
      <c r="P127" s="43"/>
      <c r="Q127" s="43"/>
      <c r="R127" s="43"/>
      <c r="S127" s="43"/>
      <c r="T127" s="43"/>
      <c r="U127" s="43"/>
      <c r="V127" s="43"/>
      <c r="W127" s="43"/>
      <c r="X127" s="162"/>
      <c r="Y127" s="162"/>
      <c r="Z127" s="393" t="s">
        <v>2557</v>
      </c>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130"/>
      <c r="AW127" s="130"/>
      <c r="AX127" s="393" t="s">
        <v>2559</v>
      </c>
      <c r="AY127" s="43"/>
      <c r="AZ127" s="43"/>
      <c r="BA127" s="43"/>
      <c r="BB127" s="43"/>
      <c r="BC127" s="43"/>
      <c r="BD127" s="43"/>
      <c r="BE127" s="43"/>
      <c r="BF127" s="43"/>
      <c r="BG127" s="43"/>
      <c r="BH127" s="43"/>
      <c r="BI127" s="43"/>
      <c r="BJ127" s="43"/>
      <c r="BK127" s="43"/>
      <c r="BL127" s="43"/>
      <c r="BM127" s="43"/>
      <c r="BN127" s="43"/>
      <c r="BO127" s="43"/>
      <c r="BP127" s="43"/>
      <c r="BQ127" s="43"/>
      <c r="BR127" s="43"/>
      <c r="BS127" s="43"/>
      <c r="BT127" s="398"/>
    </row>
    <row r="128" ht="10.5" customHeight="1">
      <c r="B128" s="173" t="s">
        <v>1725</v>
      </c>
      <c r="D128" s="173" t="s">
        <v>2230</v>
      </c>
      <c r="I128" s="173" t="s">
        <v>2231</v>
      </c>
      <c r="L128" s="173" t="s">
        <v>2265</v>
      </c>
      <c r="X128" s="162"/>
      <c r="Y128" s="162"/>
      <c r="Z128" s="173" t="s">
        <v>1725</v>
      </c>
      <c r="AB128" s="173" t="s">
        <v>2233</v>
      </c>
      <c r="AG128" s="173" t="s">
        <v>2231</v>
      </c>
      <c r="AJ128" s="173" t="s">
        <v>2381</v>
      </c>
      <c r="AV128" s="130"/>
      <c r="AW128" s="130"/>
      <c r="AX128" s="173" t="s">
        <v>1725</v>
      </c>
      <c r="AZ128" s="173" t="s">
        <v>2233</v>
      </c>
      <c r="BE128" s="173" t="s">
        <v>2231</v>
      </c>
      <c r="BH128" s="173" t="s">
        <v>2501</v>
      </c>
      <c r="BT128" s="398"/>
    </row>
    <row r="129" ht="15.75" customHeight="1">
      <c r="B129" s="387" t="b">
        <v>0</v>
      </c>
      <c r="I129" s="388" t="s">
        <v>2568</v>
      </c>
      <c r="X129" s="162"/>
      <c r="Y129" s="162"/>
      <c r="Z129" s="387" t="b">
        <v>0</v>
      </c>
      <c r="AG129" s="388" t="s">
        <v>2573</v>
      </c>
      <c r="AV129" s="130"/>
      <c r="AW129" s="130"/>
      <c r="AX129" s="387" t="b">
        <v>0</v>
      </c>
      <c r="BE129" s="388" t="s">
        <v>2580</v>
      </c>
      <c r="BT129" s="398"/>
    </row>
    <row r="130" ht="11.25" customHeight="1">
      <c r="X130" s="162"/>
      <c r="Y130" s="162"/>
      <c r="AV130" s="130"/>
      <c r="AW130" s="130"/>
      <c r="BT130" s="398"/>
    </row>
    <row r="131" ht="15.75" customHeight="1">
      <c r="B131" s="393" t="s">
        <v>368</v>
      </c>
      <c r="C131" s="43"/>
      <c r="D131" s="43"/>
      <c r="E131" s="43"/>
      <c r="F131" s="43"/>
      <c r="G131" s="43"/>
      <c r="H131" s="43"/>
      <c r="I131" s="43"/>
      <c r="J131" s="43"/>
      <c r="K131" s="43"/>
      <c r="L131" s="43"/>
      <c r="M131" s="43"/>
      <c r="N131" s="43"/>
      <c r="O131" s="43"/>
      <c r="P131" s="43"/>
      <c r="Q131" s="43"/>
      <c r="R131" s="43"/>
      <c r="S131" s="43"/>
      <c r="T131" s="43"/>
      <c r="U131" s="43"/>
      <c r="V131" s="43"/>
      <c r="W131" s="43"/>
      <c r="X131" s="162"/>
      <c r="Y131" s="162"/>
      <c r="Z131" s="393" t="s">
        <v>2586</v>
      </c>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130"/>
      <c r="AW131" s="130"/>
      <c r="AX131" s="393" t="s">
        <v>2589</v>
      </c>
      <c r="AY131" s="43"/>
      <c r="AZ131" s="43"/>
      <c r="BA131" s="43"/>
      <c r="BB131" s="43"/>
      <c r="BC131" s="43"/>
      <c r="BD131" s="43"/>
      <c r="BE131" s="43"/>
      <c r="BF131" s="43"/>
      <c r="BG131" s="43"/>
      <c r="BH131" s="43"/>
      <c r="BI131" s="43"/>
      <c r="BJ131" s="43"/>
      <c r="BK131" s="43"/>
      <c r="BL131" s="43"/>
      <c r="BM131" s="43"/>
      <c r="BN131" s="43"/>
      <c r="BO131" s="43"/>
      <c r="BP131" s="43"/>
      <c r="BQ131" s="43"/>
      <c r="BR131" s="43"/>
      <c r="BS131" s="43"/>
      <c r="BT131" s="398"/>
    </row>
  </sheetData>
  <mergeCells count="485">
    <mergeCell ref="I24:W27"/>
    <mergeCell ref="I28:W31"/>
    <mergeCell ref="M32:W32"/>
    <mergeCell ref="I33:W35"/>
    <mergeCell ref="I36:W39"/>
    <mergeCell ref="I40:W43"/>
    <mergeCell ref="I46:W49"/>
    <mergeCell ref="I78:W81"/>
    <mergeCell ref="I82:W85"/>
    <mergeCell ref="I50:W53"/>
    <mergeCell ref="I54:W57"/>
    <mergeCell ref="I58:W61"/>
    <mergeCell ref="I62:W65"/>
    <mergeCell ref="I66:W69"/>
    <mergeCell ref="I70:W73"/>
    <mergeCell ref="I74:W77"/>
    <mergeCell ref="Z69:AF69"/>
    <mergeCell ref="Z71:AF72"/>
    <mergeCell ref="Z65:AF65"/>
    <mergeCell ref="Z66:AA66"/>
    <mergeCell ref="AB66:AF66"/>
    <mergeCell ref="B69:H69"/>
    <mergeCell ref="B70:C70"/>
    <mergeCell ref="D70:H70"/>
    <mergeCell ref="B71:H72"/>
    <mergeCell ref="D74:H74"/>
    <mergeCell ref="B75:H76"/>
    <mergeCell ref="Z70:AA70"/>
    <mergeCell ref="AB70:AF70"/>
    <mergeCell ref="B73:H73"/>
    <mergeCell ref="Z73:AF73"/>
    <mergeCell ref="B74:C74"/>
    <mergeCell ref="Z74:AA74"/>
    <mergeCell ref="AB74:AF74"/>
    <mergeCell ref="Z75:AF76"/>
    <mergeCell ref="AG74:AU77"/>
    <mergeCell ref="AG78:AU81"/>
    <mergeCell ref="AG82:AU85"/>
    <mergeCell ref="AG86:AU89"/>
    <mergeCell ref="AG70:AU73"/>
    <mergeCell ref="B77:H77"/>
    <mergeCell ref="Z77:AF77"/>
    <mergeCell ref="B78:C78"/>
    <mergeCell ref="D78:H78"/>
    <mergeCell ref="Z78:AA78"/>
    <mergeCell ref="B79:H80"/>
    <mergeCell ref="B83:H84"/>
    <mergeCell ref="B85:H85"/>
    <mergeCell ref="B86:C86"/>
    <mergeCell ref="D86:H86"/>
    <mergeCell ref="I86:L86"/>
    <mergeCell ref="B87:H88"/>
    <mergeCell ref="B89:H89"/>
    <mergeCell ref="Z85:AF85"/>
    <mergeCell ref="M86:W86"/>
    <mergeCell ref="Z86:AA86"/>
    <mergeCell ref="AB86:AF86"/>
    <mergeCell ref="I87:W89"/>
    <mergeCell ref="Z87:AF88"/>
    <mergeCell ref="Z89:AF89"/>
    <mergeCell ref="B81:H81"/>
    <mergeCell ref="Z81:AF81"/>
    <mergeCell ref="B82:C82"/>
    <mergeCell ref="D82:H82"/>
    <mergeCell ref="Z82:AA82"/>
    <mergeCell ref="AB82:AF82"/>
    <mergeCell ref="Z83:AF84"/>
    <mergeCell ref="B23:H23"/>
    <mergeCell ref="B24:H26"/>
    <mergeCell ref="Z24:AF26"/>
    <mergeCell ref="B27:H27"/>
    <mergeCell ref="Z27:AF27"/>
    <mergeCell ref="B28:H30"/>
    <mergeCell ref="B31:H31"/>
    <mergeCell ref="B32:H34"/>
    <mergeCell ref="I32:L32"/>
    <mergeCell ref="B35:H35"/>
    <mergeCell ref="B36:H38"/>
    <mergeCell ref="B39:H39"/>
    <mergeCell ref="B40:H42"/>
    <mergeCell ref="B45:AU45"/>
    <mergeCell ref="Z28:AF30"/>
    <mergeCell ref="Z31:AF31"/>
    <mergeCell ref="Z32:AF34"/>
    <mergeCell ref="Z35:AF35"/>
    <mergeCell ref="Z36:AF38"/>
    <mergeCell ref="Z39:AF39"/>
    <mergeCell ref="Z40:AF42"/>
    <mergeCell ref="AG24:AU27"/>
    <mergeCell ref="AG28:AU31"/>
    <mergeCell ref="AG32:AU35"/>
    <mergeCell ref="AG36:AU39"/>
    <mergeCell ref="AG40:AU43"/>
    <mergeCell ref="AG46:AU49"/>
    <mergeCell ref="AG50:AH50"/>
    <mergeCell ref="Z43:AF43"/>
    <mergeCell ref="Z46:AA46"/>
    <mergeCell ref="AB46:AF46"/>
    <mergeCell ref="Z47:AF48"/>
    <mergeCell ref="Z49:AF49"/>
    <mergeCell ref="Z50:AA50"/>
    <mergeCell ref="AB50:AF50"/>
    <mergeCell ref="AI50:AU50"/>
    <mergeCell ref="AG51:AU53"/>
    <mergeCell ref="AG54:AU57"/>
    <mergeCell ref="AJ58:AU58"/>
    <mergeCell ref="AG59:AU61"/>
    <mergeCell ref="AG62:AU65"/>
    <mergeCell ref="AG66:AU69"/>
    <mergeCell ref="AB78:AF78"/>
    <mergeCell ref="Z79:AF80"/>
    <mergeCell ref="L96:W96"/>
    <mergeCell ref="I97:W99"/>
    <mergeCell ref="AG97:AU99"/>
    <mergeCell ref="AX97:BD98"/>
    <mergeCell ref="BE97:BS99"/>
    <mergeCell ref="B99:H99"/>
    <mergeCell ref="Z99:AF99"/>
    <mergeCell ref="AX99:BD99"/>
    <mergeCell ref="B95:H95"/>
    <mergeCell ref="D96:H96"/>
    <mergeCell ref="I96:K96"/>
    <mergeCell ref="Z96:AA96"/>
    <mergeCell ref="AB96:AF96"/>
    <mergeCell ref="B97:H98"/>
    <mergeCell ref="Z97:AF98"/>
    <mergeCell ref="AG100:AI100"/>
    <mergeCell ref="AJ100:AU100"/>
    <mergeCell ref="AX100:AY100"/>
    <mergeCell ref="AZ100:BD100"/>
    <mergeCell ref="BE100:BG100"/>
    <mergeCell ref="BH100:BS100"/>
    <mergeCell ref="L100:W100"/>
    <mergeCell ref="I101:W103"/>
    <mergeCell ref="AG101:AU103"/>
    <mergeCell ref="AX101:BD102"/>
    <mergeCell ref="BE101:BS103"/>
    <mergeCell ref="B103:H103"/>
    <mergeCell ref="Z103:AF103"/>
    <mergeCell ref="AX103:BD103"/>
    <mergeCell ref="AG104:AI104"/>
    <mergeCell ref="AJ104:AU104"/>
    <mergeCell ref="AX104:AY104"/>
    <mergeCell ref="AZ104:BD104"/>
    <mergeCell ref="BE104:BG104"/>
    <mergeCell ref="BH104:BS104"/>
    <mergeCell ref="L104:W104"/>
    <mergeCell ref="I105:W107"/>
    <mergeCell ref="AG105:AU107"/>
    <mergeCell ref="AX105:BD106"/>
    <mergeCell ref="BE105:BS107"/>
    <mergeCell ref="B107:H107"/>
    <mergeCell ref="Z107:AF107"/>
    <mergeCell ref="AX107:BD107"/>
    <mergeCell ref="B104:C104"/>
    <mergeCell ref="B108:C108"/>
    <mergeCell ref="D108:H108"/>
    <mergeCell ref="I108:K108"/>
    <mergeCell ref="L108:W108"/>
    <mergeCell ref="Z108:AA108"/>
    <mergeCell ref="AB108:AF108"/>
    <mergeCell ref="AB120:AF120"/>
    <mergeCell ref="Z121:AF122"/>
    <mergeCell ref="Z112:AA112"/>
    <mergeCell ref="AB112:AF112"/>
    <mergeCell ref="Z113:AF114"/>
    <mergeCell ref="Z115:AF115"/>
    <mergeCell ref="Z117:AF118"/>
    <mergeCell ref="Z119:AF119"/>
    <mergeCell ref="Z120:AA120"/>
    <mergeCell ref="AZ124:BD124"/>
    <mergeCell ref="BE124:BG124"/>
    <mergeCell ref="AX124:AY124"/>
    <mergeCell ref="AX128:AY128"/>
    <mergeCell ref="AZ128:BD128"/>
    <mergeCell ref="BE128:BG128"/>
    <mergeCell ref="AX129:BD130"/>
    <mergeCell ref="AX119:BD119"/>
    <mergeCell ref="AX120:AY120"/>
    <mergeCell ref="AZ120:BD120"/>
    <mergeCell ref="BE120:BG120"/>
    <mergeCell ref="AX121:BD122"/>
    <mergeCell ref="AX123:BD123"/>
    <mergeCell ref="AX125:BD126"/>
    <mergeCell ref="BH108:BS108"/>
    <mergeCell ref="BE109:BS111"/>
    <mergeCell ref="AJ108:AU108"/>
    <mergeCell ref="AX108:AY108"/>
    <mergeCell ref="AZ108:BD108"/>
    <mergeCell ref="BE108:BG108"/>
    <mergeCell ref="AG109:AU111"/>
    <mergeCell ref="AX109:BD110"/>
    <mergeCell ref="AX111:BD111"/>
    <mergeCell ref="AJ112:AU112"/>
    <mergeCell ref="AX112:AY112"/>
    <mergeCell ref="AZ112:BD112"/>
    <mergeCell ref="BE112:BG112"/>
    <mergeCell ref="BH112:BS112"/>
    <mergeCell ref="AX113:BD114"/>
    <mergeCell ref="BE113:BS115"/>
    <mergeCell ref="AJ120:AU120"/>
    <mergeCell ref="AG121:AU123"/>
    <mergeCell ref="AG124:AI124"/>
    <mergeCell ref="AJ124:AU124"/>
    <mergeCell ref="AG108:AI108"/>
    <mergeCell ref="AG112:AI112"/>
    <mergeCell ref="AG113:AU115"/>
    <mergeCell ref="AG116:AI116"/>
    <mergeCell ref="AJ116:AU116"/>
    <mergeCell ref="AG117:AU119"/>
    <mergeCell ref="AG120:AI120"/>
    <mergeCell ref="BH120:BS120"/>
    <mergeCell ref="BE121:BS123"/>
    <mergeCell ref="BH124:BS124"/>
    <mergeCell ref="BE125:BS127"/>
    <mergeCell ref="AX127:BD127"/>
    <mergeCell ref="BH128:BS128"/>
    <mergeCell ref="BE129:BS131"/>
    <mergeCell ref="AX131:BD131"/>
    <mergeCell ref="AX115:BD115"/>
    <mergeCell ref="AX116:AY116"/>
    <mergeCell ref="AZ116:BD116"/>
    <mergeCell ref="BE116:BG116"/>
    <mergeCell ref="BH116:BS116"/>
    <mergeCell ref="AX117:BD118"/>
    <mergeCell ref="BE117:BS119"/>
    <mergeCell ref="B123:H123"/>
    <mergeCell ref="B124:C124"/>
    <mergeCell ref="D124:H124"/>
    <mergeCell ref="I124:K124"/>
    <mergeCell ref="Z124:AA124"/>
    <mergeCell ref="AB124:AF124"/>
    <mergeCell ref="B125:H126"/>
    <mergeCell ref="Z125:AF126"/>
    <mergeCell ref="I128:K128"/>
    <mergeCell ref="L128:W128"/>
    <mergeCell ref="B129:H130"/>
    <mergeCell ref="I129:W131"/>
    <mergeCell ref="B131:H131"/>
    <mergeCell ref="Z128:AA128"/>
    <mergeCell ref="AB128:AF128"/>
    <mergeCell ref="Z129:AF130"/>
    <mergeCell ref="Z131:AF131"/>
    <mergeCell ref="AG128:AI128"/>
    <mergeCell ref="AJ128:AU128"/>
    <mergeCell ref="AG129:AU131"/>
    <mergeCell ref="L124:W124"/>
    <mergeCell ref="I125:W127"/>
    <mergeCell ref="AG125:AU127"/>
    <mergeCell ref="B127:H127"/>
    <mergeCell ref="Z127:AF127"/>
    <mergeCell ref="B128:C128"/>
    <mergeCell ref="D128:H128"/>
    <mergeCell ref="B96:C96"/>
    <mergeCell ref="D100:H100"/>
    <mergeCell ref="I100:K100"/>
    <mergeCell ref="Z100:AA100"/>
    <mergeCell ref="AB100:AF100"/>
    <mergeCell ref="B101:H102"/>
    <mergeCell ref="Z101:AF102"/>
    <mergeCell ref="B100:C100"/>
    <mergeCell ref="D104:H104"/>
    <mergeCell ref="I104:K104"/>
    <mergeCell ref="Z104:AA104"/>
    <mergeCell ref="AB104:AF104"/>
    <mergeCell ref="B105:H106"/>
    <mergeCell ref="Z105:AF106"/>
    <mergeCell ref="B109:H110"/>
    <mergeCell ref="I109:W111"/>
    <mergeCell ref="Z109:AF110"/>
    <mergeCell ref="B111:H111"/>
    <mergeCell ref="Z111:AF111"/>
    <mergeCell ref="B112:C112"/>
    <mergeCell ref="D112:H112"/>
    <mergeCell ref="I116:K116"/>
    <mergeCell ref="L116:W116"/>
    <mergeCell ref="Z116:AA116"/>
    <mergeCell ref="AB116:AF116"/>
    <mergeCell ref="I112:K112"/>
    <mergeCell ref="L112:W112"/>
    <mergeCell ref="B113:H114"/>
    <mergeCell ref="I113:W115"/>
    <mergeCell ref="B115:H115"/>
    <mergeCell ref="B116:C116"/>
    <mergeCell ref="D116:H116"/>
    <mergeCell ref="L120:W120"/>
    <mergeCell ref="I121:W123"/>
    <mergeCell ref="Z123:AF123"/>
    <mergeCell ref="B117:H118"/>
    <mergeCell ref="I117:W119"/>
    <mergeCell ref="B119:H119"/>
    <mergeCell ref="B120:C120"/>
    <mergeCell ref="D120:H120"/>
    <mergeCell ref="I120:K120"/>
    <mergeCell ref="B121:H122"/>
    <mergeCell ref="AM4:AQ5"/>
    <mergeCell ref="AR4:BH5"/>
    <mergeCell ref="AM7:AT7"/>
    <mergeCell ref="AV7:BS8"/>
    <mergeCell ref="AN8:AO8"/>
    <mergeCell ref="BJ4:BL5"/>
    <mergeCell ref="BN4:BN5"/>
    <mergeCell ref="Q2:T5"/>
    <mergeCell ref="U2:AL5"/>
    <mergeCell ref="AM2:AQ3"/>
    <mergeCell ref="AR2:BH3"/>
    <mergeCell ref="BJ2:BL3"/>
    <mergeCell ref="BN2:BS3"/>
    <mergeCell ref="BO4:BS5"/>
    <mergeCell ref="N8:O8"/>
    <mergeCell ref="N9:O9"/>
    <mergeCell ref="AC8:AD8"/>
    <mergeCell ref="AC9:AD9"/>
    <mergeCell ref="AN9:AO9"/>
    <mergeCell ref="AV10:AW10"/>
    <mergeCell ref="BD10:BE10"/>
    <mergeCell ref="M11:X11"/>
    <mergeCell ref="Z11:AK11"/>
    <mergeCell ref="AM11:AT11"/>
    <mergeCell ref="AV11:BC11"/>
    <mergeCell ref="BD11:BP11"/>
    <mergeCell ref="BQ11:BS11"/>
    <mergeCell ref="R12:S12"/>
    <mergeCell ref="AE12:AF12"/>
    <mergeCell ref="AN12:AP12"/>
    <mergeCell ref="AR12:AS12"/>
    <mergeCell ref="AV12:AX12"/>
    <mergeCell ref="AY12:BA12"/>
    <mergeCell ref="AY13:BS13"/>
    <mergeCell ref="M13:Q13"/>
    <mergeCell ref="R13:S13"/>
    <mergeCell ref="AA13:AD13"/>
    <mergeCell ref="AE13:AF13"/>
    <mergeCell ref="AN13:AP15"/>
    <mergeCell ref="AQ13:AQ15"/>
    <mergeCell ref="AR13:AS15"/>
    <mergeCell ref="AE14:AF14"/>
    <mergeCell ref="AA15:AD15"/>
    <mergeCell ref="AE15:AF15"/>
    <mergeCell ref="R14:S14"/>
    <mergeCell ref="M15:Q15"/>
    <mergeCell ref="R15:S15"/>
    <mergeCell ref="R16:S16"/>
    <mergeCell ref="AE16:AF16"/>
    <mergeCell ref="AR16:AS16"/>
    <mergeCell ref="AA17:AD17"/>
    <mergeCell ref="AE17:AF17"/>
    <mergeCell ref="AR17:AS17"/>
    <mergeCell ref="B19:AU19"/>
    <mergeCell ref="B2:O5"/>
    <mergeCell ref="B7:K7"/>
    <mergeCell ref="M7:X7"/>
    <mergeCell ref="Z7:AK7"/>
    <mergeCell ref="B8:K17"/>
    <mergeCell ref="Q8:W8"/>
    <mergeCell ref="Q9:W9"/>
    <mergeCell ref="M17:Q17"/>
    <mergeCell ref="R17:S17"/>
    <mergeCell ref="B20:H22"/>
    <mergeCell ref="I20:W23"/>
    <mergeCell ref="Z20:AF22"/>
    <mergeCell ref="AG20:AU23"/>
    <mergeCell ref="Z23:AF23"/>
    <mergeCell ref="B43:H43"/>
    <mergeCell ref="B46:C46"/>
    <mergeCell ref="D46:H46"/>
    <mergeCell ref="B47:H48"/>
    <mergeCell ref="B49:H49"/>
    <mergeCell ref="B50:C50"/>
    <mergeCell ref="D50:H50"/>
    <mergeCell ref="B62:C62"/>
    <mergeCell ref="D62:H62"/>
    <mergeCell ref="B66:C66"/>
    <mergeCell ref="D66:H66"/>
    <mergeCell ref="B51:H52"/>
    <mergeCell ref="B53:H53"/>
    <mergeCell ref="B54:C54"/>
    <mergeCell ref="D54:H54"/>
    <mergeCell ref="B58:C58"/>
    <mergeCell ref="D58:H58"/>
    <mergeCell ref="B59:H60"/>
    <mergeCell ref="AZ58:BD58"/>
    <mergeCell ref="AX59:BD60"/>
    <mergeCell ref="AX62:AY62"/>
    <mergeCell ref="AZ62:BD62"/>
    <mergeCell ref="AZ50:BD50"/>
    <mergeCell ref="AX51:BD52"/>
    <mergeCell ref="AX54:AY54"/>
    <mergeCell ref="AZ54:BD54"/>
    <mergeCell ref="AX55:BD56"/>
    <mergeCell ref="AX57:BD57"/>
    <mergeCell ref="AX58:AY58"/>
    <mergeCell ref="AV16:AX16"/>
    <mergeCell ref="AV17:AX17"/>
    <mergeCell ref="AX20:BD22"/>
    <mergeCell ref="AX24:BD26"/>
    <mergeCell ref="AX28:BD30"/>
    <mergeCell ref="AX32:BD34"/>
    <mergeCell ref="AX36:BD38"/>
    <mergeCell ref="AX40:BD42"/>
    <mergeCell ref="BD14:BE14"/>
    <mergeCell ref="BF18:BG18"/>
    <mergeCell ref="AV13:AX13"/>
    <mergeCell ref="AV14:AW14"/>
    <mergeCell ref="AV15:BC15"/>
    <mergeCell ref="BD15:BP15"/>
    <mergeCell ref="BQ15:BS15"/>
    <mergeCell ref="AY16:BA16"/>
    <mergeCell ref="AY17:BS17"/>
    <mergeCell ref="AX19:BS19"/>
    <mergeCell ref="BE20:BS23"/>
    <mergeCell ref="AX23:BD23"/>
    <mergeCell ref="BE24:BS27"/>
    <mergeCell ref="AX27:BD27"/>
    <mergeCell ref="BE28:BS31"/>
    <mergeCell ref="AX31:BD31"/>
    <mergeCell ref="BE32:BS35"/>
    <mergeCell ref="AX35:BD35"/>
    <mergeCell ref="BE36:BS39"/>
    <mergeCell ref="AX39:BD39"/>
    <mergeCell ref="BE40:BS43"/>
    <mergeCell ref="AX43:BD43"/>
    <mergeCell ref="AX45:BS45"/>
    <mergeCell ref="BE50:BS53"/>
    <mergeCell ref="BE54:BS57"/>
    <mergeCell ref="BE58:BS61"/>
    <mergeCell ref="AX61:BD61"/>
    <mergeCell ref="BE62:BS65"/>
    <mergeCell ref="AX63:BD64"/>
    <mergeCell ref="AX65:BD65"/>
    <mergeCell ref="AX46:AY46"/>
    <mergeCell ref="AZ46:BD46"/>
    <mergeCell ref="BE46:BS49"/>
    <mergeCell ref="AX47:BD48"/>
    <mergeCell ref="AX49:BD49"/>
    <mergeCell ref="AX50:AY50"/>
    <mergeCell ref="AX53:BD53"/>
    <mergeCell ref="Z57:AF57"/>
    <mergeCell ref="Z58:AA58"/>
    <mergeCell ref="AB58:AF58"/>
    <mergeCell ref="AG58:AI58"/>
    <mergeCell ref="Z59:AF60"/>
    <mergeCell ref="Z51:AF52"/>
    <mergeCell ref="Z53:AF53"/>
    <mergeCell ref="Z54:AA54"/>
    <mergeCell ref="AB54:AF54"/>
    <mergeCell ref="B55:H56"/>
    <mergeCell ref="Z55:AF56"/>
    <mergeCell ref="B57:H57"/>
    <mergeCell ref="Z63:AF64"/>
    <mergeCell ref="Z67:AF68"/>
    <mergeCell ref="B61:H61"/>
    <mergeCell ref="Z61:AF61"/>
    <mergeCell ref="Z62:AA62"/>
    <mergeCell ref="AB62:AF62"/>
    <mergeCell ref="B63:H64"/>
    <mergeCell ref="B65:H65"/>
    <mergeCell ref="B67:H68"/>
    <mergeCell ref="AX92:AY92"/>
    <mergeCell ref="AZ92:BD92"/>
    <mergeCell ref="AX93:BD94"/>
    <mergeCell ref="AX95:BD95"/>
    <mergeCell ref="BE92:BG92"/>
    <mergeCell ref="BH92:BS92"/>
    <mergeCell ref="BE93:BS95"/>
    <mergeCell ref="B91:BS91"/>
    <mergeCell ref="B92:C92"/>
    <mergeCell ref="D92:H92"/>
    <mergeCell ref="I92:K92"/>
    <mergeCell ref="L92:W92"/>
    <mergeCell ref="Z92:AA92"/>
    <mergeCell ref="AB92:AF92"/>
    <mergeCell ref="AG92:AI92"/>
    <mergeCell ref="AJ92:AU92"/>
    <mergeCell ref="B93:H94"/>
    <mergeCell ref="I93:W95"/>
    <mergeCell ref="Z93:AF94"/>
    <mergeCell ref="AG93:AU95"/>
    <mergeCell ref="Z95:AF95"/>
    <mergeCell ref="AG96:AI96"/>
    <mergeCell ref="AJ96:AU96"/>
    <mergeCell ref="AX96:AY96"/>
    <mergeCell ref="AZ96:BD96"/>
    <mergeCell ref="BE96:BG96"/>
    <mergeCell ref="BH96:BS96"/>
  </mergeCells>
  <conditionalFormatting sqref="AE8:AH9 AP8:AS9 T12:W17 AG12:AJ17">
    <cfRule type="expression" dxfId="2" priority="1">
      <formula>$BN$4</formula>
    </cfRule>
  </conditionalFormatting>
  <dataValidations>
    <dataValidation type="list" allowBlank="1" showDropDown="1" showErrorMessage="1" sqref="AF8 AQ8 U12 AJ12 U14 AJ14 U16 BI18">
      <formula1>Data!$B$14:$B$19</formula1>
    </dataValidation>
  </dataValidations>
  <printOptions gridLines="1" horizontalCentered="1" verticalCentered="1"/>
  <pageMargins bottom="0.2" footer="0.0" header="0.0" left="0.2" right="0.2" top="0.2"/>
  <pageSetup orientation="landscape" pageOrder="overThenDown"/>
  <rowBreaks count="2" manualBreakCount="2">
    <brk man="1"/>
    <brk id="33" man="1"/>
  </rowBreaks>
  <colBreaks count="2" manualBreakCount="2">
    <brk man="1"/>
    <brk id="72" man="1"/>
  </colBreak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showGridLines="0" workbookViewId="0"/>
  </sheetViews>
  <sheetFormatPr customHeight="1" defaultColWidth="12.63" defaultRowHeight="15.75"/>
  <cols>
    <col customWidth="1" min="1" max="72" width="2.63"/>
  </cols>
  <sheetData>
    <row r="1" ht="9.75" customHeight="1">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row>
    <row r="2" ht="15.75" customHeight="1">
      <c r="A2" s="11"/>
      <c r="B2" s="28" t="s">
        <v>2020</v>
      </c>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32"/>
      <c r="BT2" s="11"/>
    </row>
    <row r="3" ht="9.75" customHeight="1">
      <c r="A3" s="33"/>
      <c r="G3" s="35"/>
      <c r="H3" s="35"/>
      <c r="I3" s="35"/>
      <c r="J3" s="35"/>
      <c r="K3" s="35"/>
      <c r="L3" s="35"/>
      <c r="M3" s="35"/>
      <c r="O3" s="48" t="s">
        <v>2062</v>
      </c>
      <c r="R3" s="413"/>
      <c r="S3" s="48" t="s">
        <v>88</v>
      </c>
      <c r="T3" s="413"/>
      <c r="U3" s="48" t="s">
        <v>2068</v>
      </c>
      <c r="V3" s="413"/>
      <c r="W3" s="48" t="s">
        <v>176</v>
      </c>
      <c r="X3" s="35"/>
      <c r="Y3" s="35"/>
      <c r="Z3" s="48" t="s">
        <v>204</v>
      </c>
      <c r="AE3" s="35"/>
      <c r="AF3" s="35"/>
      <c r="AG3" s="35"/>
      <c r="AH3" s="35"/>
      <c r="AI3" s="35"/>
      <c r="AJ3" s="53"/>
      <c r="AK3" s="35"/>
      <c r="AL3" s="133" t="s">
        <v>88</v>
      </c>
      <c r="AM3" s="414"/>
      <c r="AN3" s="133" t="s">
        <v>190</v>
      </c>
      <c r="AO3" s="414"/>
      <c r="AP3" s="414" t="s">
        <v>35</v>
      </c>
      <c r="BG3" s="35" t="s">
        <v>2092</v>
      </c>
      <c r="BN3" s="48"/>
      <c r="BO3" s="55" t="s">
        <v>1347</v>
      </c>
      <c r="BP3" s="415"/>
      <c r="BQ3" s="49"/>
      <c r="BR3" s="48" t="s">
        <v>196</v>
      </c>
      <c r="BT3" s="35"/>
    </row>
    <row r="4" ht="15.75" customHeight="1">
      <c r="A4" s="11"/>
      <c r="G4" s="416" t="s">
        <v>2097</v>
      </c>
      <c r="N4" s="64"/>
      <c r="O4" s="417">
        <f>S4+U4+W4</f>
        <v>1</v>
      </c>
      <c r="R4" s="74" t="s">
        <v>62</v>
      </c>
      <c r="S4" s="418">
        <f>'Character Sheet'!$AZ$13</f>
        <v>1</v>
      </c>
      <c r="T4" s="74" t="s">
        <v>106</v>
      </c>
      <c r="U4" s="356">
        <v>0.0</v>
      </c>
      <c r="V4" s="74" t="s">
        <v>106</v>
      </c>
      <c r="W4" s="99">
        <f>vlookup(W3,Data!$B$14:$C$19,2,0)</f>
        <v>0</v>
      </c>
      <c r="X4" s="419"/>
      <c r="Y4" s="419"/>
      <c r="Z4" s="420">
        <f>'Character Sheet'!$M$21</f>
        <v>13</v>
      </c>
      <c r="AE4" s="35"/>
      <c r="AF4" s="35"/>
      <c r="AG4" s="35"/>
      <c r="AH4" s="35"/>
      <c r="AI4" s="35"/>
      <c r="AJ4" s="34"/>
      <c r="AK4" s="34"/>
      <c r="AL4" s="421"/>
      <c r="AM4" s="422"/>
      <c r="AN4" s="423"/>
      <c r="AO4" s="424"/>
      <c r="AP4" s="425"/>
      <c r="AQ4" s="43"/>
      <c r="AR4" s="43"/>
      <c r="AS4" s="43"/>
      <c r="AT4" s="43"/>
      <c r="AU4" s="43"/>
      <c r="AV4" s="43"/>
      <c r="AW4" s="43"/>
      <c r="AX4" s="43"/>
      <c r="AY4" s="43"/>
      <c r="AZ4" s="43"/>
      <c r="BA4" s="43"/>
      <c r="BB4" s="43"/>
      <c r="BC4" s="43"/>
      <c r="BD4" s="43"/>
      <c r="BE4" s="43"/>
      <c r="BG4" s="411"/>
      <c r="BH4" s="43"/>
      <c r="BI4" s="43"/>
      <c r="BJ4" s="43"/>
      <c r="BK4" s="43"/>
      <c r="BL4" s="43"/>
      <c r="BM4" s="43"/>
      <c r="BN4" s="172"/>
      <c r="BO4" s="159"/>
      <c r="BP4" s="32"/>
      <c r="BQ4" s="172"/>
      <c r="BR4" s="181"/>
      <c r="BS4" s="32"/>
      <c r="BT4" s="34"/>
    </row>
    <row r="5" ht="9.75" customHeight="1">
      <c r="A5" s="33"/>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133"/>
      <c r="AM5" s="414"/>
      <c r="AN5" s="133"/>
      <c r="AO5" s="414"/>
      <c r="AP5" s="414"/>
      <c r="BG5" s="35"/>
      <c r="BN5" s="48"/>
      <c r="BO5" s="55"/>
      <c r="BP5" s="415"/>
      <c r="BQ5" s="49"/>
      <c r="BR5" s="48"/>
      <c r="BT5" s="35"/>
    </row>
    <row r="6" ht="15.75" customHeight="1">
      <c r="A6" s="11"/>
      <c r="B6" s="426"/>
      <c r="U6" s="34"/>
      <c r="V6" s="281"/>
      <c r="AC6" s="34"/>
      <c r="AD6" s="34"/>
      <c r="AE6" s="34"/>
      <c r="AF6" s="34"/>
      <c r="AG6" s="34"/>
      <c r="AH6" s="34"/>
      <c r="AI6" s="34"/>
      <c r="AJ6" s="34"/>
      <c r="AK6" s="34"/>
      <c r="AL6" s="421"/>
      <c r="AM6" s="422"/>
      <c r="AN6" s="423"/>
      <c r="AO6" s="424"/>
      <c r="AP6" s="43"/>
      <c r="AQ6" s="43"/>
      <c r="AR6" s="43"/>
      <c r="AS6" s="43"/>
      <c r="AT6" s="43"/>
      <c r="AU6" s="43"/>
      <c r="AV6" s="43"/>
      <c r="AW6" s="43"/>
      <c r="AX6" s="43"/>
      <c r="AY6" s="43"/>
      <c r="AZ6" s="43"/>
      <c r="BA6" s="43"/>
      <c r="BB6" s="43"/>
      <c r="BC6" s="43"/>
      <c r="BD6" s="43"/>
      <c r="BE6" s="43"/>
      <c r="BG6" s="43"/>
      <c r="BH6" s="43"/>
      <c r="BI6" s="43"/>
      <c r="BJ6" s="43"/>
      <c r="BK6" s="43"/>
      <c r="BL6" s="43"/>
      <c r="BM6" s="43"/>
      <c r="BN6" s="172"/>
      <c r="BO6" s="159"/>
      <c r="BP6" s="32"/>
      <c r="BQ6" s="172"/>
      <c r="BR6" s="181"/>
      <c r="BS6" s="32"/>
      <c r="BT6" s="34"/>
    </row>
    <row r="7" ht="9.75" customHeight="1">
      <c r="A7" s="33"/>
      <c r="B7" s="133" t="s">
        <v>88</v>
      </c>
      <c r="C7" s="414"/>
      <c r="D7" s="133" t="s">
        <v>190</v>
      </c>
      <c r="E7" s="414"/>
      <c r="F7" s="414" t="s">
        <v>35</v>
      </c>
      <c r="W7" s="35" t="s">
        <v>2092</v>
      </c>
      <c r="AD7" s="48"/>
      <c r="AE7" s="55" t="s">
        <v>1347</v>
      </c>
      <c r="AF7" s="415"/>
      <c r="AG7" s="49"/>
      <c r="AH7" s="48" t="s">
        <v>196</v>
      </c>
      <c r="AJ7" s="35"/>
      <c r="AK7" s="35"/>
      <c r="AL7" s="133"/>
      <c r="AM7" s="414"/>
      <c r="AN7" s="133"/>
      <c r="AO7" s="414"/>
      <c r="AP7" s="414"/>
      <c r="BG7" s="35"/>
      <c r="BN7" s="48"/>
      <c r="BO7" s="55"/>
      <c r="BP7" s="415"/>
      <c r="BQ7" s="49"/>
      <c r="BR7" s="48"/>
      <c r="BT7" s="35"/>
    </row>
    <row r="8" ht="15.75" customHeight="1">
      <c r="A8" s="11"/>
      <c r="B8" s="421"/>
      <c r="C8" s="422"/>
      <c r="D8" s="423"/>
      <c r="E8" s="424"/>
      <c r="F8" s="425"/>
      <c r="G8" s="43"/>
      <c r="H8" s="43"/>
      <c r="I8" s="43"/>
      <c r="J8" s="43"/>
      <c r="K8" s="43"/>
      <c r="L8" s="43"/>
      <c r="M8" s="43"/>
      <c r="N8" s="43"/>
      <c r="O8" s="43"/>
      <c r="P8" s="43"/>
      <c r="Q8" s="43"/>
      <c r="R8" s="43"/>
      <c r="S8" s="43"/>
      <c r="T8" s="43"/>
      <c r="U8" s="43"/>
      <c r="W8" s="411"/>
      <c r="X8" s="43"/>
      <c r="Y8" s="43"/>
      <c r="Z8" s="43"/>
      <c r="AA8" s="43"/>
      <c r="AB8" s="43"/>
      <c r="AC8" s="43"/>
      <c r="AD8" s="172"/>
      <c r="AE8" s="159"/>
      <c r="AF8" s="32"/>
      <c r="AG8" s="172"/>
      <c r="AH8" s="181"/>
      <c r="AI8" s="32"/>
      <c r="AJ8" s="34"/>
      <c r="AK8" s="34"/>
      <c r="AL8" s="421"/>
      <c r="AM8" s="422"/>
      <c r="AN8" s="423"/>
      <c r="AO8" s="424"/>
      <c r="AP8" s="43"/>
      <c r="AQ8" s="43"/>
      <c r="AR8" s="43"/>
      <c r="AS8" s="43"/>
      <c r="AT8" s="43"/>
      <c r="AU8" s="43"/>
      <c r="AV8" s="43"/>
      <c r="AW8" s="43"/>
      <c r="AX8" s="43"/>
      <c r="AY8" s="43"/>
      <c r="AZ8" s="43"/>
      <c r="BA8" s="43"/>
      <c r="BB8" s="43"/>
      <c r="BC8" s="43"/>
      <c r="BD8" s="43"/>
      <c r="BE8" s="43"/>
      <c r="BG8" s="43"/>
      <c r="BH8" s="43"/>
      <c r="BI8" s="43"/>
      <c r="BJ8" s="43"/>
      <c r="BK8" s="43"/>
      <c r="BL8" s="43"/>
      <c r="BM8" s="43"/>
      <c r="BN8" s="172"/>
      <c r="BO8" s="159"/>
      <c r="BP8" s="32"/>
      <c r="BQ8" s="172"/>
      <c r="BR8" s="181"/>
      <c r="BS8" s="32"/>
      <c r="BT8" s="34"/>
    </row>
    <row r="9" ht="9.75" customHeight="1">
      <c r="A9" s="33"/>
      <c r="B9" s="133"/>
      <c r="C9" s="414"/>
      <c r="D9" s="133"/>
      <c r="E9" s="414"/>
      <c r="F9" s="414"/>
      <c r="W9" s="35"/>
      <c r="AD9" s="48"/>
      <c r="AE9" s="55"/>
      <c r="AF9" s="415"/>
      <c r="AG9" s="49"/>
      <c r="AH9" s="48"/>
      <c r="AJ9" s="35"/>
      <c r="AK9" s="35"/>
      <c r="AL9" s="133"/>
      <c r="AM9" s="414"/>
      <c r="AN9" s="133"/>
      <c r="AO9" s="414"/>
      <c r="AP9" s="414"/>
      <c r="BG9" s="35"/>
      <c r="BN9" s="48"/>
      <c r="BO9" s="55"/>
      <c r="BP9" s="415"/>
      <c r="BQ9" s="49"/>
      <c r="BR9" s="48"/>
      <c r="BT9" s="35"/>
    </row>
    <row r="10" ht="15.75" customHeight="1">
      <c r="A10" s="11"/>
      <c r="B10" s="421"/>
      <c r="C10" s="422"/>
      <c r="D10" s="423"/>
      <c r="E10" s="424"/>
      <c r="F10" s="43"/>
      <c r="G10" s="43"/>
      <c r="H10" s="43"/>
      <c r="I10" s="43"/>
      <c r="J10" s="43"/>
      <c r="K10" s="43"/>
      <c r="L10" s="43"/>
      <c r="M10" s="43"/>
      <c r="N10" s="43"/>
      <c r="O10" s="43"/>
      <c r="P10" s="43"/>
      <c r="Q10" s="43"/>
      <c r="R10" s="43"/>
      <c r="S10" s="43"/>
      <c r="T10" s="43"/>
      <c r="U10" s="43"/>
      <c r="W10" s="43"/>
      <c r="X10" s="43"/>
      <c r="Y10" s="43"/>
      <c r="Z10" s="43"/>
      <c r="AA10" s="43"/>
      <c r="AB10" s="43"/>
      <c r="AC10" s="43"/>
      <c r="AD10" s="172"/>
      <c r="AE10" s="159"/>
      <c r="AF10" s="32"/>
      <c r="AG10" s="172"/>
      <c r="AH10" s="181"/>
      <c r="AI10" s="32"/>
      <c r="AJ10" s="34"/>
      <c r="AK10" s="34"/>
      <c r="AL10" s="421"/>
      <c r="AM10" s="422"/>
      <c r="AN10" s="423"/>
      <c r="AO10" s="424"/>
      <c r="AP10" s="43"/>
      <c r="AQ10" s="43"/>
      <c r="AR10" s="43"/>
      <c r="AS10" s="43"/>
      <c r="AT10" s="43"/>
      <c r="AU10" s="43"/>
      <c r="AV10" s="43"/>
      <c r="AW10" s="43"/>
      <c r="AX10" s="43"/>
      <c r="AY10" s="43"/>
      <c r="AZ10" s="43"/>
      <c r="BA10" s="43"/>
      <c r="BB10" s="43"/>
      <c r="BC10" s="43"/>
      <c r="BD10" s="43"/>
      <c r="BE10" s="43"/>
      <c r="BG10" s="43"/>
      <c r="BH10" s="43"/>
      <c r="BI10" s="43"/>
      <c r="BJ10" s="43"/>
      <c r="BK10" s="43"/>
      <c r="BL10" s="43"/>
      <c r="BM10" s="43"/>
      <c r="BN10" s="172"/>
      <c r="BO10" s="159"/>
      <c r="BP10" s="32"/>
      <c r="BQ10" s="172"/>
      <c r="BR10" s="181"/>
      <c r="BS10" s="32"/>
      <c r="BT10" s="34"/>
    </row>
    <row r="11" ht="9.75" customHeight="1">
      <c r="A11" s="33"/>
      <c r="B11" s="133"/>
      <c r="C11" s="414"/>
      <c r="D11" s="133"/>
      <c r="E11" s="414"/>
      <c r="F11" s="414"/>
      <c r="W11" s="35"/>
      <c r="AD11" s="48"/>
      <c r="AE11" s="55"/>
      <c r="AF11" s="415"/>
      <c r="AG11" s="49"/>
      <c r="AH11" s="48"/>
      <c r="AJ11" s="35"/>
      <c r="AK11" s="35"/>
      <c r="AL11" s="133"/>
      <c r="AM11" s="414"/>
      <c r="AN11" s="133"/>
      <c r="AO11" s="414"/>
      <c r="AP11" s="414"/>
      <c r="BG11" s="35"/>
      <c r="BN11" s="48"/>
      <c r="BO11" s="55"/>
      <c r="BP11" s="415"/>
      <c r="BQ11" s="49"/>
      <c r="BR11" s="48"/>
      <c r="BT11" s="35"/>
    </row>
    <row r="12" ht="15.75" customHeight="1">
      <c r="A12" s="11"/>
      <c r="B12" s="421"/>
      <c r="C12" s="422"/>
      <c r="D12" s="423"/>
      <c r="E12" s="424"/>
      <c r="F12" s="43"/>
      <c r="G12" s="43"/>
      <c r="H12" s="43"/>
      <c r="I12" s="43"/>
      <c r="J12" s="43"/>
      <c r="K12" s="43"/>
      <c r="L12" s="43"/>
      <c r="M12" s="43"/>
      <c r="N12" s="43"/>
      <c r="O12" s="43"/>
      <c r="P12" s="43"/>
      <c r="Q12" s="43"/>
      <c r="R12" s="43"/>
      <c r="S12" s="43"/>
      <c r="T12" s="43"/>
      <c r="U12" s="43"/>
      <c r="W12" s="43"/>
      <c r="X12" s="43"/>
      <c r="Y12" s="43"/>
      <c r="Z12" s="43"/>
      <c r="AA12" s="43"/>
      <c r="AB12" s="43"/>
      <c r="AC12" s="43"/>
      <c r="AD12" s="172"/>
      <c r="AE12" s="159"/>
      <c r="AF12" s="32"/>
      <c r="AG12" s="172"/>
      <c r="AH12" s="181"/>
      <c r="AI12" s="32"/>
      <c r="AJ12" s="34"/>
      <c r="AK12" s="34"/>
      <c r="AL12" s="421"/>
      <c r="AM12" s="422"/>
      <c r="AN12" s="423"/>
      <c r="AO12" s="424"/>
      <c r="AP12" s="43"/>
      <c r="AQ12" s="43"/>
      <c r="AR12" s="43"/>
      <c r="AS12" s="43"/>
      <c r="AT12" s="43"/>
      <c r="AU12" s="43"/>
      <c r="AV12" s="43"/>
      <c r="AW12" s="43"/>
      <c r="AX12" s="43"/>
      <c r="AY12" s="43"/>
      <c r="AZ12" s="43"/>
      <c r="BA12" s="43"/>
      <c r="BB12" s="43"/>
      <c r="BC12" s="43"/>
      <c r="BD12" s="43"/>
      <c r="BE12" s="43"/>
      <c r="BG12" s="43"/>
      <c r="BH12" s="43"/>
      <c r="BI12" s="43"/>
      <c r="BJ12" s="43"/>
      <c r="BK12" s="43"/>
      <c r="BL12" s="43"/>
      <c r="BM12" s="43"/>
      <c r="BN12" s="172"/>
      <c r="BO12" s="159"/>
      <c r="BP12" s="32"/>
      <c r="BQ12" s="172"/>
      <c r="BR12" s="181"/>
      <c r="BS12" s="32"/>
      <c r="BT12" s="34"/>
    </row>
    <row r="13" ht="9.75" customHeight="1">
      <c r="A13" s="33"/>
      <c r="B13" s="133"/>
      <c r="C13" s="414"/>
      <c r="D13" s="133"/>
      <c r="E13" s="414"/>
      <c r="F13" s="414"/>
      <c r="W13" s="35"/>
      <c r="AD13" s="48"/>
      <c r="AE13" s="55"/>
      <c r="AF13" s="415"/>
      <c r="AG13" s="49"/>
      <c r="AH13" s="48"/>
      <c r="AJ13" s="35"/>
      <c r="AK13" s="35"/>
      <c r="AL13" s="133"/>
      <c r="AM13" s="414"/>
      <c r="AN13" s="133"/>
      <c r="AO13" s="414"/>
      <c r="AP13" s="414"/>
      <c r="BG13" s="35"/>
      <c r="BN13" s="48"/>
      <c r="BO13" s="55"/>
      <c r="BP13" s="415"/>
      <c r="BQ13" s="49"/>
      <c r="BR13" s="48"/>
      <c r="BT13" s="35"/>
    </row>
    <row r="14" ht="15.75" customHeight="1">
      <c r="A14" s="11"/>
      <c r="B14" s="421"/>
      <c r="C14" s="422"/>
      <c r="D14" s="423"/>
      <c r="E14" s="424"/>
      <c r="F14" s="43"/>
      <c r="G14" s="43"/>
      <c r="H14" s="43"/>
      <c r="I14" s="43"/>
      <c r="J14" s="43"/>
      <c r="K14" s="43"/>
      <c r="L14" s="43"/>
      <c r="M14" s="43"/>
      <c r="N14" s="43"/>
      <c r="O14" s="43"/>
      <c r="P14" s="43"/>
      <c r="Q14" s="43"/>
      <c r="R14" s="43"/>
      <c r="S14" s="43"/>
      <c r="T14" s="43"/>
      <c r="U14" s="43"/>
      <c r="W14" s="43"/>
      <c r="X14" s="43"/>
      <c r="Y14" s="43"/>
      <c r="Z14" s="43"/>
      <c r="AA14" s="43"/>
      <c r="AB14" s="43"/>
      <c r="AC14" s="43"/>
      <c r="AD14" s="172"/>
      <c r="AE14" s="159"/>
      <c r="AF14" s="32"/>
      <c r="AG14" s="172"/>
      <c r="AH14" s="181"/>
      <c r="AI14" s="32"/>
      <c r="AJ14" s="34"/>
      <c r="AK14" s="34"/>
      <c r="AL14" s="421"/>
      <c r="AM14" s="422"/>
      <c r="AN14" s="423"/>
      <c r="AO14" s="424"/>
      <c r="AP14" s="43"/>
      <c r="AQ14" s="43"/>
      <c r="AR14" s="43"/>
      <c r="AS14" s="43"/>
      <c r="AT14" s="43"/>
      <c r="AU14" s="43"/>
      <c r="AV14" s="43"/>
      <c r="AW14" s="43"/>
      <c r="AX14" s="43"/>
      <c r="AY14" s="43"/>
      <c r="AZ14" s="43"/>
      <c r="BA14" s="43"/>
      <c r="BB14" s="43"/>
      <c r="BC14" s="43"/>
      <c r="BD14" s="43"/>
      <c r="BE14" s="43"/>
      <c r="BG14" s="43"/>
      <c r="BH14" s="43"/>
      <c r="BI14" s="43"/>
      <c r="BJ14" s="43"/>
      <c r="BK14" s="43"/>
      <c r="BL14" s="43"/>
      <c r="BM14" s="43"/>
      <c r="BN14" s="172"/>
      <c r="BO14" s="159"/>
      <c r="BP14" s="32"/>
      <c r="BQ14" s="172"/>
      <c r="BR14" s="181"/>
      <c r="BS14" s="32"/>
      <c r="BT14" s="34"/>
    </row>
    <row r="15" ht="9.75" customHeight="1">
      <c r="A15" s="33"/>
      <c r="B15" s="133"/>
      <c r="C15" s="414"/>
      <c r="D15" s="133"/>
      <c r="E15" s="414"/>
      <c r="F15" s="414"/>
      <c r="W15" s="35"/>
      <c r="AD15" s="48"/>
      <c r="AE15" s="55"/>
      <c r="AF15" s="415"/>
      <c r="AG15" s="49"/>
      <c r="AH15" s="48"/>
      <c r="AJ15" s="35"/>
      <c r="AK15" s="35"/>
      <c r="AL15" s="133"/>
      <c r="AM15" s="414"/>
      <c r="AN15" s="133"/>
      <c r="AO15" s="414"/>
      <c r="AP15" s="414"/>
      <c r="BG15" s="35"/>
      <c r="BN15" s="48"/>
      <c r="BO15" s="55"/>
      <c r="BP15" s="415"/>
      <c r="BQ15" s="49"/>
      <c r="BR15" s="48"/>
      <c r="BT15" s="35"/>
    </row>
    <row r="16" ht="15.75" customHeight="1">
      <c r="A16" s="11"/>
      <c r="B16" s="421"/>
      <c r="C16" s="422"/>
      <c r="D16" s="423"/>
      <c r="E16" s="424"/>
      <c r="F16" s="43"/>
      <c r="G16" s="43"/>
      <c r="H16" s="43"/>
      <c r="I16" s="43"/>
      <c r="J16" s="43"/>
      <c r="K16" s="43"/>
      <c r="L16" s="43"/>
      <c r="M16" s="43"/>
      <c r="N16" s="43"/>
      <c r="O16" s="43"/>
      <c r="P16" s="43"/>
      <c r="Q16" s="43"/>
      <c r="R16" s="43"/>
      <c r="S16" s="43"/>
      <c r="T16" s="43"/>
      <c r="U16" s="43"/>
      <c r="W16" s="43"/>
      <c r="X16" s="43"/>
      <c r="Y16" s="43"/>
      <c r="Z16" s="43"/>
      <c r="AA16" s="43"/>
      <c r="AB16" s="43"/>
      <c r="AC16" s="43"/>
      <c r="AD16" s="172"/>
      <c r="AE16" s="159"/>
      <c r="AF16" s="32"/>
      <c r="AG16" s="172"/>
      <c r="AH16" s="181"/>
      <c r="AI16" s="32"/>
      <c r="AJ16" s="34"/>
      <c r="AK16" s="34"/>
      <c r="AL16" s="421"/>
      <c r="AM16" s="422"/>
      <c r="AN16" s="423"/>
      <c r="AO16" s="424"/>
      <c r="AP16" s="43"/>
      <c r="AQ16" s="43"/>
      <c r="AR16" s="43"/>
      <c r="AS16" s="43"/>
      <c r="AT16" s="43"/>
      <c r="AU16" s="43"/>
      <c r="AV16" s="43"/>
      <c r="AW16" s="43"/>
      <c r="AX16" s="43"/>
      <c r="AY16" s="43"/>
      <c r="AZ16" s="43"/>
      <c r="BA16" s="43"/>
      <c r="BB16" s="43"/>
      <c r="BC16" s="43"/>
      <c r="BD16" s="43"/>
      <c r="BE16" s="43"/>
      <c r="BG16" s="43"/>
      <c r="BH16" s="43"/>
      <c r="BI16" s="43"/>
      <c r="BJ16" s="43"/>
      <c r="BK16" s="43"/>
      <c r="BL16" s="43"/>
      <c r="BM16" s="43"/>
      <c r="BN16" s="172"/>
      <c r="BO16" s="159"/>
      <c r="BP16" s="32"/>
      <c r="BQ16" s="172"/>
      <c r="BR16" s="181"/>
      <c r="BS16" s="32"/>
      <c r="BT16" s="34"/>
    </row>
    <row r="17" ht="9.75" customHeight="1">
      <c r="A17" s="33"/>
      <c r="B17" s="133"/>
      <c r="C17" s="414"/>
      <c r="D17" s="133"/>
      <c r="E17" s="414"/>
      <c r="F17" s="414"/>
      <c r="W17" s="35"/>
      <c r="AD17" s="48"/>
      <c r="AE17" s="55"/>
      <c r="AF17" s="415"/>
      <c r="AG17" s="49"/>
      <c r="AH17" s="48"/>
      <c r="AJ17" s="35"/>
      <c r="AK17" s="35"/>
      <c r="AL17" s="133"/>
      <c r="AM17" s="414"/>
      <c r="AN17" s="133"/>
      <c r="AO17" s="414"/>
      <c r="AP17" s="414"/>
      <c r="BG17" s="35"/>
      <c r="BN17" s="48"/>
      <c r="BO17" s="55"/>
      <c r="BP17" s="415"/>
      <c r="BQ17" s="49"/>
      <c r="BR17" s="48"/>
      <c r="BT17" s="35"/>
    </row>
    <row r="18" ht="15.75" customHeight="1">
      <c r="A18" s="11"/>
      <c r="B18" s="421"/>
      <c r="C18" s="422"/>
      <c r="D18" s="423"/>
      <c r="E18" s="424"/>
      <c r="F18" s="43"/>
      <c r="G18" s="43"/>
      <c r="H18" s="43"/>
      <c r="I18" s="43"/>
      <c r="J18" s="43"/>
      <c r="K18" s="43"/>
      <c r="L18" s="43"/>
      <c r="M18" s="43"/>
      <c r="N18" s="43"/>
      <c r="O18" s="43"/>
      <c r="P18" s="43"/>
      <c r="Q18" s="43"/>
      <c r="R18" s="43"/>
      <c r="S18" s="43"/>
      <c r="T18" s="43"/>
      <c r="U18" s="43"/>
      <c r="W18" s="43"/>
      <c r="X18" s="43"/>
      <c r="Y18" s="43"/>
      <c r="Z18" s="43"/>
      <c r="AA18" s="43"/>
      <c r="AB18" s="43"/>
      <c r="AC18" s="43"/>
      <c r="AD18" s="172"/>
      <c r="AE18" s="159"/>
      <c r="AF18" s="32"/>
      <c r="AG18" s="172"/>
      <c r="AH18" s="181"/>
      <c r="AI18" s="32"/>
      <c r="AJ18" s="34"/>
      <c r="AK18" s="34"/>
      <c r="AL18" s="421"/>
      <c r="AM18" s="422"/>
      <c r="AN18" s="423"/>
      <c r="AO18" s="424"/>
      <c r="AP18" s="43"/>
      <c r="AQ18" s="43"/>
      <c r="AR18" s="43"/>
      <c r="AS18" s="43"/>
      <c r="AT18" s="43"/>
      <c r="AU18" s="43"/>
      <c r="AV18" s="43"/>
      <c r="AW18" s="43"/>
      <c r="AX18" s="43"/>
      <c r="AY18" s="43"/>
      <c r="AZ18" s="43"/>
      <c r="BA18" s="43"/>
      <c r="BB18" s="43"/>
      <c r="BC18" s="43"/>
      <c r="BD18" s="43"/>
      <c r="BE18" s="43"/>
      <c r="BG18" s="43"/>
      <c r="BH18" s="43"/>
      <c r="BI18" s="43"/>
      <c r="BJ18" s="43"/>
      <c r="BK18" s="43"/>
      <c r="BL18" s="43"/>
      <c r="BM18" s="43"/>
      <c r="BN18" s="172"/>
      <c r="BO18" s="159"/>
      <c r="BP18" s="32"/>
      <c r="BQ18" s="172"/>
      <c r="BR18" s="181"/>
      <c r="BS18" s="32"/>
      <c r="BT18" s="34"/>
    </row>
    <row r="19" ht="9.75" customHeight="1">
      <c r="A19" s="33"/>
      <c r="B19" s="133"/>
      <c r="C19" s="414"/>
      <c r="D19" s="133"/>
      <c r="E19" s="414"/>
      <c r="F19" s="414"/>
      <c r="W19" s="35"/>
      <c r="AD19" s="48"/>
      <c r="AE19" s="55"/>
      <c r="AF19" s="415"/>
      <c r="AG19" s="49"/>
      <c r="AH19" s="48"/>
      <c r="AJ19" s="35"/>
      <c r="AK19" s="35"/>
      <c r="AL19" s="133"/>
      <c r="AM19" s="414"/>
      <c r="AN19" s="133"/>
      <c r="AO19" s="414"/>
      <c r="AP19" s="414"/>
      <c r="BG19" s="35"/>
      <c r="BN19" s="48"/>
      <c r="BO19" s="55"/>
      <c r="BP19" s="415"/>
      <c r="BQ19" s="49"/>
      <c r="BR19" s="48"/>
      <c r="BT19" s="35"/>
    </row>
    <row r="20" ht="15.75" customHeight="1">
      <c r="A20" s="11"/>
      <c r="B20" s="421"/>
      <c r="C20" s="422"/>
      <c r="D20" s="423"/>
      <c r="E20" s="424"/>
      <c r="F20" s="43"/>
      <c r="G20" s="43"/>
      <c r="H20" s="43"/>
      <c r="I20" s="43"/>
      <c r="J20" s="43"/>
      <c r="K20" s="43"/>
      <c r="L20" s="43"/>
      <c r="M20" s="43"/>
      <c r="N20" s="43"/>
      <c r="O20" s="43"/>
      <c r="P20" s="43"/>
      <c r="Q20" s="43"/>
      <c r="R20" s="43"/>
      <c r="S20" s="43"/>
      <c r="T20" s="43"/>
      <c r="U20" s="43"/>
      <c r="W20" s="43"/>
      <c r="X20" s="43"/>
      <c r="Y20" s="43"/>
      <c r="Z20" s="43"/>
      <c r="AA20" s="43"/>
      <c r="AB20" s="43"/>
      <c r="AC20" s="43"/>
      <c r="AD20" s="172"/>
      <c r="AE20" s="159"/>
      <c r="AF20" s="32"/>
      <c r="AG20" s="172"/>
      <c r="AH20" s="181"/>
      <c r="AI20" s="32"/>
      <c r="AJ20" s="34"/>
      <c r="AK20" s="34"/>
      <c r="AL20" s="421"/>
      <c r="AM20" s="422"/>
      <c r="AN20" s="423"/>
      <c r="AO20" s="424"/>
      <c r="AP20" s="43"/>
      <c r="AQ20" s="43"/>
      <c r="AR20" s="43"/>
      <c r="AS20" s="43"/>
      <c r="AT20" s="43"/>
      <c r="AU20" s="43"/>
      <c r="AV20" s="43"/>
      <c r="AW20" s="43"/>
      <c r="AX20" s="43"/>
      <c r="AY20" s="43"/>
      <c r="AZ20" s="43"/>
      <c r="BA20" s="43"/>
      <c r="BB20" s="43"/>
      <c r="BC20" s="43"/>
      <c r="BD20" s="43"/>
      <c r="BE20" s="43"/>
      <c r="BG20" s="43"/>
      <c r="BH20" s="43"/>
      <c r="BI20" s="43"/>
      <c r="BJ20" s="43"/>
      <c r="BK20" s="43"/>
      <c r="BL20" s="43"/>
      <c r="BM20" s="43"/>
      <c r="BN20" s="172"/>
      <c r="BO20" s="159"/>
      <c r="BP20" s="32"/>
      <c r="BQ20" s="172"/>
      <c r="BR20" s="181"/>
      <c r="BS20" s="32"/>
      <c r="BT20" s="34"/>
    </row>
    <row r="21" ht="9.75" customHeight="1">
      <c r="A21" s="33"/>
      <c r="B21" s="133"/>
      <c r="C21" s="414"/>
      <c r="D21" s="133"/>
      <c r="E21" s="414"/>
      <c r="F21" s="414"/>
      <c r="W21" s="35"/>
      <c r="AD21" s="48"/>
      <c r="AE21" s="55"/>
      <c r="AF21" s="415"/>
      <c r="AG21" s="49"/>
      <c r="AH21" s="48"/>
      <c r="AJ21" s="35"/>
      <c r="AK21" s="35"/>
      <c r="AL21" s="133"/>
      <c r="AM21" s="414"/>
      <c r="AN21" s="133"/>
      <c r="AO21" s="414"/>
      <c r="AP21" s="414"/>
      <c r="BG21" s="35"/>
      <c r="BN21" s="48"/>
      <c r="BO21" s="55"/>
      <c r="BP21" s="415"/>
      <c r="BQ21" s="49"/>
      <c r="BR21" s="48"/>
      <c r="BT21" s="35"/>
    </row>
    <row r="22" ht="15.75" customHeight="1">
      <c r="A22" s="11"/>
      <c r="B22" s="421"/>
      <c r="C22" s="422"/>
      <c r="D22" s="423"/>
      <c r="E22" s="424"/>
      <c r="F22" s="43"/>
      <c r="G22" s="43"/>
      <c r="H22" s="43"/>
      <c r="I22" s="43"/>
      <c r="J22" s="43"/>
      <c r="K22" s="43"/>
      <c r="L22" s="43"/>
      <c r="M22" s="43"/>
      <c r="N22" s="43"/>
      <c r="O22" s="43"/>
      <c r="P22" s="43"/>
      <c r="Q22" s="43"/>
      <c r="R22" s="43"/>
      <c r="S22" s="43"/>
      <c r="T22" s="43"/>
      <c r="U22" s="43"/>
      <c r="W22" s="43"/>
      <c r="X22" s="43"/>
      <c r="Y22" s="43"/>
      <c r="Z22" s="43"/>
      <c r="AA22" s="43"/>
      <c r="AB22" s="43"/>
      <c r="AC22" s="43"/>
      <c r="AD22" s="172"/>
      <c r="AE22" s="159"/>
      <c r="AF22" s="32"/>
      <c r="AG22" s="172"/>
      <c r="AH22" s="181"/>
      <c r="AI22" s="32"/>
      <c r="AJ22" s="34"/>
      <c r="AK22" s="34"/>
      <c r="AL22" s="421"/>
      <c r="AM22" s="422"/>
      <c r="AN22" s="423"/>
      <c r="AO22" s="424"/>
      <c r="AP22" s="43"/>
      <c r="AQ22" s="43"/>
      <c r="AR22" s="43"/>
      <c r="AS22" s="43"/>
      <c r="AT22" s="43"/>
      <c r="AU22" s="43"/>
      <c r="AV22" s="43"/>
      <c r="AW22" s="43"/>
      <c r="AX22" s="43"/>
      <c r="AY22" s="43"/>
      <c r="AZ22" s="43"/>
      <c r="BA22" s="43"/>
      <c r="BB22" s="43"/>
      <c r="BC22" s="43"/>
      <c r="BD22" s="43"/>
      <c r="BE22" s="43"/>
      <c r="BG22" s="43"/>
      <c r="BH22" s="43"/>
      <c r="BI22" s="43"/>
      <c r="BJ22" s="43"/>
      <c r="BK22" s="43"/>
      <c r="BL22" s="43"/>
      <c r="BM22" s="43"/>
      <c r="BN22" s="172"/>
      <c r="BO22" s="159"/>
      <c r="BP22" s="32"/>
      <c r="BQ22" s="172"/>
      <c r="BR22" s="181"/>
      <c r="BS22" s="32"/>
      <c r="BT22" s="34"/>
    </row>
    <row r="23" ht="9.75" customHeight="1">
      <c r="A23" s="33"/>
      <c r="B23" s="133"/>
      <c r="C23" s="414"/>
      <c r="D23" s="133"/>
      <c r="E23" s="414"/>
      <c r="F23" s="414"/>
      <c r="W23" s="35"/>
      <c r="AD23" s="48"/>
      <c r="AE23" s="55"/>
      <c r="AF23" s="415"/>
      <c r="AG23" s="49"/>
      <c r="AH23" s="48"/>
      <c r="AJ23" s="35"/>
      <c r="AK23" s="35"/>
      <c r="AL23" s="133"/>
      <c r="AM23" s="414"/>
      <c r="AN23" s="133"/>
      <c r="AO23" s="414"/>
      <c r="AP23" s="414"/>
      <c r="BG23" s="35"/>
      <c r="BN23" s="48"/>
      <c r="BO23" s="55"/>
      <c r="BP23" s="415"/>
      <c r="BQ23" s="49"/>
      <c r="BR23" s="48"/>
      <c r="BT23" s="35"/>
    </row>
    <row r="24" ht="15.75" customHeight="1">
      <c r="A24" s="11"/>
      <c r="B24" s="421"/>
      <c r="C24" s="422"/>
      <c r="D24" s="423"/>
      <c r="E24" s="424"/>
      <c r="F24" s="43"/>
      <c r="G24" s="43"/>
      <c r="H24" s="43"/>
      <c r="I24" s="43"/>
      <c r="J24" s="43"/>
      <c r="K24" s="43"/>
      <c r="L24" s="43"/>
      <c r="M24" s="43"/>
      <c r="N24" s="43"/>
      <c r="O24" s="43"/>
      <c r="P24" s="43"/>
      <c r="Q24" s="43"/>
      <c r="R24" s="43"/>
      <c r="S24" s="43"/>
      <c r="T24" s="43"/>
      <c r="U24" s="43"/>
      <c r="W24" s="43"/>
      <c r="X24" s="43"/>
      <c r="Y24" s="43"/>
      <c r="Z24" s="43"/>
      <c r="AA24" s="43"/>
      <c r="AB24" s="43"/>
      <c r="AC24" s="43"/>
      <c r="AD24" s="172"/>
      <c r="AE24" s="159"/>
      <c r="AF24" s="32"/>
      <c r="AG24" s="172"/>
      <c r="AH24" s="181"/>
      <c r="AI24" s="32"/>
      <c r="AJ24" s="34"/>
      <c r="AK24" s="34"/>
      <c r="AL24" s="421"/>
      <c r="AM24" s="422"/>
      <c r="AN24" s="423"/>
      <c r="AO24" s="424"/>
      <c r="AP24" s="43"/>
      <c r="AQ24" s="43"/>
      <c r="AR24" s="43"/>
      <c r="AS24" s="43"/>
      <c r="AT24" s="43"/>
      <c r="AU24" s="43"/>
      <c r="AV24" s="43"/>
      <c r="AW24" s="43"/>
      <c r="AX24" s="43"/>
      <c r="AY24" s="43"/>
      <c r="AZ24" s="43"/>
      <c r="BA24" s="43"/>
      <c r="BB24" s="43"/>
      <c r="BC24" s="43"/>
      <c r="BD24" s="43"/>
      <c r="BE24" s="43"/>
      <c r="BG24" s="43"/>
      <c r="BH24" s="43"/>
      <c r="BI24" s="43"/>
      <c r="BJ24" s="43"/>
      <c r="BK24" s="43"/>
      <c r="BL24" s="43"/>
      <c r="BM24" s="43"/>
      <c r="BN24" s="172"/>
      <c r="BO24" s="159"/>
      <c r="BP24" s="32"/>
      <c r="BQ24" s="172"/>
      <c r="BR24" s="181"/>
      <c r="BS24" s="32"/>
      <c r="BT24" s="34"/>
    </row>
    <row r="25" ht="9.75" customHeight="1">
      <c r="A25" s="33"/>
      <c r="B25" s="133"/>
      <c r="C25" s="414"/>
      <c r="D25" s="133"/>
      <c r="E25" s="414"/>
      <c r="F25" s="414"/>
      <c r="W25" s="35"/>
      <c r="AD25" s="48"/>
      <c r="AE25" s="55"/>
      <c r="AF25" s="415"/>
      <c r="AG25" s="49"/>
      <c r="AH25" s="48"/>
      <c r="AJ25" s="35"/>
      <c r="AK25" s="35"/>
      <c r="AL25" s="133"/>
      <c r="AM25" s="414"/>
      <c r="AN25" s="133"/>
      <c r="AO25" s="414"/>
      <c r="AP25" s="414"/>
      <c r="BG25" s="35"/>
      <c r="BN25" s="48"/>
      <c r="BO25" s="55"/>
      <c r="BP25" s="415"/>
      <c r="BQ25" s="49"/>
      <c r="BR25" s="48"/>
      <c r="BT25" s="35"/>
    </row>
    <row r="26" ht="15.75" customHeight="1">
      <c r="A26" s="11"/>
      <c r="B26" s="421"/>
      <c r="C26" s="422"/>
      <c r="D26" s="423"/>
      <c r="E26" s="424"/>
      <c r="F26" s="43"/>
      <c r="G26" s="43"/>
      <c r="H26" s="43"/>
      <c r="I26" s="43"/>
      <c r="J26" s="43"/>
      <c r="K26" s="43"/>
      <c r="L26" s="43"/>
      <c r="M26" s="43"/>
      <c r="N26" s="43"/>
      <c r="O26" s="43"/>
      <c r="P26" s="43"/>
      <c r="Q26" s="43"/>
      <c r="R26" s="43"/>
      <c r="S26" s="43"/>
      <c r="T26" s="43"/>
      <c r="U26" s="43"/>
      <c r="W26" s="43"/>
      <c r="X26" s="43"/>
      <c r="Y26" s="43"/>
      <c r="Z26" s="43"/>
      <c r="AA26" s="43"/>
      <c r="AB26" s="43"/>
      <c r="AC26" s="43"/>
      <c r="AD26" s="172"/>
      <c r="AE26" s="159"/>
      <c r="AF26" s="32"/>
      <c r="AG26" s="172"/>
      <c r="AH26" s="181"/>
      <c r="AI26" s="32"/>
      <c r="AJ26" s="34"/>
      <c r="AK26" s="34"/>
      <c r="AL26" s="421"/>
      <c r="AM26" s="422"/>
      <c r="AN26" s="423"/>
      <c r="AO26" s="424"/>
      <c r="AP26" s="43"/>
      <c r="AQ26" s="43"/>
      <c r="AR26" s="43"/>
      <c r="AS26" s="43"/>
      <c r="AT26" s="43"/>
      <c r="AU26" s="43"/>
      <c r="AV26" s="43"/>
      <c r="AW26" s="43"/>
      <c r="AX26" s="43"/>
      <c r="AY26" s="43"/>
      <c r="AZ26" s="43"/>
      <c r="BA26" s="43"/>
      <c r="BB26" s="43"/>
      <c r="BC26" s="43"/>
      <c r="BD26" s="43"/>
      <c r="BE26" s="43"/>
      <c r="BG26" s="43"/>
      <c r="BH26" s="43"/>
      <c r="BI26" s="43"/>
      <c r="BJ26" s="43"/>
      <c r="BK26" s="43"/>
      <c r="BL26" s="43"/>
      <c r="BM26" s="43"/>
      <c r="BN26" s="172"/>
      <c r="BO26" s="159"/>
      <c r="BP26" s="32"/>
      <c r="BQ26" s="172"/>
      <c r="BR26" s="181"/>
      <c r="BS26" s="32"/>
      <c r="BT26" s="34"/>
    </row>
    <row r="27" ht="9.75" customHeight="1">
      <c r="A27" s="33"/>
      <c r="B27" s="133"/>
      <c r="C27" s="414"/>
      <c r="D27" s="133"/>
      <c r="E27" s="414"/>
      <c r="F27" s="414"/>
      <c r="W27" s="35"/>
      <c r="AD27" s="48"/>
      <c r="AE27" s="55"/>
      <c r="AF27" s="415"/>
      <c r="AG27" s="49"/>
      <c r="AH27" s="48"/>
      <c r="AJ27" s="35"/>
      <c r="AK27" s="35"/>
      <c r="AL27" s="133"/>
      <c r="AM27" s="414"/>
      <c r="AN27" s="133"/>
      <c r="AO27" s="414"/>
      <c r="AP27" s="414"/>
      <c r="BG27" s="35"/>
      <c r="BN27" s="48"/>
      <c r="BO27" s="55"/>
      <c r="BP27" s="415"/>
      <c r="BQ27" s="49"/>
      <c r="BR27" s="48"/>
      <c r="BT27" s="35"/>
    </row>
    <row r="28" ht="15.75" customHeight="1">
      <c r="A28" s="11"/>
      <c r="B28" s="421"/>
      <c r="C28" s="422"/>
      <c r="D28" s="423"/>
      <c r="E28" s="424"/>
      <c r="F28" s="43"/>
      <c r="G28" s="43"/>
      <c r="H28" s="43"/>
      <c r="I28" s="43"/>
      <c r="J28" s="43"/>
      <c r="K28" s="43"/>
      <c r="L28" s="43"/>
      <c r="M28" s="43"/>
      <c r="N28" s="43"/>
      <c r="O28" s="43"/>
      <c r="P28" s="43"/>
      <c r="Q28" s="43"/>
      <c r="R28" s="43"/>
      <c r="S28" s="43"/>
      <c r="T28" s="43"/>
      <c r="U28" s="43"/>
      <c r="W28" s="43"/>
      <c r="X28" s="43"/>
      <c r="Y28" s="43"/>
      <c r="Z28" s="43"/>
      <c r="AA28" s="43"/>
      <c r="AB28" s="43"/>
      <c r="AC28" s="43"/>
      <c r="AD28" s="172"/>
      <c r="AE28" s="159"/>
      <c r="AF28" s="32"/>
      <c r="AG28" s="172"/>
      <c r="AH28" s="181"/>
      <c r="AI28" s="32"/>
      <c r="AJ28" s="34"/>
      <c r="AK28" s="34"/>
      <c r="AL28" s="421"/>
      <c r="AM28" s="422"/>
      <c r="AN28" s="423"/>
      <c r="AO28" s="424"/>
      <c r="AP28" s="43"/>
      <c r="AQ28" s="43"/>
      <c r="AR28" s="43"/>
      <c r="AS28" s="43"/>
      <c r="AT28" s="43"/>
      <c r="AU28" s="43"/>
      <c r="AV28" s="43"/>
      <c r="AW28" s="43"/>
      <c r="AX28" s="43"/>
      <c r="AY28" s="43"/>
      <c r="AZ28" s="43"/>
      <c r="BA28" s="43"/>
      <c r="BB28" s="43"/>
      <c r="BC28" s="43"/>
      <c r="BD28" s="43"/>
      <c r="BE28" s="43"/>
      <c r="BG28" s="43"/>
      <c r="BH28" s="43"/>
      <c r="BI28" s="43"/>
      <c r="BJ28" s="43"/>
      <c r="BK28" s="43"/>
      <c r="BL28" s="43"/>
      <c r="BM28" s="43"/>
      <c r="BN28" s="172"/>
      <c r="BO28" s="159"/>
      <c r="BP28" s="32"/>
      <c r="BQ28" s="172"/>
      <c r="BR28" s="181"/>
      <c r="BS28" s="32"/>
      <c r="BT28" s="34"/>
    </row>
    <row r="29" ht="9.75" customHeight="1">
      <c r="A29" s="33"/>
      <c r="B29" s="133"/>
      <c r="C29" s="414"/>
      <c r="D29" s="133"/>
      <c r="E29" s="414"/>
      <c r="F29" s="414"/>
      <c r="W29" s="35"/>
      <c r="AD29" s="48"/>
      <c r="AE29" s="55"/>
      <c r="AF29" s="415"/>
      <c r="AG29" s="49"/>
      <c r="AH29" s="48"/>
      <c r="AJ29" s="35"/>
      <c r="AK29" s="35"/>
      <c r="AL29" s="133"/>
      <c r="AM29" s="414"/>
      <c r="AN29" s="133"/>
      <c r="AO29" s="414"/>
      <c r="AP29" s="414"/>
      <c r="BG29" s="35"/>
      <c r="BN29" s="48"/>
      <c r="BO29" s="55"/>
      <c r="BP29" s="415"/>
      <c r="BQ29" s="49"/>
      <c r="BR29" s="48"/>
      <c r="BT29" s="35"/>
    </row>
    <row r="30" ht="15.75" customHeight="1">
      <c r="A30" s="11"/>
      <c r="B30" s="421"/>
      <c r="C30" s="422"/>
      <c r="D30" s="423"/>
      <c r="E30" s="424"/>
      <c r="F30" s="43"/>
      <c r="G30" s="43"/>
      <c r="H30" s="43"/>
      <c r="I30" s="43"/>
      <c r="J30" s="43"/>
      <c r="K30" s="43"/>
      <c r="L30" s="43"/>
      <c r="M30" s="43"/>
      <c r="N30" s="43"/>
      <c r="O30" s="43"/>
      <c r="P30" s="43"/>
      <c r="Q30" s="43"/>
      <c r="R30" s="43"/>
      <c r="S30" s="43"/>
      <c r="T30" s="43"/>
      <c r="U30" s="43"/>
      <c r="W30" s="43"/>
      <c r="X30" s="43"/>
      <c r="Y30" s="43"/>
      <c r="Z30" s="43"/>
      <c r="AA30" s="43"/>
      <c r="AB30" s="43"/>
      <c r="AC30" s="43"/>
      <c r="AD30" s="172"/>
      <c r="AE30" s="159"/>
      <c r="AF30" s="32"/>
      <c r="AG30" s="172"/>
      <c r="AH30" s="181"/>
      <c r="AI30" s="32"/>
      <c r="AJ30" s="34"/>
      <c r="AK30" s="34"/>
      <c r="AL30" s="421"/>
      <c r="AM30" s="422"/>
      <c r="AN30" s="423"/>
      <c r="AO30" s="424"/>
      <c r="AP30" s="43"/>
      <c r="AQ30" s="43"/>
      <c r="AR30" s="43"/>
      <c r="AS30" s="43"/>
      <c r="AT30" s="43"/>
      <c r="AU30" s="43"/>
      <c r="AV30" s="43"/>
      <c r="AW30" s="43"/>
      <c r="AX30" s="43"/>
      <c r="AY30" s="43"/>
      <c r="AZ30" s="43"/>
      <c r="BA30" s="43"/>
      <c r="BB30" s="43"/>
      <c r="BC30" s="43"/>
      <c r="BD30" s="43"/>
      <c r="BE30" s="43"/>
      <c r="BG30" s="43"/>
      <c r="BH30" s="43"/>
      <c r="BI30" s="43"/>
      <c r="BJ30" s="43"/>
      <c r="BK30" s="43"/>
      <c r="BL30" s="43"/>
      <c r="BM30" s="43"/>
      <c r="BN30" s="172"/>
      <c r="BO30" s="159"/>
      <c r="BP30" s="32"/>
      <c r="BQ30" s="172"/>
      <c r="BR30" s="181"/>
      <c r="BS30" s="32"/>
      <c r="BT30" s="34"/>
    </row>
    <row r="31" ht="9.75" customHeight="1">
      <c r="A31" s="33"/>
      <c r="B31" s="133"/>
      <c r="C31" s="414"/>
      <c r="D31" s="133"/>
      <c r="E31" s="414"/>
      <c r="F31" s="414"/>
      <c r="W31" s="35"/>
      <c r="AD31" s="48"/>
      <c r="AE31" s="55"/>
      <c r="AF31" s="415"/>
      <c r="AG31" s="49"/>
      <c r="AH31" s="48"/>
      <c r="AJ31" s="35"/>
      <c r="AK31" s="35"/>
      <c r="AL31" s="133"/>
      <c r="AM31" s="414"/>
      <c r="AN31" s="133"/>
      <c r="AO31" s="414"/>
      <c r="AP31" s="414"/>
      <c r="BG31" s="35"/>
      <c r="BN31" s="48"/>
      <c r="BO31" s="55"/>
      <c r="BP31" s="415"/>
      <c r="BQ31" s="49"/>
      <c r="BR31" s="48"/>
      <c r="BT31" s="35"/>
    </row>
    <row r="32" ht="15.75" customHeight="1">
      <c r="A32" s="11"/>
      <c r="B32" s="421"/>
      <c r="C32" s="422"/>
      <c r="D32" s="423"/>
      <c r="E32" s="424"/>
      <c r="F32" s="43"/>
      <c r="G32" s="43"/>
      <c r="H32" s="43"/>
      <c r="I32" s="43"/>
      <c r="J32" s="43"/>
      <c r="K32" s="43"/>
      <c r="L32" s="43"/>
      <c r="M32" s="43"/>
      <c r="N32" s="43"/>
      <c r="O32" s="43"/>
      <c r="P32" s="43"/>
      <c r="Q32" s="43"/>
      <c r="R32" s="43"/>
      <c r="S32" s="43"/>
      <c r="T32" s="43"/>
      <c r="U32" s="43"/>
      <c r="W32" s="43"/>
      <c r="X32" s="43"/>
      <c r="Y32" s="43"/>
      <c r="Z32" s="43"/>
      <c r="AA32" s="43"/>
      <c r="AB32" s="43"/>
      <c r="AC32" s="43"/>
      <c r="AD32" s="172"/>
      <c r="AE32" s="159"/>
      <c r="AF32" s="32"/>
      <c r="AG32" s="172"/>
      <c r="AH32" s="181"/>
      <c r="AI32" s="32"/>
      <c r="AJ32" s="34"/>
      <c r="AK32" s="34"/>
      <c r="AL32" s="421"/>
      <c r="AM32" s="422"/>
      <c r="AN32" s="423"/>
      <c r="AO32" s="424"/>
      <c r="AP32" s="43"/>
      <c r="AQ32" s="43"/>
      <c r="AR32" s="43"/>
      <c r="AS32" s="43"/>
      <c r="AT32" s="43"/>
      <c r="AU32" s="43"/>
      <c r="AV32" s="43"/>
      <c r="AW32" s="43"/>
      <c r="AX32" s="43"/>
      <c r="AY32" s="43"/>
      <c r="AZ32" s="43"/>
      <c r="BA32" s="43"/>
      <c r="BB32" s="43"/>
      <c r="BC32" s="43"/>
      <c r="BD32" s="43"/>
      <c r="BE32" s="43"/>
      <c r="BG32" s="43"/>
      <c r="BH32" s="43"/>
      <c r="BI32" s="43"/>
      <c r="BJ32" s="43"/>
      <c r="BK32" s="43"/>
      <c r="BL32" s="43"/>
      <c r="BM32" s="43"/>
      <c r="BN32" s="172"/>
      <c r="BO32" s="159"/>
      <c r="BP32" s="32"/>
      <c r="BQ32" s="172"/>
      <c r="BR32" s="181"/>
      <c r="BS32" s="32"/>
      <c r="BT32" s="34"/>
    </row>
    <row r="33" ht="9.75" customHeight="1">
      <c r="A33" s="33"/>
      <c r="B33" s="133"/>
      <c r="C33" s="414"/>
      <c r="D33" s="133"/>
      <c r="E33" s="414"/>
      <c r="F33" s="414"/>
      <c r="W33" s="35"/>
      <c r="AD33" s="48"/>
      <c r="AE33" s="55"/>
      <c r="AF33" s="415"/>
      <c r="AG33" s="49"/>
      <c r="AH33" s="48"/>
      <c r="AJ33" s="35"/>
      <c r="AK33" s="35"/>
      <c r="AL33" s="133"/>
      <c r="AM33" s="414"/>
      <c r="AN33" s="133"/>
      <c r="AO33" s="414"/>
      <c r="AP33" s="414"/>
      <c r="BG33" s="35"/>
      <c r="BN33" s="48"/>
      <c r="BO33" s="55"/>
      <c r="BP33" s="415"/>
      <c r="BQ33" s="49"/>
      <c r="BR33" s="48"/>
      <c r="BT33" s="35"/>
    </row>
    <row r="34" ht="15.75" customHeight="1">
      <c r="A34" s="11"/>
      <c r="B34" s="421"/>
      <c r="C34" s="422"/>
      <c r="D34" s="423"/>
      <c r="E34" s="424"/>
      <c r="F34" s="43"/>
      <c r="G34" s="43"/>
      <c r="H34" s="43"/>
      <c r="I34" s="43"/>
      <c r="J34" s="43"/>
      <c r="K34" s="43"/>
      <c r="L34" s="43"/>
      <c r="M34" s="43"/>
      <c r="N34" s="43"/>
      <c r="O34" s="43"/>
      <c r="P34" s="43"/>
      <c r="Q34" s="43"/>
      <c r="R34" s="43"/>
      <c r="S34" s="43"/>
      <c r="T34" s="43"/>
      <c r="U34" s="43"/>
      <c r="W34" s="43"/>
      <c r="X34" s="43"/>
      <c r="Y34" s="43"/>
      <c r="Z34" s="43"/>
      <c r="AA34" s="43"/>
      <c r="AB34" s="43"/>
      <c r="AC34" s="43"/>
      <c r="AD34" s="172"/>
      <c r="AE34" s="159"/>
      <c r="AF34" s="32"/>
      <c r="AG34" s="172"/>
      <c r="AH34" s="181"/>
      <c r="AI34" s="32"/>
      <c r="AJ34" s="34"/>
      <c r="AK34" s="34"/>
      <c r="AL34" s="421"/>
      <c r="AM34" s="422"/>
      <c r="AN34" s="423"/>
      <c r="AO34" s="424"/>
      <c r="AP34" s="43"/>
      <c r="AQ34" s="43"/>
      <c r="AR34" s="43"/>
      <c r="AS34" s="43"/>
      <c r="AT34" s="43"/>
      <c r="AU34" s="43"/>
      <c r="AV34" s="43"/>
      <c r="AW34" s="43"/>
      <c r="AX34" s="43"/>
      <c r="AY34" s="43"/>
      <c r="AZ34" s="43"/>
      <c r="BA34" s="43"/>
      <c r="BB34" s="43"/>
      <c r="BC34" s="43"/>
      <c r="BD34" s="43"/>
      <c r="BE34" s="43"/>
      <c r="BG34" s="43"/>
      <c r="BH34" s="43"/>
      <c r="BI34" s="43"/>
      <c r="BJ34" s="43"/>
      <c r="BK34" s="43"/>
      <c r="BL34" s="43"/>
      <c r="BM34" s="43"/>
      <c r="BN34" s="172"/>
      <c r="BO34" s="159"/>
      <c r="BP34" s="32"/>
      <c r="BQ34" s="172"/>
      <c r="BR34" s="181"/>
      <c r="BS34" s="32"/>
      <c r="BT34" s="34"/>
    </row>
    <row r="35" ht="9.75" customHeight="1">
      <c r="A35" s="33"/>
      <c r="B35" s="133"/>
      <c r="C35" s="414"/>
      <c r="D35" s="133"/>
      <c r="E35" s="414"/>
      <c r="F35" s="414"/>
      <c r="W35" s="35"/>
      <c r="AD35" s="48"/>
      <c r="AE35" s="55"/>
      <c r="AF35" s="415"/>
      <c r="AG35" s="49"/>
      <c r="AH35" s="48"/>
      <c r="AJ35" s="35"/>
      <c r="AK35" s="35"/>
      <c r="AL35" s="133"/>
      <c r="AM35" s="414"/>
      <c r="AN35" s="133"/>
      <c r="AO35" s="414"/>
      <c r="AP35" s="414"/>
      <c r="BG35" s="35"/>
      <c r="BN35" s="48"/>
      <c r="BO35" s="55"/>
      <c r="BP35" s="415"/>
      <c r="BQ35" s="49"/>
      <c r="BR35" s="48"/>
      <c r="BT35" s="35"/>
    </row>
    <row r="36" ht="15.75" customHeight="1">
      <c r="A36" s="11"/>
      <c r="B36" s="421"/>
      <c r="C36" s="422"/>
      <c r="D36" s="423"/>
      <c r="E36" s="424"/>
      <c r="F36" s="43"/>
      <c r="G36" s="43"/>
      <c r="H36" s="43"/>
      <c r="I36" s="43"/>
      <c r="J36" s="43"/>
      <c r="K36" s="43"/>
      <c r="L36" s="43"/>
      <c r="M36" s="43"/>
      <c r="N36" s="43"/>
      <c r="O36" s="43"/>
      <c r="P36" s="43"/>
      <c r="Q36" s="43"/>
      <c r="R36" s="43"/>
      <c r="S36" s="43"/>
      <c r="T36" s="43"/>
      <c r="U36" s="43"/>
      <c r="W36" s="43"/>
      <c r="X36" s="43"/>
      <c r="Y36" s="43"/>
      <c r="Z36" s="43"/>
      <c r="AA36" s="43"/>
      <c r="AB36" s="43"/>
      <c r="AC36" s="43"/>
      <c r="AD36" s="172"/>
      <c r="AE36" s="159"/>
      <c r="AF36" s="32"/>
      <c r="AG36" s="172"/>
      <c r="AH36" s="181"/>
      <c r="AI36" s="32"/>
      <c r="AJ36" s="34"/>
      <c r="AK36" s="34"/>
      <c r="AL36" s="421"/>
      <c r="AM36" s="422"/>
      <c r="AN36" s="423"/>
      <c r="AO36" s="424"/>
      <c r="AP36" s="43"/>
      <c r="AQ36" s="43"/>
      <c r="AR36" s="43"/>
      <c r="AS36" s="43"/>
      <c r="AT36" s="43"/>
      <c r="AU36" s="43"/>
      <c r="AV36" s="43"/>
      <c r="AW36" s="43"/>
      <c r="AX36" s="43"/>
      <c r="AY36" s="43"/>
      <c r="AZ36" s="43"/>
      <c r="BA36" s="43"/>
      <c r="BB36" s="43"/>
      <c r="BC36" s="43"/>
      <c r="BD36" s="43"/>
      <c r="BE36" s="43"/>
      <c r="BG36" s="43"/>
      <c r="BH36" s="43"/>
      <c r="BI36" s="43"/>
      <c r="BJ36" s="43"/>
      <c r="BK36" s="43"/>
      <c r="BL36" s="43"/>
      <c r="BM36" s="43"/>
      <c r="BN36" s="172"/>
      <c r="BO36" s="159"/>
      <c r="BP36" s="32"/>
      <c r="BQ36" s="172"/>
      <c r="BR36" s="181"/>
      <c r="BS36" s="32"/>
      <c r="BT36" s="34"/>
    </row>
    <row r="37" ht="9.75" customHeight="1">
      <c r="A37" s="33"/>
      <c r="B37" s="133"/>
      <c r="C37" s="414"/>
      <c r="D37" s="133"/>
      <c r="E37" s="414"/>
      <c r="F37" s="414"/>
      <c r="W37" s="35"/>
      <c r="AD37" s="48"/>
      <c r="AE37" s="55"/>
      <c r="AF37" s="415"/>
      <c r="AG37" s="49"/>
      <c r="AH37" s="48"/>
      <c r="AJ37" s="35"/>
      <c r="AK37" s="35"/>
      <c r="AL37" s="133"/>
      <c r="AM37" s="414"/>
      <c r="AN37" s="133"/>
      <c r="AO37" s="414"/>
      <c r="AP37" s="414"/>
      <c r="BG37" s="35"/>
      <c r="BN37" s="48"/>
      <c r="BO37" s="55"/>
      <c r="BP37" s="415"/>
      <c r="BQ37" s="49"/>
      <c r="BR37" s="48"/>
      <c r="BT37" s="35"/>
    </row>
    <row r="38" ht="15.75" customHeight="1">
      <c r="A38" s="11"/>
      <c r="B38" s="421"/>
      <c r="C38" s="422"/>
      <c r="D38" s="423"/>
      <c r="E38" s="424"/>
      <c r="F38" s="43"/>
      <c r="G38" s="43"/>
      <c r="H38" s="43"/>
      <c r="I38" s="43"/>
      <c r="J38" s="43"/>
      <c r="K38" s="43"/>
      <c r="L38" s="43"/>
      <c r="M38" s="43"/>
      <c r="N38" s="43"/>
      <c r="O38" s="43"/>
      <c r="P38" s="43"/>
      <c r="Q38" s="43"/>
      <c r="R38" s="43"/>
      <c r="S38" s="43"/>
      <c r="T38" s="43"/>
      <c r="U38" s="43"/>
      <c r="W38" s="43"/>
      <c r="X38" s="43"/>
      <c r="Y38" s="43"/>
      <c r="Z38" s="43"/>
      <c r="AA38" s="43"/>
      <c r="AB38" s="43"/>
      <c r="AC38" s="43"/>
      <c r="AD38" s="172"/>
      <c r="AE38" s="159"/>
      <c r="AF38" s="32"/>
      <c r="AG38" s="172"/>
      <c r="AH38" s="181"/>
      <c r="AI38" s="32"/>
      <c r="AJ38" s="34"/>
      <c r="AK38" s="34"/>
      <c r="AL38" s="421"/>
      <c r="AM38" s="422"/>
      <c r="AN38" s="423"/>
      <c r="AO38" s="424"/>
      <c r="AP38" s="43"/>
      <c r="AQ38" s="43"/>
      <c r="AR38" s="43"/>
      <c r="AS38" s="43"/>
      <c r="AT38" s="43"/>
      <c r="AU38" s="43"/>
      <c r="AV38" s="43"/>
      <c r="AW38" s="43"/>
      <c r="AX38" s="43"/>
      <c r="AY38" s="43"/>
      <c r="AZ38" s="43"/>
      <c r="BA38" s="43"/>
      <c r="BB38" s="43"/>
      <c r="BC38" s="43"/>
      <c r="BD38" s="43"/>
      <c r="BE38" s="43"/>
      <c r="BG38" s="43"/>
      <c r="BH38" s="43"/>
      <c r="BI38" s="43"/>
      <c r="BJ38" s="43"/>
      <c r="BK38" s="43"/>
      <c r="BL38" s="43"/>
      <c r="BM38" s="43"/>
      <c r="BN38" s="172"/>
      <c r="BO38" s="159"/>
      <c r="BP38" s="32"/>
      <c r="BQ38" s="172"/>
      <c r="BR38" s="181"/>
      <c r="BS38" s="32"/>
      <c r="BT38" s="34"/>
    </row>
    <row r="39" ht="9.75" customHeight="1">
      <c r="A39" s="33"/>
      <c r="B39" s="133"/>
      <c r="C39" s="414"/>
      <c r="D39" s="133"/>
      <c r="E39" s="414"/>
      <c r="F39" s="414"/>
      <c r="W39" s="35"/>
      <c r="AD39" s="48"/>
      <c r="AE39" s="55"/>
      <c r="AF39" s="415"/>
      <c r="AG39" s="49"/>
      <c r="AH39" s="48"/>
      <c r="AJ39" s="35"/>
      <c r="AK39" s="35"/>
      <c r="AL39" s="133"/>
      <c r="AM39" s="414"/>
      <c r="AN39" s="133"/>
      <c r="AO39" s="414"/>
      <c r="AP39" s="414"/>
      <c r="BG39" s="35"/>
      <c r="BN39" s="48"/>
      <c r="BO39" s="55"/>
      <c r="BP39" s="415"/>
      <c r="BQ39" s="49"/>
      <c r="BR39" s="48"/>
      <c r="BT39" s="35"/>
    </row>
    <row r="40" ht="15.75" customHeight="1">
      <c r="A40" s="11"/>
      <c r="B40" s="421"/>
      <c r="C40" s="422"/>
      <c r="D40" s="423"/>
      <c r="E40" s="424"/>
      <c r="F40" s="43"/>
      <c r="G40" s="43"/>
      <c r="H40" s="43"/>
      <c r="I40" s="43"/>
      <c r="J40" s="43"/>
      <c r="K40" s="43"/>
      <c r="L40" s="43"/>
      <c r="M40" s="43"/>
      <c r="N40" s="43"/>
      <c r="O40" s="43"/>
      <c r="P40" s="43"/>
      <c r="Q40" s="43"/>
      <c r="R40" s="43"/>
      <c r="S40" s="43"/>
      <c r="T40" s="43"/>
      <c r="U40" s="43"/>
      <c r="W40" s="43"/>
      <c r="X40" s="43"/>
      <c r="Y40" s="43"/>
      <c r="Z40" s="43"/>
      <c r="AA40" s="43"/>
      <c r="AB40" s="43"/>
      <c r="AC40" s="43"/>
      <c r="AD40" s="172"/>
      <c r="AE40" s="159"/>
      <c r="AF40" s="32"/>
      <c r="AG40" s="172"/>
      <c r="AH40" s="181"/>
      <c r="AI40" s="32"/>
      <c r="AJ40" s="34"/>
      <c r="AK40" s="34"/>
      <c r="AL40" s="421"/>
      <c r="AM40" s="422"/>
      <c r="AN40" s="423"/>
      <c r="AO40" s="424"/>
      <c r="AP40" s="43"/>
      <c r="AQ40" s="43"/>
      <c r="AR40" s="43"/>
      <c r="AS40" s="43"/>
      <c r="AT40" s="43"/>
      <c r="AU40" s="43"/>
      <c r="AV40" s="43"/>
      <c r="AW40" s="43"/>
      <c r="AX40" s="43"/>
      <c r="AY40" s="43"/>
      <c r="AZ40" s="43"/>
      <c r="BA40" s="43"/>
      <c r="BB40" s="43"/>
      <c r="BC40" s="43"/>
      <c r="BD40" s="43"/>
      <c r="BE40" s="43"/>
      <c r="BG40" s="43"/>
      <c r="BH40" s="43"/>
      <c r="BI40" s="43"/>
      <c r="BJ40" s="43"/>
      <c r="BK40" s="43"/>
      <c r="BL40" s="43"/>
      <c r="BM40" s="43"/>
      <c r="BN40" s="172"/>
      <c r="BO40" s="159"/>
      <c r="BP40" s="32"/>
      <c r="BQ40" s="172"/>
      <c r="BR40" s="181"/>
      <c r="BS40" s="32"/>
      <c r="BT40" s="34"/>
    </row>
    <row r="41" ht="9.75" customHeight="1">
      <c r="A41" s="33"/>
      <c r="B41" s="133"/>
      <c r="C41" s="414"/>
      <c r="D41" s="133"/>
      <c r="E41" s="414"/>
      <c r="F41" s="414"/>
      <c r="W41" s="35"/>
      <c r="AD41" s="48"/>
      <c r="AE41" s="55"/>
      <c r="AF41" s="415"/>
      <c r="AG41" s="49"/>
      <c r="AH41" s="48"/>
      <c r="AJ41" s="35"/>
      <c r="AK41" s="35"/>
      <c r="AL41" s="133"/>
      <c r="AM41" s="414"/>
      <c r="AN41" s="133"/>
      <c r="AO41" s="414"/>
      <c r="AP41" s="414"/>
      <c r="BG41" s="35"/>
      <c r="BN41" s="48"/>
      <c r="BO41" s="55"/>
      <c r="BP41" s="415"/>
      <c r="BQ41" s="49"/>
      <c r="BR41" s="48"/>
      <c r="BT41" s="35"/>
    </row>
    <row r="42" ht="15.75" customHeight="1">
      <c r="A42" s="11"/>
      <c r="B42" s="421"/>
      <c r="C42" s="422"/>
      <c r="D42" s="423"/>
      <c r="E42" s="424"/>
      <c r="F42" s="43"/>
      <c r="G42" s="43"/>
      <c r="H42" s="43"/>
      <c r="I42" s="43"/>
      <c r="J42" s="43"/>
      <c r="K42" s="43"/>
      <c r="L42" s="43"/>
      <c r="M42" s="43"/>
      <c r="N42" s="43"/>
      <c r="O42" s="43"/>
      <c r="P42" s="43"/>
      <c r="Q42" s="43"/>
      <c r="R42" s="43"/>
      <c r="S42" s="43"/>
      <c r="T42" s="43"/>
      <c r="U42" s="43"/>
      <c r="W42" s="43"/>
      <c r="X42" s="43"/>
      <c r="Y42" s="43"/>
      <c r="Z42" s="43"/>
      <c r="AA42" s="43"/>
      <c r="AB42" s="43"/>
      <c r="AC42" s="43"/>
      <c r="AD42" s="172"/>
      <c r="AE42" s="159"/>
      <c r="AF42" s="32"/>
      <c r="AG42" s="172"/>
      <c r="AH42" s="181"/>
      <c r="AI42" s="32"/>
      <c r="AJ42" s="34"/>
      <c r="AK42" s="34"/>
      <c r="AL42" s="421"/>
      <c r="AM42" s="422"/>
      <c r="AN42" s="423"/>
      <c r="AO42" s="424"/>
      <c r="AP42" s="43"/>
      <c r="AQ42" s="43"/>
      <c r="AR42" s="43"/>
      <c r="AS42" s="43"/>
      <c r="AT42" s="43"/>
      <c r="AU42" s="43"/>
      <c r="AV42" s="43"/>
      <c r="AW42" s="43"/>
      <c r="AX42" s="43"/>
      <c r="AY42" s="43"/>
      <c r="AZ42" s="43"/>
      <c r="BA42" s="43"/>
      <c r="BB42" s="43"/>
      <c r="BC42" s="43"/>
      <c r="BD42" s="43"/>
      <c r="BE42" s="43"/>
      <c r="BG42" s="43"/>
      <c r="BH42" s="43"/>
      <c r="BI42" s="43"/>
      <c r="BJ42" s="43"/>
      <c r="BK42" s="43"/>
      <c r="BL42" s="43"/>
      <c r="BM42" s="43"/>
      <c r="BN42" s="172"/>
      <c r="BO42" s="159"/>
      <c r="BP42" s="32"/>
      <c r="BQ42" s="172"/>
      <c r="BR42" s="181"/>
      <c r="BS42" s="32"/>
      <c r="BT42" s="34"/>
    </row>
    <row r="43" ht="9.75" customHeight="1">
      <c r="A43" s="33"/>
      <c r="B43" s="133"/>
      <c r="C43" s="414"/>
      <c r="D43" s="133"/>
      <c r="E43" s="414"/>
      <c r="F43" s="414"/>
      <c r="W43" s="35"/>
      <c r="AD43" s="48"/>
      <c r="AE43" s="55"/>
      <c r="AF43" s="415"/>
      <c r="AG43" s="49"/>
      <c r="AH43" s="48"/>
      <c r="AJ43" s="35"/>
      <c r="AK43" s="35"/>
      <c r="AL43" s="133"/>
      <c r="AM43" s="414"/>
      <c r="AN43" s="133"/>
      <c r="AO43" s="414"/>
      <c r="AP43" s="414"/>
      <c r="BG43" s="35"/>
      <c r="BN43" s="48"/>
      <c r="BO43" s="55"/>
      <c r="BP43" s="415"/>
      <c r="BQ43" s="49"/>
      <c r="BR43" s="48"/>
      <c r="BT43" s="35"/>
    </row>
    <row r="44" ht="15.75" customHeight="1">
      <c r="A44" s="11"/>
      <c r="B44" s="421"/>
      <c r="C44" s="422"/>
      <c r="D44" s="423"/>
      <c r="E44" s="424"/>
      <c r="F44" s="43"/>
      <c r="G44" s="43"/>
      <c r="H44" s="43"/>
      <c r="I44" s="43"/>
      <c r="J44" s="43"/>
      <c r="K44" s="43"/>
      <c r="L44" s="43"/>
      <c r="M44" s="43"/>
      <c r="N44" s="43"/>
      <c r="O44" s="43"/>
      <c r="P44" s="43"/>
      <c r="Q44" s="43"/>
      <c r="R44" s="43"/>
      <c r="S44" s="43"/>
      <c r="T44" s="43"/>
      <c r="U44" s="43"/>
      <c r="W44" s="43"/>
      <c r="X44" s="43"/>
      <c r="Y44" s="43"/>
      <c r="Z44" s="43"/>
      <c r="AA44" s="43"/>
      <c r="AB44" s="43"/>
      <c r="AC44" s="43"/>
      <c r="AD44" s="172"/>
      <c r="AE44" s="159"/>
      <c r="AF44" s="32"/>
      <c r="AG44" s="172"/>
      <c r="AH44" s="181"/>
      <c r="AI44" s="32"/>
      <c r="AJ44" s="34"/>
      <c r="AK44" s="34"/>
      <c r="AL44" s="421"/>
      <c r="AM44" s="422"/>
      <c r="AN44" s="423"/>
      <c r="AO44" s="424"/>
      <c r="AP44" s="43"/>
      <c r="AQ44" s="43"/>
      <c r="AR44" s="43"/>
      <c r="AS44" s="43"/>
      <c r="AT44" s="43"/>
      <c r="AU44" s="43"/>
      <c r="AV44" s="43"/>
      <c r="AW44" s="43"/>
      <c r="AX44" s="43"/>
      <c r="AY44" s="43"/>
      <c r="AZ44" s="43"/>
      <c r="BA44" s="43"/>
      <c r="BB44" s="43"/>
      <c r="BC44" s="43"/>
      <c r="BD44" s="43"/>
      <c r="BE44" s="43"/>
      <c r="BG44" s="43"/>
      <c r="BH44" s="43"/>
      <c r="BI44" s="43"/>
      <c r="BJ44" s="43"/>
      <c r="BK44" s="43"/>
      <c r="BL44" s="43"/>
      <c r="BM44" s="43"/>
      <c r="BN44" s="172"/>
      <c r="BO44" s="159"/>
      <c r="BP44" s="32"/>
      <c r="BQ44" s="172"/>
      <c r="BR44" s="181"/>
      <c r="BS44" s="32"/>
      <c r="BT44" s="34"/>
    </row>
    <row r="45" ht="9.75" customHeight="1">
      <c r="A45" s="33"/>
      <c r="B45" s="133"/>
      <c r="C45" s="414"/>
      <c r="D45" s="133"/>
      <c r="E45" s="414"/>
      <c r="F45" s="414"/>
      <c r="W45" s="35"/>
      <c r="AD45" s="48"/>
      <c r="AE45" s="55"/>
      <c r="AF45" s="415"/>
      <c r="AG45" s="49"/>
      <c r="AH45" s="48"/>
      <c r="AJ45" s="35"/>
      <c r="AK45" s="35"/>
      <c r="AL45" s="133"/>
      <c r="AM45" s="414"/>
      <c r="AN45" s="133"/>
      <c r="AO45" s="414"/>
      <c r="AP45" s="414"/>
      <c r="BG45" s="35"/>
      <c r="BN45" s="48"/>
      <c r="BO45" s="55"/>
      <c r="BP45" s="415"/>
      <c r="BQ45" s="49"/>
      <c r="BR45" s="48"/>
      <c r="BT45" s="35"/>
    </row>
    <row r="46" ht="15.75" customHeight="1">
      <c r="A46" s="11"/>
      <c r="B46" s="421"/>
      <c r="C46" s="422"/>
      <c r="D46" s="423"/>
      <c r="E46" s="424"/>
      <c r="F46" s="43"/>
      <c r="G46" s="43"/>
      <c r="H46" s="43"/>
      <c r="I46" s="43"/>
      <c r="J46" s="43"/>
      <c r="K46" s="43"/>
      <c r="L46" s="43"/>
      <c r="M46" s="43"/>
      <c r="N46" s="43"/>
      <c r="O46" s="43"/>
      <c r="P46" s="43"/>
      <c r="Q46" s="43"/>
      <c r="R46" s="43"/>
      <c r="S46" s="43"/>
      <c r="T46" s="43"/>
      <c r="U46" s="43"/>
      <c r="W46" s="43"/>
      <c r="X46" s="43"/>
      <c r="Y46" s="43"/>
      <c r="Z46" s="43"/>
      <c r="AA46" s="43"/>
      <c r="AB46" s="43"/>
      <c r="AC46" s="43"/>
      <c r="AD46" s="172"/>
      <c r="AE46" s="159"/>
      <c r="AF46" s="32"/>
      <c r="AG46" s="172"/>
      <c r="AH46" s="181"/>
      <c r="AI46" s="32"/>
      <c r="AJ46" s="34"/>
      <c r="AK46" s="34"/>
      <c r="AL46" s="421"/>
      <c r="AM46" s="422"/>
      <c r="AN46" s="423"/>
      <c r="AO46" s="424"/>
      <c r="AP46" s="43"/>
      <c r="AQ46" s="43"/>
      <c r="AR46" s="43"/>
      <c r="AS46" s="43"/>
      <c r="AT46" s="43"/>
      <c r="AU46" s="43"/>
      <c r="AV46" s="43"/>
      <c r="AW46" s="43"/>
      <c r="AX46" s="43"/>
      <c r="AY46" s="43"/>
      <c r="AZ46" s="43"/>
      <c r="BA46" s="43"/>
      <c r="BB46" s="43"/>
      <c r="BC46" s="43"/>
      <c r="BD46" s="43"/>
      <c r="BE46" s="43"/>
      <c r="BG46" s="43"/>
      <c r="BH46" s="43"/>
      <c r="BI46" s="43"/>
      <c r="BJ46" s="43"/>
      <c r="BK46" s="43"/>
      <c r="BL46" s="43"/>
      <c r="BM46" s="43"/>
      <c r="BN46" s="172"/>
      <c r="BO46" s="159"/>
      <c r="BP46" s="32"/>
      <c r="BQ46" s="172"/>
      <c r="BR46" s="181"/>
      <c r="BS46" s="32"/>
      <c r="BT46" s="34"/>
    </row>
    <row r="47" ht="9.75" customHeight="1">
      <c r="A47" s="33"/>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row>
  </sheetData>
  <mergeCells count="264">
    <mergeCell ref="AH11:AI11"/>
    <mergeCell ref="AH12:AI12"/>
    <mergeCell ref="AH13:AI13"/>
    <mergeCell ref="F9:U10"/>
    <mergeCell ref="F11:U12"/>
    <mergeCell ref="W11:AC12"/>
    <mergeCell ref="AE11:AF11"/>
    <mergeCell ref="AP11:BE12"/>
    <mergeCell ref="BG11:BM12"/>
    <mergeCell ref="AE12:AF12"/>
    <mergeCell ref="F7:U7"/>
    <mergeCell ref="F8:U8"/>
    <mergeCell ref="W8:AC8"/>
    <mergeCell ref="AE8:AF8"/>
    <mergeCell ref="W9:AC10"/>
    <mergeCell ref="AE9:AF9"/>
    <mergeCell ref="AE10:AF10"/>
    <mergeCell ref="W13:AC14"/>
    <mergeCell ref="W15:AC16"/>
    <mergeCell ref="AH14:AI14"/>
    <mergeCell ref="AH15:AI15"/>
    <mergeCell ref="BG13:BM14"/>
    <mergeCell ref="BG15:BM16"/>
    <mergeCell ref="BG17:BM18"/>
    <mergeCell ref="AH17:AI17"/>
    <mergeCell ref="AH18:AI18"/>
    <mergeCell ref="F37:U38"/>
    <mergeCell ref="F39:U40"/>
    <mergeCell ref="F41:U42"/>
    <mergeCell ref="F43:U44"/>
    <mergeCell ref="F45:U46"/>
    <mergeCell ref="F21:U22"/>
    <mergeCell ref="F23:U24"/>
    <mergeCell ref="F25:U26"/>
    <mergeCell ref="F27:U28"/>
    <mergeCell ref="F29:U30"/>
    <mergeCell ref="F31:U32"/>
    <mergeCell ref="F33:U34"/>
    <mergeCell ref="AP37:BE38"/>
    <mergeCell ref="BG37:BM38"/>
    <mergeCell ref="W39:AC40"/>
    <mergeCell ref="AE39:AF39"/>
    <mergeCell ref="AP39:BE40"/>
    <mergeCell ref="AE40:AF40"/>
    <mergeCell ref="AP41:BE42"/>
    <mergeCell ref="W43:AC44"/>
    <mergeCell ref="W45:AC46"/>
    <mergeCell ref="AE45:AF45"/>
    <mergeCell ref="AH45:AI45"/>
    <mergeCell ref="AH46:AI46"/>
    <mergeCell ref="AH39:AI39"/>
    <mergeCell ref="AH40:AI40"/>
    <mergeCell ref="W41:AC42"/>
    <mergeCell ref="AE41:AF41"/>
    <mergeCell ref="AH41:AI41"/>
    <mergeCell ref="AH42:AI42"/>
    <mergeCell ref="AH43:AI43"/>
    <mergeCell ref="AE44:AF44"/>
    <mergeCell ref="AE46:AF46"/>
    <mergeCell ref="AE42:AF42"/>
    <mergeCell ref="AE43:AF43"/>
    <mergeCell ref="AP43:BE44"/>
    <mergeCell ref="BG43:BM44"/>
    <mergeCell ref="AH44:AI44"/>
    <mergeCell ref="AP45:BE46"/>
    <mergeCell ref="BG45:BM46"/>
    <mergeCell ref="F13:U14"/>
    <mergeCell ref="AE13:AF13"/>
    <mergeCell ref="AP13:BE14"/>
    <mergeCell ref="AE14:AF14"/>
    <mergeCell ref="F15:U16"/>
    <mergeCell ref="AE15:AF15"/>
    <mergeCell ref="AP15:BE16"/>
    <mergeCell ref="AE19:AF19"/>
    <mergeCell ref="AH19:AI19"/>
    <mergeCell ref="AH37:AI37"/>
    <mergeCell ref="AE38:AF38"/>
    <mergeCell ref="AH38:AI38"/>
    <mergeCell ref="AE16:AF16"/>
    <mergeCell ref="AH16:AI16"/>
    <mergeCell ref="F17:U18"/>
    <mergeCell ref="AE17:AF17"/>
    <mergeCell ref="AP17:BE18"/>
    <mergeCell ref="AE18:AF18"/>
    <mergeCell ref="F19:U20"/>
    <mergeCell ref="AP19:BE20"/>
    <mergeCell ref="BG19:BM20"/>
    <mergeCell ref="AP21:BE22"/>
    <mergeCell ref="BG21:BM22"/>
    <mergeCell ref="AP23:BE24"/>
    <mergeCell ref="BG23:BM24"/>
    <mergeCell ref="BG25:BM26"/>
    <mergeCell ref="BG31:BM32"/>
    <mergeCell ref="BG33:BM34"/>
    <mergeCell ref="BG35:BM36"/>
    <mergeCell ref="AP25:BE26"/>
    <mergeCell ref="AP27:BE28"/>
    <mergeCell ref="BG27:BM28"/>
    <mergeCell ref="AP29:BE30"/>
    <mergeCell ref="BG29:BM30"/>
    <mergeCell ref="AP31:BE32"/>
    <mergeCell ref="AP33:BE34"/>
    <mergeCell ref="BG39:BM40"/>
    <mergeCell ref="BG41:BM42"/>
    <mergeCell ref="BR39:BS39"/>
    <mergeCell ref="BR40:BS40"/>
    <mergeCell ref="BO35:BP35"/>
    <mergeCell ref="BO36:BP36"/>
    <mergeCell ref="BO37:BP37"/>
    <mergeCell ref="BO38:BP38"/>
    <mergeCell ref="BR38:BS38"/>
    <mergeCell ref="BO39:BP39"/>
    <mergeCell ref="BO40:BP40"/>
    <mergeCell ref="BO44:BP44"/>
    <mergeCell ref="BO45:BP45"/>
    <mergeCell ref="BO46:BP46"/>
    <mergeCell ref="BO41:BP41"/>
    <mergeCell ref="BR41:BS41"/>
    <mergeCell ref="BO42:BP42"/>
    <mergeCell ref="BR42:BS42"/>
    <mergeCell ref="BO43:BP43"/>
    <mergeCell ref="BR43:BS43"/>
    <mergeCell ref="BR44:BS44"/>
    <mergeCell ref="BO11:BP11"/>
    <mergeCell ref="BR11:BS11"/>
    <mergeCell ref="BO12:BP12"/>
    <mergeCell ref="BR12:BS12"/>
    <mergeCell ref="BO13:BP13"/>
    <mergeCell ref="BR13:BS13"/>
    <mergeCell ref="BR14:BS14"/>
    <mergeCell ref="BO14:BP14"/>
    <mergeCell ref="BO15:BP15"/>
    <mergeCell ref="BO16:BP16"/>
    <mergeCell ref="BO17:BP17"/>
    <mergeCell ref="BO18:BP18"/>
    <mergeCell ref="BO19:BP19"/>
    <mergeCell ref="BO20:BP20"/>
    <mergeCell ref="BR15:BS15"/>
    <mergeCell ref="BR16:BS16"/>
    <mergeCell ref="BR17:BS17"/>
    <mergeCell ref="BR18:BS18"/>
    <mergeCell ref="BR19:BS19"/>
    <mergeCell ref="BR20:BS20"/>
    <mergeCell ref="BR21:BS21"/>
    <mergeCell ref="BO21:BP21"/>
    <mergeCell ref="BO22:BP22"/>
    <mergeCell ref="BO23:BP23"/>
    <mergeCell ref="BO24:BP24"/>
    <mergeCell ref="BO25:BP25"/>
    <mergeCell ref="BO26:BP26"/>
    <mergeCell ref="BO27:BP27"/>
    <mergeCell ref="BR22:BS22"/>
    <mergeCell ref="BR23:BS23"/>
    <mergeCell ref="BR24:BS24"/>
    <mergeCell ref="BR25:BS25"/>
    <mergeCell ref="BR26:BS26"/>
    <mergeCell ref="BR27:BS27"/>
    <mergeCell ref="BR28:BS28"/>
    <mergeCell ref="BO28:BP28"/>
    <mergeCell ref="BO29:BP29"/>
    <mergeCell ref="BO30:BP30"/>
    <mergeCell ref="BO31:BP31"/>
    <mergeCell ref="BO32:BP32"/>
    <mergeCell ref="BO33:BP33"/>
    <mergeCell ref="BO34:BP34"/>
    <mergeCell ref="BR45:BS45"/>
    <mergeCell ref="BR46:BS46"/>
    <mergeCell ref="AP3:BE3"/>
    <mergeCell ref="AP4:BE4"/>
    <mergeCell ref="AP5:BE6"/>
    <mergeCell ref="BG5:BM6"/>
    <mergeCell ref="AP7:BE8"/>
    <mergeCell ref="BG7:BM8"/>
    <mergeCell ref="AP9:BE10"/>
    <mergeCell ref="BG9:BM10"/>
    <mergeCell ref="B2:BS2"/>
    <mergeCell ref="Z3:AB3"/>
    <mergeCell ref="BG3:BM3"/>
    <mergeCell ref="BR3:BS3"/>
    <mergeCell ref="G4:M4"/>
    <mergeCell ref="Z4:AB4"/>
    <mergeCell ref="BG4:BM4"/>
    <mergeCell ref="BR4:BS4"/>
    <mergeCell ref="O3:Q3"/>
    <mergeCell ref="O4:Q4"/>
    <mergeCell ref="B6:T6"/>
    <mergeCell ref="V6:AB6"/>
    <mergeCell ref="W7:AC7"/>
    <mergeCell ref="AE7:AF7"/>
    <mergeCell ref="AH7:AI7"/>
    <mergeCell ref="BO7:BP7"/>
    <mergeCell ref="BO8:BP8"/>
    <mergeCell ref="BO9:BP9"/>
    <mergeCell ref="BO10:BP10"/>
    <mergeCell ref="AH8:AI8"/>
    <mergeCell ref="AH9:AI9"/>
    <mergeCell ref="AH10:AI10"/>
    <mergeCell ref="BR8:BS8"/>
    <mergeCell ref="BR9:BS9"/>
    <mergeCell ref="BR10:BS10"/>
    <mergeCell ref="BO3:BP3"/>
    <mergeCell ref="BO4:BP4"/>
    <mergeCell ref="BO5:BP5"/>
    <mergeCell ref="BR5:BS5"/>
    <mergeCell ref="BO6:BP6"/>
    <mergeCell ref="BR6:BS6"/>
    <mergeCell ref="BR7:BS7"/>
    <mergeCell ref="W23:AC24"/>
    <mergeCell ref="AE24:AF24"/>
    <mergeCell ref="AH24:AI24"/>
    <mergeCell ref="AE20:AF20"/>
    <mergeCell ref="AH20:AI20"/>
    <mergeCell ref="W21:AC22"/>
    <mergeCell ref="AE21:AF21"/>
    <mergeCell ref="AH21:AI21"/>
    <mergeCell ref="AH22:AI22"/>
    <mergeCell ref="AH23:AI23"/>
    <mergeCell ref="AE27:AF27"/>
    <mergeCell ref="AE28:AF28"/>
    <mergeCell ref="AE22:AF22"/>
    <mergeCell ref="AE23:AF23"/>
    <mergeCell ref="AE25:AF25"/>
    <mergeCell ref="AH25:AI25"/>
    <mergeCell ref="AE26:AF26"/>
    <mergeCell ref="AH26:AI26"/>
    <mergeCell ref="AH27:AI27"/>
    <mergeCell ref="AH28:AI28"/>
    <mergeCell ref="AE30:AF30"/>
    <mergeCell ref="AE31:AF31"/>
    <mergeCell ref="W17:AC18"/>
    <mergeCell ref="W19:AC20"/>
    <mergeCell ref="W25:AC26"/>
    <mergeCell ref="W27:AC28"/>
    <mergeCell ref="W29:AC30"/>
    <mergeCell ref="AE29:AF29"/>
    <mergeCell ref="W31:AC32"/>
    <mergeCell ref="AE32:AF32"/>
    <mergeCell ref="AH33:AI33"/>
    <mergeCell ref="AH34:AI34"/>
    <mergeCell ref="AH29:AI29"/>
    <mergeCell ref="AH30:AI30"/>
    <mergeCell ref="AH31:AI31"/>
    <mergeCell ref="AH32:AI32"/>
    <mergeCell ref="W33:AC34"/>
    <mergeCell ref="AE33:AF33"/>
    <mergeCell ref="AE34:AF34"/>
    <mergeCell ref="AE36:AF36"/>
    <mergeCell ref="AE37:AF37"/>
    <mergeCell ref="F35:U36"/>
    <mergeCell ref="W35:AC36"/>
    <mergeCell ref="AE35:AF35"/>
    <mergeCell ref="AH35:AI35"/>
    <mergeCell ref="AP35:BE36"/>
    <mergeCell ref="AH36:AI36"/>
    <mergeCell ref="W37:AC38"/>
    <mergeCell ref="BR36:BS36"/>
    <mergeCell ref="BR37:BS37"/>
    <mergeCell ref="BR29:BS29"/>
    <mergeCell ref="BR30:BS30"/>
    <mergeCell ref="BR31:BS31"/>
    <mergeCell ref="BR32:BS32"/>
    <mergeCell ref="BR33:BS33"/>
    <mergeCell ref="BR34:BS34"/>
    <mergeCell ref="BR35:BS35"/>
  </mergeCells>
  <conditionalFormatting sqref="W3:W4">
    <cfRule type="expression" dxfId="4" priority="1">
      <formula>$BQ$9</formula>
    </cfRule>
  </conditionalFormatting>
  <conditionalFormatting sqref="W3:W4">
    <cfRule type="expression" dxfId="4" priority="2">
      <formula>$BR$9</formula>
    </cfRule>
  </conditionalFormatting>
  <conditionalFormatting sqref="W3:W4">
    <cfRule type="expression" dxfId="2" priority="3">
      <formula>$BP$9</formula>
    </cfRule>
  </conditionalFormatting>
  <conditionalFormatting sqref="W3:W4 BR3:BS46 AH7:AI46">
    <cfRule type="expression" dxfId="5" priority="4">
      <formula>$BS$9</formula>
    </cfRule>
  </conditionalFormatting>
  <dataValidations>
    <dataValidation type="list" allowBlank="1" showDropDown="1" showErrorMessage="1" sqref="W3">
      <formula1>Data!$B$14:$B$19</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2.75"/>
    <col customWidth="1" min="2" max="3" width="26.13"/>
    <col customWidth="1" min="4" max="4" width="2.75"/>
    <col customWidth="1" min="5" max="5" width="3.13"/>
    <col customWidth="1" min="6" max="15" width="2.75"/>
    <col customWidth="1" min="16" max="16" width="3.25"/>
    <col customWidth="1" min="17" max="30" width="2.75"/>
  </cols>
  <sheetData>
    <row r="1">
      <c r="A1" s="1"/>
      <c r="B1" s="2"/>
      <c r="C1" s="3"/>
      <c r="D1" s="4"/>
      <c r="E1" s="4"/>
      <c r="F1" s="4"/>
      <c r="G1" s="4"/>
      <c r="H1" s="4"/>
      <c r="I1" s="4"/>
      <c r="J1" s="4"/>
      <c r="K1" s="4"/>
      <c r="L1" s="4"/>
      <c r="M1" s="4"/>
      <c r="N1" s="4"/>
      <c r="O1" s="4"/>
      <c r="P1" s="4"/>
      <c r="Q1" s="4"/>
      <c r="R1" s="4"/>
      <c r="S1" s="4"/>
      <c r="T1" s="4"/>
      <c r="U1" s="4"/>
      <c r="V1" s="4"/>
      <c r="W1" s="4"/>
      <c r="X1" s="4"/>
      <c r="Y1" s="4"/>
      <c r="Z1" s="4"/>
      <c r="AA1" s="4"/>
      <c r="AB1" s="4"/>
      <c r="AC1" s="4"/>
      <c r="AD1" s="4"/>
    </row>
    <row r="2">
      <c r="A2" s="1"/>
      <c r="B2" s="431" t="s">
        <v>21</v>
      </c>
      <c r="C2" s="32"/>
      <c r="D2" s="4"/>
      <c r="E2" s="432" t="s">
        <v>2590</v>
      </c>
      <c r="F2" s="29"/>
      <c r="G2" s="29"/>
      <c r="H2" s="29"/>
      <c r="I2" s="29"/>
      <c r="J2" s="29"/>
      <c r="K2" s="29"/>
      <c r="L2" s="29"/>
      <c r="M2" s="29"/>
      <c r="N2" s="29"/>
      <c r="O2" s="29"/>
      <c r="P2" s="32"/>
      <c r="Q2" s="4"/>
      <c r="R2" s="433" t="s">
        <v>2595</v>
      </c>
      <c r="S2" s="29"/>
      <c r="T2" s="29"/>
      <c r="U2" s="29"/>
      <c r="V2" s="29"/>
      <c r="W2" s="29"/>
      <c r="X2" s="29"/>
      <c r="Y2" s="29"/>
      <c r="Z2" s="29"/>
      <c r="AA2" s="29"/>
      <c r="AB2" s="29"/>
      <c r="AC2" s="32"/>
      <c r="AD2" s="4"/>
    </row>
    <row r="3">
      <c r="A3" s="1"/>
      <c r="B3" s="434" t="s">
        <v>23</v>
      </c>
      <c r="C3" s="434" t="s">
        <v>24</v>
      </c>
      <c r="D3" s="4"/>
      <c r="E3" s="435" t="s">
        <v>2606</v>
      </c>
      <c r="F3" s="435">
        <v>0.0</v>
      </c>
      <c r="G3" s="435">
        <v>1.0</v>
      </c>
      <c r="H3" s="435">
        <v>2.0</v>
      </c>
      <c r="I3" s="435">
        <v>3.0</v>
      </c>
      <c r="J3" s="435">
        <v>4.0</v>
      </c>
      <c r="K3" s="435">
        <v>5.0</v>
      </c>
      <c r="L3" s="435">
        <v>6.0</v>
      </c>
      <c r="M3" s="435">
        <v>7.0</v>
      </c>
      <c r="N3" s="435">
        <v>8.0</v>
      </c>
      <c r="O3" s="435">
        <v>9.0</v>
      </c>
      <c r="P3" s="435">
        <v>10.0</v>
      </c>
      <c r="Q3" s="4"/>
      <c r="R3" s="436" t="s">
        <v>2617</v>
      </c>
      <c r="S3" s="29"/>
      <c r="T3" s="29"/>
      <c r="U3" s="29"/>
      <c r="V3" s="29"/>
      <c r="W3" s="29"/>
      <c r="X3" s="29"/>
      <c r="Y3" s="29"/>
      <c r="Z3" s="29"/>
      <c r="AA3" s="29"/>
      <c r="AB3" s="29"/>
      <c r="AC3" s="32"/>
      <c r="AD3" s="4"/>
    </row>
    <row r="4">
      <c r="A4" s="1"/>
      <c r="B4" s="437" t="str">
        <f>HYPERLINK("https://docs.google.com/spreadsheets/d/1V6l7A0kaPkPUjNlwFEqziMnE5NWnCELZ42yW4ePbexE/edit#gid=757414001","Original PF1E AutoSheet")</f>
        <v>Original PF1E AutoSheet</v>
      </c>
      <c r="C4" s="438" t="s">
        <v>2623</v>
      </c>
      <c r="D4" s="4"/>
      <c r="E4" s="435">
        <v>1.0</v>
      </c>
      <c r="F4" s="4">
        <v>5.0</v>
      </c>
      <c r="G4" s="4">
        <v>2.0</v>
      </c>
      <c r="H4" s="4">
        <v>0.0</v>
      </c>
      <c r="I4" s="4">
        <v>0.0</v>
      </c>
      <c r="J4" s="4">
        <v>0.0</v>
      </c>
      <c r="K4" s="4">
        <v>0.0</v>
      </c>
      <c r="L4" s="4">
        <v>0.0</v>
      </c>
      <c r="M4" s="4">
        <v>0.0</v>
      </c>
      <c r="N4" s="4">
        <v>0.0</v>
      </c>
      <c r="O4" s="4">
        <v>0.0</v>
      </c>
      <c r="P4" s="439">
        <v>0.0</v>
      </c>
      <c r="Q4" s="4"/>
      <c r="R4" s="436" t="s">
        <v>2626</v>
      </c>
      <c r="S4" s="29"/>
      <c r="T4" s="29"/>
      <c r="U4" s="29"/>
      <c r="V4" s="29"/>
      <c r="W4" s="29"/>
      <c r="X4" s="29"/>
      <c r="Y4" s="29"/>
      <c r="Z4" s="29"/>
      <c r="AA4" s="29"/>
      <c r="AB4" s="29"/>
      <c r="AC4" s="32"/>
      <c r="AD4" s="4"/>
    </row>
    <row r="5">
      <c r="A5" s="1"/>
      <c r="B5" s="438" t="s">
        <v>2630</v>
      </c>
      <c r="C5" s="438" t="s">
        <v>2631</v>
      </c>
      <c r="D5" s="4"/>
      <c r="E5" s="435">
        <v>2.0</v>
      </c>
      <c r="F5" s="4">
        <v>5.0</v>
      </c>
      <c r="G5" s="4">
        <v>3.0</v>
      </c>
      <c r="H5" s="4">
        <v>0.0</v>
      </c>
      <c r="I5" s="4">
        <v>0.0</v>
      </c>
      <c r="J5" s="4">
        <v>0.0</v>
      </c>
      <c r="K5" s="4">
        <v>0.0</v>
      </c>
      <c r="L5" s="4">
        <v>0.0</v>
      </c>
      <c r="M5" s="4">
        <v>0.0</v>
      </c>
      <c r="N5" s="4">
        <v>0.0</v>
      </c>
      <c r="O5" s="4">
        <v>0.0</v>
      </c>
      <c r="P5" s="439">
        <v>0.0</v>
      </c>
      <c r="Q5" s="4"/>
      <c r="R5" s="436" t="s">
        <v>55</v>
      </c>
      <c r="S5" s="29"/>
      <c r="T5" s="29"/>
      <c r="U5" s="29"/>
      <c r="V5" s="29"/>
      <c r="W5" s="29"/>
      <c r="X5" s="29"/>
      <c r="Y5" s="29"/>
      <c r="Z5" s="29"/>
      <c r="AA5" s="29"/>
      <c r="AB5" s="29"/>
      <c r="AC5" s="32"/>
      <c r="AD5" s="4"/>
    </row>
    <row r="6">
      <c r="A6" s="1"/>
      <c r="B6" s="438" t="s">
        <v>2639</v>
      </c>
      <c r="C6" s="438" t="s">
        <v>2641</v>
      </c>
      <c r="D6" s="4"/>
      <c r="E6" s="440">
        <v>3.0</v>
      </c>
      <c r="F6" s="4">
        <v>5.0</v>
      </c>
      <c r="G6" s="4">
        <v>3.0</v>
      </c>
      <c r="H6" s="298">
        <v>2.0</v>
      </c>
      <c r="I6" s="298">
        <v>0.0</v>
      </c>
      <c r="J6" s="4">
        <v>0.0</v>
      </c>
      <c r="K6" s="4">
        <v>0.0</v>
      </c>
      <c r="L6" s="4">
        <v>0.0</v>
      </c>
      <c r="M6" s="4">
        <v>0.0</v>
      </c>
      <c r="N6" s="4">
        <v>0.0</v>
      </c>
      <c r="O6" s="4">
        <v>0.0</v>
      </c>
      <c r="P6" s="439">
        <v>0.0</v>
      </c>
      <c r="R6" s="436" t="s">
        <v>2645</v>
      </c>
      <c r="S6" s="29"/>
      <c r="T6" s="29"/>
      <c r="U6" s="29"/>
      <c r="V6" s="29"/>
      <c r="W6" s="29"/>
      <c r="X6" s="29"/>
      <c r="Y6" s="29"/>
      <c r="Z6" s="29"/>
      <c r="AA6" s="29"/>
      <c r="AB6" s="29"/>
      <c r="AC6" s="32"/>
    </row>
    <row r="7">
      <c r="A7" s="1"/>
      <c r="B7" s="441" t="s">
        <v>2649</v>
      </c>
      <c r="C7" s="438" t="s">
        <v>2650</v>
      </c>
      <c r="D7" s="4"/>
      <c r="E7" s="440">
        <v>4.0</v>
      </c>
      <c r="F7" s="4">
        <v>5.0</v>
      </c>
      <c r="G7" s="4">
        <v>3.0</v>
      </c>
      <c r="H7" s="298">
        <v>3.0</v>
      </c>
      <c r="I7" s="298">
        <v>0.0</v>
      </c>
      <c r="J7" s="4">
        <v>0.0</v>
      </c>
      <c r="K7" s="4">
        <v>0.0</v>
      </c>
      <c r="L7" s="4">
        <v>0.0</v>
      </c>
      <c r="M7" s="4">
        <v>0.0</v>
      </c>
      <c r="N7" s="4">
        <v>0.0</v>
      </c>
      <c r="O7" s="4">
        <v>0.0</v>
      </c>
      <c r="P7" s="439">
        <v>0.0</v>
      </c>
      <c r="R7" s="436" t="s">
        <v>2651</v>
      </c>
      <c r="S7" s="29"/>
      <c r="T7" s="29"/>
      <c r="U7" s="29"/>
      <c r="V7" s="29"/>
      <c r="W7" s="29"/>
      <c r="X7" s="29"/>
      <c r="Y7" s="29"/>
      <c r="Z7" s="29"/>
      <c r="AA7" s="29"/>
      <c r="AB7" s="29"/>
      <c r="AC7" s="32"/>
    </row>
    <row r="8">
      <c r="A8" s="1"/>
      <c r="B8" s="441" t="s">
        <v>2654</v>
      </c>
      <c r="C8" s="442" t="s">
        <v>2656</v>
      </c>
      <c r="D8" s="4"/>
      <c r="E8" s="440">
        <v>5.0</v>
      </c>
      <c r="F8" s="4">
        <v>5.0</v>
      </c>
      <c r="G8" s="4">
        <v>3.0</v>
      </c>
      <c r="H8" s="298">
        <v>3.0</v>
      </c>
      <c r="I8" s="298">
        <v>2.0</v>
      </c>
      <c r="J8" s="4">
        <v>0.0</v>
      </c>
      <c r="K8" s="4">
        <v>0.0</v>
      </c>
      <c r="L8" s="4">
        <v>0.0</v>
      </c>
      <c r="M8" s="4">
        <v>0.0</v>
      </c>
      <c r="N8" s="4">
        <v>0.0</v>
      </c>
      <c r="O8" s="4">
        <v>0.0</v>
      </c>
      <c r="P8" s="439">
        <v>0.0</v>
      </c>
      <c r="R8" s="436" t="s">
        <v>2658</v>
      </c>
      <c r="S8" s="29"/>
      <c r="T8" s="29"/>
      <c r="U8" s="29"/>
      <c r="V8" s="29"/>
      <c r="W8" s="29"/>
      <c r="X8" s="29"/>
      <c r="Y8" s="29"/>
      <c r="Z8" s="29"/>
      <c r="AA8" s="29"/>
      <c r="AB8" s="29"/>
      <c r="AC8" s="32"/>
    </row>
    <row r="9">
      <c r="A9" s="1"/>
      <c r="B9" s="443" t="s">
        <v>31</v>
      </c>
      <c r="C9" s="442" t="s">
        <v>2663</v>
      </c>
      <c r="D9" s="4"/>
      <c r="E9" s="440">
        <v>6.0</v>
      </c>
      <c r="F9" s="4">
        <v>5.0</v>
      </c>
      <c r="G9" s="4">
        <v>3.0</v>
      </c>
      <c r="H9" s="298">
        <v>3.0</v>
      </c>
      <c r="I9" s="298">
        <v>3.0</v>
      </c>
      <c r="J9" s="4">
        <v>0.0</v>
      </c>
      <c r="K9" s="4">
        <v>0.0</v>
      </c>
      <c r="L9" s="4">
        <v>0.0</v>
      </c>
      <c r="M9" s="4">
        <v>0.0</v>
      </c>
      <c r="N9" s="4">
        <v>0.0</v>
      </c>
      <c r="O9" s="4">
        <v>0.0</v>
      </c>
      <c r="P9" s="439">
        <v>0.0</v>
      </c>
      <c r="R9" s="436" t="s">
        <v>2666</v>
      </c>
      <c r="S9" s="29"/>
      <c r="T9" s="29"/>
      <c r="U9" s="29"/>
      <c r="V9" s="29"/>
      <c r="W9" s="29"/>
      <c r="X9" s="29"/>
      <c r="Y9" s="29"/>
      <c r="Z9" s="29"/>
      <c r="AA9" s="29"/>
      <c r="AB9" s="29"/>
      <c r="AC9" s="32"/>
    </row>
    <row r="10">
      <c r="A10" s="1"/>
      <c r="B10" s="443" t="s">
        <v>54</v>
      </c>
      <c r="C10" s="442" t="s">
        <v>58</v>
      </c>
      <c r="D10" s="4"/>
      <c r="E10" s="440">
        <v>7.0</v>
      </c>
      <c r="F10" s="4">
        <v>5.0</v>
      </c>
      <c r="G10" s="4">
        <v>3.0</v>
      </c>
      <c r="H10" s="298">
        <v>3.0</v>
      </c>
      <c r="I10" s="298">
        <v>3.0</v>
      </c>
      <c r="J10" s="298">
        <v>2.0</v>
      </c>
      <c r="K10" s="4">
        <v>0.0</v>
      </c>
      <c r="L10" s="4">
        <v>0.0</v>
      </c>
      <c r="M10" s="4">
        <v>0.0</v>
      </c>
      <c r="N10" s="4">
        <v>0.0</v>
      </c>
      <c r="O10" s="4">
        <v>0.0</v>
      </c>
      <c r="P10" s="439">
        <v>0.0</v>
      </c>
      <c r="R10" s="436" t="s">
        <v>2675</v>
      </c>
      <c r="S10" s="29"/>
      <c r="T10" s="29"/>
      <c r="U10" s="29"/>
      <c r="V10" s="29"/>
      <c r="W10" s="29"/>
      <c r="X10" s="29"/>
      <c r="Y10" s="29"/>
      <c r="Z10" s="29"/>
      <c r="AA10" s="29"/>
      <c r="AB10" s="29"/>
      <c r="AC10" s="32"/>
    </row>
    <row r="11">
      <c r="A11" s="444"/>
      <c r="B11" s="3"/>
      <c r="C11" s="3"/>
      <c r="D11" s="444"/>
      <c r="E11" s="440">
        <v>8.0</v>
      </c>
      <c r="F11" s="4">
        <v>5.0</v>
      </c>
      <c r="G11" s="4">
        <v>3.0</v>
      </c>
      <c r="H11" s="298">
        <v>3.0</v>
      </c>
      <c r="I11" s="298">
        <v>3.0</v>
      </c>
      <c r="J11" s="298">
        <v>3.0</v>
      </c>
      <c r="K11" s="4">
        <v>0.0</v>
      </c>
      <c r="L11" s="4">
        <v>0.0</v>
      </c>
      <c r="M11" s="4">
        <v>0.0</v>
      </c>
      <c r="N11" s="4">
        <v>0.0</v>
      </c>
      <c r="O11" s="4">
        <v>0.0</v>
      </c>
      <c r="P11" s="439">
        <v>0.0</v>
      </c>
      <c r="R11" s="436" t="s">
        <v>2685</v>
      </c>
      <c r="S11" s="29"/>
      <c r="T11" s="29"/>
      <c r="U11" s="29"/>
      <c r="V11" s="29"/>
      <c r="W11" s="29"/>
      <c r="X11" s="29"/>
      <c r="Y11" s="29"/>
      <c r="Z11" s="29"/>
      <c r="AA11" s="29"/>
      <c r="AB11" s="29"/>
      <c r="AC11" s="32"/>
    </row>
    <row r="12">
      <c r="A12" s="445"/>
      <c r="D12" s="444"/>
      <c r="E12" s="446">
        <v>9.0</v>
      </c>
      <c r="F12" s="4">
        <v>5.0</v>
      </c>
      <c r="G12" s="4">
        <v>3.0</v>
      </c>
      <c r="H12" s="298">
        <v>3.0</v>
      </c>
      <c r="I12" s="298">
        <v>3.0</v>
      </c>
      <c r="J12" s="298">
        <v>3.0</v>
      </c>
      <c r="K12" s="447">
        <v>2.0</v>
      </c>
      <c r="L12" s="4">
        <v>0.0</v>
      </c>
      <c r="M12" s="4">
        <v>0.0</v>
      </c>
      <c r="N12" s="4">
        <v>0.0</v>
      </c>
      <c r="O12" s="4">
        <v>0.0</v>
      </c>
      <c r="P12" s="439">
        <v>0.0</v>
      </c>
      <c r="Q12" s="444"/>
      <c r="R12" s="436" t="s">
        <v>2692</v>
      </c>
      <c r="S12" s="29"/>
      <c r="T12" s="29"/>
      <c r="U12" s="29"/>
      <c r="V12" s="29"/>
      <c r="W12" s="29"/>
      <c r="X12" s="29"/>
      <c r="Y12" s="29"/>
      <c r="Z12" s="29"/>
      <c r="AA12" s="29"/>
      <c r="AB12" s="29"/>
      <c r="AC12" s="32"/>
      <c r="AD12" s="444"/>
    </row>
    <row r="13">
      <c r="A13" s="447"/>
      <c r="B13" s="431" t="s">
        <v>2696</v>
      </c>
      <c r="C13" s="32"/>
      <c r="D13" s="444"/>
      <c r="E13" s="446">
        <v>10.0</v>
      </c>
      <c r="F13" s="4">
        <v>5.0</v>
      </c>
      <c r="G13" s="4">
        <v>3.0</v>
      </c>
      <c r="H13" s="298">
        <v>3.0</v>
      </c>
      <c r="I13" s="298">
        <v>3.0</v>
      </c>
      <c r="J13" s="298">
        <v>3.0</v>
      </c>
      <c r="K13" s="447">
        <v>3.0</v>
      </c>
      <c r="L13" s="4">
        <v>0.0</v>
      </c>
      <c r="M13" s="4">
        <v>0.0</v>
      </c>
      <c r="N13" s="4">
        <v>0.0</v>
      </c>
      <c r="O13" s="4">
        <v>0.0</v>
      </c>
      <c r="P13" s="439">
        <v>0.0</v>
      </c>
      <c r="Q13" s="444"/>
      <c r="R13" s="436" t="s">
        <v>2703</v>
      </c>
      <c r="S13" s="29"/>
      <c r="T13" s="29"/>
      <c r="U13" s="29"/>
      <c r="V13" s="29"/>
      <c r="W13" s="29"/>
      <c r="X13" s="29"/>
      <c r="Y13" s="29"/>
      <c r="Z13" s="29"/>
      <c r="AA13" s="29"/>
      <c r="AB13" s="29"/>
      <c r="AC13" s="32"/>
      <c r="AD13" s="444"/>
    </row>
    <row r="14">
      <c r="A14" s="447"/>
      <c r="B14" s="448" t="s">
        <v>119</v>
      </c>
      <c r="C14" s="449">
        <f>ROUNDDOWN(('Character Sheet'!$O$13-10)/2,0)</f>
        <v>0</v>
      </c>
      <c r="D14" s="444"/>
      <c r="E14" s="446">
        <v>11.0</v>
      </c>
      <c r="F14" s="4">
        <v>5.0</v>
      </c>
      <c r="G14" s="4">
        <v>3.0</v>
      </c>
      <c r="H14" s="298">
        <v>3.0</v>
      </c>
      <c r="I14" s="298">
        <v>3.0</v>
      </c>
      <c r="J14" s="298">
        <v>3.0</v>
      </c>
      <c r="K14" s="447">
        <v>3.0</v>
      </c>
      <c r="L14" s="447">
        <v>2.0</v>
      </c>
      <c r="M14" s="4">
        <v>0.0</v>
      </c>
      <c r="N14" s="4">
        <v>0.0</v>
      </c>
      <c r="O14" s="4">
        <v>0.0</v>
      </c>
      <c r="P14" s="439">
        <v>0.0</v>
      </c>
      <c r="Q14" s="444"/>
      <c r="R14" s="436" t="s">
        <v>2712</v>
      </c>
      <c r="S14" s="29"/>
      <c r="T14" s="29"/>
      <c r="U14" s="29"/>
      <c r="V14" s="29"/>
      <c r="W14" s="29"/>
      <c r="X14" s="29"/>
      <c r="Y14" s="29"/>
      <c r="Z14" s="29"/>
      <c r="AA14" s="29"/>
      <c r="AB14" s="29"/>
      <c r="AC14" s="32"/>
      <c r="AD14" s="444"/>
    </row>
    <row r="15">
      <c r="A15" s="447"/>
      <c r="B15" s="448" t="s">
        <v>93</v>
      </c>
      <c r="C15" s="449">
        <f>ROUNDDOWN(('Character Sheet'!$O$15-10)/2,0)</f>
        <v>0</v>
      </c>
      <c r="D15" s="444"/>
      <c r="E15" s="446">
        <v>12.0</v>
      </c>
      <c r="F15" s="4">
        <v>5.0</v>
      </c>
      <c r="G15" s="4">
        <v>3.0</v>
      </c>
      <c r="H15" s="298">
        <v>3.0</v>
      </c>
      <c r="I15" s="298">
        <v>3.0</v>
      </c>
      <c r="J15" s="298">
        <v>3.0</v>
      </c>
      <c r="K15" s="447">
        <v>3.0</v>
      </c>
      <c r="L15" s="447">
        <v>3.0</v>
      </c>
      <c r="M15" s="4">
        <v>0.0</v>
      </c>
      <c r="N15" s="4">
        <v>0.0</v>
      </c>
      <c r="O15" s="4">
        <v>0.0</v>
      </c>
      <c r="P15" s="439">
        <v>0.0</v>
      </c>
      <c r="Q15" s="444"/>
      <c r="R15" s="436" t="s">
        <v>2722</v>
      </c>
      <c r="S15" s="29"/>
      <c r="T15" s="29"/>
      <c r="U15" s="29"/>
      <c r="V15" s="29"/>
      <c r="W15" s="29"/>
      <c r="X15" s="29"/>
      <c r="Y15" s="29"/>
      <c r="Z15" s="29"/>
      <c r="AA15" s="29"/>
      <c r="AB15" s="29"/>
      <c r="AC15" s="32"/>
      <c r="AD15" s="444"/>
    </row>
    <row r="16">
      <c r="A16" s="447"/>
      <c r="B16" s="448" t="s">
        <v>151</v>
      </c>
      <c r="C16" s="449">
        <f>ROUNDDOWN(('Character Sheet'!$O$17-10)/2,0)</f>
        <v>0</v>
      </c>
      <c r="D16" s="444"/>
      <c r="E16" s="446">
        <v>13.0</v>
      </c>
      <c r="F16" s="4">
        <v>5.0</v>
      </c>
      <c r="G16" s="4">
        <v>3.0</v>
      </c>
      <c r="H16" s="298">
        <v>3.0</v>
      </c>
      <c r="I16" s="298">
        <v>3.0</v>
      </c>
      <c r="J16" s="298">
        <v>3.0</v>
      </c>
      <c r="K16" s="447">
        <v>3.0</v>
      </c>
      <c r="L16" s="447">
        <v>3.0</v>
      </c>
      <c r="M16" s="447">
        <v>2.0</v>
      </c>
      <c r="N16" s="4">
        <v>0.0</v>
      </c>
      <c r="O16" s="4">
        <v>0.0</v>
      </c>
      <c r="P16" s="439">
        <v>0.0</v>
      </c>
      <c r="Q16" s="444"/>
      <c r="AD16" s="444"/>
    </row>
    <row r="17">
      <c r="A17" s="447"/>
      <c r="B17" s="448" t="s">
        <v>176</v>
      </c>
      <c r="C17" s="449">
        <f>ROUNDDOWN(('Character Sheet'!$V$13-10)/2,0)</f>
        <v>0</v>
      </c>
      <c r="D17" s="444"/>
      <c r="E17" s="446">
        <v>14.0</v>
      </c>
      <c r="F17" s="4">
        <v>5.0</v>
      </c>
      <c r="G17" s="4">
        <v>3.0</v>
      </c>
      <c r="H17" s="298">
        <v>3.0</v>
      </c>
      <c r="I17" s="298">
        <v>3.0</v>
      </c>
      <c r="J17" s="298">
        <v>3.0</v>
      </c>
      <c r="K17" s="447">
        <v>3.0</v>
      </c>
      <c r="L17" s="447">
        <v>3.0</v>
      </c>
      <c r="M17" s="447">
        <v>3.0</v>
      </c>
      <c r="N17" s="4">
        <v>0.0</v>
      </c>
      <c r="O17" s="4">
        <v>0.0</v>
      </c>
      <c r="P17" s="439">
        <v>0.0</v>
      </c>
      <c r="Q17" s="444"/>
      <c r="AD17" s="444"/>
    </row>
    <row r="18">
      <c r="A18" s="447"/>
      <c r="B18" s="448" t="s">
        <v>59</v>
      </c>
      <c r="C18" s="449">
        <f>ROUNDDOWN(('Character Sheet'!$V$15-10)/2,0)</f>
        <v>0</v>
      </c>
      <c r="D18" s="447"/>
      <c r="E18" s="446">
        <v>15.0</v>
      </c>
      <c r="F18" s="4">
        <v>5.0</v>
      </c>
      <c r="G18" s="4">
        <v>3.0</v>
      </c>
      <c r="H18" s="298">
        <v>3.0</v>
      </c>
      <c r="I18" s="298">
        <v>3.0</v>
      </c>
      <c r="J18" s="298">
        <v>3.0</v>
      </c>
      <c r="K18" s="447">
        <v>3.0</v>
      </c>
      <c r="L18" s="447">
        <v>3.0</v>
      </c>
      <c r="M18" s="447">
        <v>3.0</v>
      </c>
      <c r="N18" s="447">
        <v>2.0</v>
      </c>
      <c r="O18" s="4">
        <v>0.0</v>
      </c>
      <c r="P18" s="439">
        <v>0.0</v>
      </c>
      <c r="Q18" s="447"/>
      <c r="AD18" s="447"/>
    </row>
    <row r="19">
      <c r="A19" s="447"/>
      <c r="B19" s="448" t="s">
        <v>199</v>
      </c>
      <c r="C19" s="449">
        <f>ROUNDDOWN(('Character Sheet'!$V$17-10)/2,0)</f>
        <v>0</v>
      </c>
      <c r="D19" s="447"/>
      <c r="E19" s="446">
        <v>16.0</v>
      </c>
      <c r="F19" s="4">
        <v>5.0</v>
      </c>
      <c r="G19" s="4">
        <v>3.0</v>
      </c>
      <c r="H19" s="298">
        <v>3.0</v>
      </c>
      <c r="I19" s="298">
        <v>3.0</v>
      </c>
      <c r="J19" s="298">
        <v>3.0</v>
      </c>
      <c r="K19" s="447">
        <v>3.0</v>
      </c>
      <c r="L19" s="447">
        <v>3.0</v>
      </c>
      <c r="M19" s="447">
        <v>3.0</v>
      </c>
      <c r="N19" s="447">
        <v>3.0</v>
      </c>
      <c r="O19" s="4">
        <v>0.0</v>
      </c>
      <c r="P19" s="439">
        <v>0.0</v>
      </c>
      <c r="Q19" s="447"/>
      <c r="AD19" s="447"/>
    </row>
    <row r="20">
      <c r="A20" s="447"/>
      <c r="B20" s="7"/>
      <c r="C20" s="450"/>
      <c r="D20" s="447"/>
      <c r="E20" s="446">
        <v>17.0</v>
      </c>
      <c r="F20" s="4">
        <v>5.0</v>
      </c>
      <c r="G20" s="4">
        <v>3.0</v>
      </c>
      <c r="H20" s="298">
        <v>3.0</v>
      </c>
      <c r="I20" s="298">
        <v>3.0</v>
      </c>
      <c r="J20" s="298">
        <v>3.0</v>
      </c>
      <c r="K20" s="447">
        <v>3.0</v>
      </c>
      <c r="L20" s="447">
        <v>3.0</v>
      </c>
      <c r="M20" s="447">
        <v>3.0</v>
      </c>
      <c r="N20" s="447">
        <v>3.0</v>
      </c>
      <c r="O20" s="447">
        <v>2.0</v>
      </c>
      <c r="P20" s="439">
        <v>0.0</v>
      </c>
      <c r="Q20" s="447"/>
      <c r="AD20" s="447"/>
    </row>
    <row r="21">
      <c r="A21" s="447"/>
      <c r="B21" s="7"/>
      <c r="C21" s="450"/>
      <c r="D21" s="447"/>
      <c r="E21" s="446">
        <v>18.0</v>
      </c>
      <c r="F21" s="4">
        <v>5.0</v>
      </c>
      <c r="G21" s="4">
        <v>3.0</v>
      </c>
      <c r="H21" s="298">
        <v>3.0</v>
      </c>
      <c r="I21" s="298">
        <v>3.0</v>
      </c>
      <c r="J21" s="298">
        <v>3.0</v>
      </c>
      <c r="K21" s="447">
        <v>3.0</v>
      </c>
      <c r="L21" s="447">
        <v>3.0</v>
      </c>
      <c r="M21" s="447">
        <v>3.0</v>
      </c>
      <c r="N21" s="447">
        <v>3.0</v>
      </c>
      <c r="O21" s="447">
        <v>3.0</v>
      </c>
      <c r="P21" s="439">
        <v>0.0</v>
      </c>
      <c r="Q21" s="447"/>
      <c r="AD21" s="447"/>
    </row>
    <row r="22">
      <c r="A22" s="447"/>
      <c r="B22" s="434" t="s">
        <v>18</v>
      </c>
      <c r="C22" s="451" t="s">
        <v>2745</v>
      </c>
      <c r="D22" s="447"/>
      <c r="E22" s="446">
        <v>19.0</v>
      </c>
      <c r="F22" s="4">
        <v>5.0</v>
      </c>
      <c r="G22" s="4">
        <v>3.0</v>
      </c>
      <c r="H22" s="298">
        <v>3.0</v>
      </c>
      <c r="I22" s="298">
        <v>3.0</v>
      </c>
      <c r="J22" s="298">
        <v>3.0</v>
      </c>
      <c r="K22" s="447">
        <v>3.0</v>
      </c>
      <c r="L22" s="447">
        <v>3.0</v>
      </c>
      <c r="M22" s="447">
        <v>3.0</v>
      </c>
      <c r="N22" s="447">
        <v>3.0</v>
      </c>
      <c r="O22" s="447">
        <v>3.0</v>
      </c>
      <c r="P22" s="452">
        <v>1.0</v>
      </c>
      <c r="Q22" s="447"/>
      <c r="AD22" s="447"/>
    </row>
    <row r="23">
      <c r="A23" s="447"/>
      <c r="B23" s="438" t="s">
        <v>2748</v>
      </c>
      <c r="C23" s="453">
        <v>10.0</v>
      </c>
      <c r="D23" s="447"/>
      <c r="E23" s="440">
        <v>20.0</v>
      </c>
      <c r="F23" s="454">
        <v>5.0</v>
      </c>
      <c r="G23" s="454">
        <v>3.0</v>
      </c>
      <c r="H23" s="343">
        <v>3.0</v>
      </c>
      <c r="I23" s="343">
        <v>3.0</v>
      </c>
      <c r="J23" s="343">
        <v>3.0</v>
      </c>
      <c r="K23" s="455">
        <v>3.0</v>
      </c>
      <c r="L23" s="455">
        <v>3.0</v>
      </c>
      <c r="M23" s="455">
        <v>3.0</v>
      </c>
      <c r="N23" s="455">
        <v>3.0</v>
      </c>
      <c r="O23" s="455">
        <v>3.0</v>
      </c>
      <c r="P23" s="456">
        <v>1.0</v>
      </c>
    </row>
    <row r="24">
      <c r="A24" s="447"/>
      <c r="B24" s="438" t="s">
        <v>2761</v>
      </c>
      <c r="C24" s="453">
        <v>6.0</v>
      </c>
      <c r="D24" s="447"/>
    </row>
    <row r="25">
      <c r="A25" s="447"/>
      <c r="B25" s="438" t="s">
        <v>28</v>
      </c>
      <c r="C25" s="453">
        <v>8.0</v>
      </c>
      <c r="D25" s="447"/>
      <c r="E25" s="432" t="s">
        <v>2762</v>
      </c>
      <c r="F25" s="29"/>
      <c r="G25" s="29"/>
      <c r="H25" s="29"/>
      <c r="I25" s="29"/>
      <c r="J25" s="29"/>
      <c r="K25" s="29"/>
      <c r="L25" s="29"/>
      <c r="M25" s="29"/>
      <c r="N25" s="29"/>
      <c r="O25" s="29"/>
      <c r="P25" s="32"/>
      <c r="Q25" s="4"/>
      <c r="R25" s="432" t="s">
        <v>2703</v>
      </c>
      <c r="S25" s="29"/>
      <c r="T25" s="29"/>
      <c r="U25" s="29"/>
      <c r="V25" s="29"/>
      <c r="W25" s="29"/>
      <c r="X25" s="29"/>
      <c r="Y25" s="29"/>
      <c r="Z25" s="29"/>
      <c r="AA25" s="29"/>
      <c r="AB25" s="29"/>
      <c r="AC25" s="32"/>
      <c r="AD25" s="4"/>
    </row>
    <row r="26">
      <c r="A26" s="447"/>
      <c r="B26" s="438" t="s">
        <v>2766</v>
      </c>
      <c r="C26" s="453">
        <v>6.0</v>
      </c>
      <c r="D26" s="447"/>
      <c r="E26" s="435" t="s">
        <v>2606</v>
      </c>
      <c r="F26" s="435">
        <v>0.0</v>
      </c>
      <c r="G26" s="435">
        <v>1.0</v>
      </c>
      <c r="H26" s="435">
        <v>2.0</v>
      </c>
      <c r="I26" s="435">
        <v>3.0</v>
      </c>
      <c r="J26" s="435">
        <v>4.0</v>
      </c>
      <c r="K26" s="435">
        <v>5.0</v>
      </c>
      <c r="L26" s="435">
        <v>6.0</v>
      </c>
      <c r="M26" s="435">
        <v>7.0</v>
      </c>
      <c r="N26" s="435">
        <v>8.0</v>
      </c>
      <c r="O26" s="435">
        <v>9.0</v>
      </c>
      <c r="P26" s="435">
        <v>10.0</v>
      </c>
      <c r="R26" s="435" t="s">
        <v>2606</v>
      </c>
      <c r="S26" s="435">
        <v>0.0</v>
      </c>
      <c r="T26" s="435">
        <v>1.0</v>
      </c>
      <c r="U26" s="435">
        <v>2.0</v>
      </c>
      <c r="V26" s="435">
        <v>3.0</v>
      </c>
      <c r="W26" s="435">
        <v>4.0</v>
      </c>
      <c r="X26" s="435">
        <v>5.0</v>
      </c>
      <c r="Y26" s="435">
        <v>6.0</v>
      </c>
      <c r="Z26" s="435">
        <v>7.0</v>
      </c>
      <c r="AA26" s="435">
        <v>8.0</v>
      </c>
      <c r="AB26" s="435">
        <v>9.0</v>
      </c>
      <c r="AC26" s="435">
        <v>10.0</v>
      </c>
    </row>
    <row r="27">
      <c r="A27" s="447"/>
      <c r="B27" s="438" t="s">
        <v>2768</v>
      </c>
      <c r="C27" s="453">
        <v>6.0</v>
      </c>
      <c r="D27" s="447"/>
      <c r="E27" s="435">
        <v>1.0</v>
      </c>
      <c r="F27" s="298">
        <v>5.0</v>
      </c>
      <c r="G27" s="298">
        <v>1.0</v>
      </c>
      <c r="H27" s="298">
        <v>0.0</v>
      </c>
      <c r="I27" s="298">
        <v>0.0</v>
      </c>
      <c r="J27" s="298">
        <v>0.0</v>
      </c>
      <c r="K27" s="298">
        <v>0.0</v>
      </c>
      <c r="L27" s="298">
        <v>0.0</v>
      </c>
      <c r="M27" s="298">
        <v>0.0</v>
      </c>
      <c r="N27" s="298">
        <v>0.0</v>
      </c>
      <c r="O27" s="298">
        <v>0.0</v>
      </c>
      <c r="P27" s="457">
        <v>0.0</v>
      </c>
      <c r="R27" s="435">
        <v>1.0</v>
      </c>
      <c r="S27" s="4">
        <v>2.0</v>
      </c>
      <c r="T27" s="4">
        <v>0.0</v>
      </c>
      <c r="U27" s="4">
        <v>0.0</v>
      </c>
      <c r="V27" s="4">
        <v>0.0</v>
      </c>
      <c r="W27" s="4">
        <v>0.0</v>
      </c>
      <c r="X27" s="4">
        <v>0.0</v>
      </c>
      <c r="Y27" s="4">
        <v>0.0</v>
      </c>
      <c r="Z27" s="4">
        <v>0.0</v>
      </c>
      <c r="AA27" s="4">
        <v>0.0</v>
      </c>
      <c r="AB27" s="4">
        <v>0.0</v>
      </c>
      <c r="AC27" s="439">
        <v>0.0</v>
      </c>
    </row>
    <row r="28">
      <c r="A28" s="447"/>
      <c r="B28" s="438" t="s">
        <v>2771</v>
      </c>
      <c r="C28" s="453">
        <v>8.0</v>
      </c>
      <c r="D28" s="447"/>
      <c r="E28" s="435">
        <v>2.0</v>
      </c>
      <c r="F28" s="298">
        <v>5.0</v>
      </c>
      <c r="G28" s="298">
        <v>2.0</v>
      </c>
      <c r="H28" s="298">
        <v>0.0</v>
      </c>
      <c r="I28" s="298">
        <v>0.0</v>
      </c>
      <c r="J28" s="298">
        <v>0.0</v>
      </c>
      <c r="K28" s="298">
        <v>0.0</v>
      </c>
      <c r="L28" s="298">
        <v>0.0</v>
      </c>
      <c r="M28" s="298">
        <v>0.0</v>
      </c>
      <c r="N28" s="298">
        <v>0.0</v>
      </c>
      <c r="O28" s="298">
        <v>0.0</v>
      </c>
      <c r="P28" s="457">
        <v>0.0</v>
      </c>
      <c r="R28" s="435">
        <v>2.0</v>
      </c>
      <c r="S28" s="4">
        <v>2.0</v>
      </c>
      <c r="T28" s="4">
        <v>0.0</v>
      </c>
      <c r="U28" s="4">
        <v>0.0</v>
      </c>
      <c r="V28" s="4">
        <v>0.0</v>
      </c>
      <c r="W28" s="4">
        <v>0.0</v>
      </c>
      <c r="X28" s="4">
        <v>0.0</v>
      </c>
      <c r="Y28" s="4">
        <v>0.0</v>
      </c>
      <c r="Z28" s="4">
        <v>0.0</v>
      </c>
      <c r="AA28" s="4">
        <v>0.0</v>
      </c>
      <c r="AB28" s="4">
        <v>0.0</v>
      </c>
      <c r="AC28" s="439">
        <v>0.0</v>
      </c>
    </row>
    <row r="29">
      <c r="A29" s="447"/>
      <c r="B29" s="438" t="s">
        <v>2775</v>
      </c>
      <c r="C29" s="453">
        <v>8.0</v>
      </c>
      <c r="D29" s="447"/>
      <c r="E29" s="440">
        <v>3.0</v>
      </c>
      <c r="F29" s="298">
        <v>5.0</v>
      </c>
      <c r="G29" s="458">
        <v>2.0</v>
      </c>
      <c r="H29" s="458">
        <v>1.0</v>
      </c>
      <c r="I29" s="298">
        <v>0.0</v>
      </c>
      <c r="J29" s="298">
        <v>0.0</v>
      </c>
      <c r="K29" s="298">
        <v>0.0</v>
      </c>
      <c r="L29" s="298">
        <v>0.0</v>
      </c>
      <c r="M29" s="298">
        <v>0.0</v>
      </c>
      <c r="N29" s="298">
        <v>0.0</v>
      </c>
      <c r="O29" s="298">
        <v>0.0</v>
      </c>
      <c r="P29" s="457">
        <v>0.0</v>
      </c>
      <c r="Q29" s="447"/>
      <c r="R29" s="459">
        <v>3.0</v>
      </c>
      <c r="S29" s="4">
        <v>2.0</v>
      </c>
      <c r="T29" s="4">
        <v>0.0</v>
      </c>
      <c r="U29" s="4">
        <v>0.0</v>
      </c>
      <c r="V29" s="460">
        <v>0.0</v>
      </c>
      <c r="W29" s="4">
        <v>0.0</v>
      </c>
      <c r="X29" s="4">
        <v>0.0</v>
      </c>
      <c r="Y29" s="4">
        <v>0.0</v>
      </c>
      <c r="Z29" s="4">
        <v>0.0</v>
      </c>
      <c r="AA29" s="4">
        <v>0.0</v>
      </c>
      <c r="AB29" s="4">
        <v>0.0</v>
      </c>
      <c r="AC29" s="439">
        <v>0.0</v>
      </c>
      <c r="AD29" s="447"/>
    </row>
    <row r="30">
      <c r="A30" s="447"/>
      <c r="B30" s="438" t="s">
        <v>2779</v>
      </c>
      <c r="C30" s="453">
        <v>6.0</v>
      </c>
      <c r="D30" s="447"/>
      <c r="E30" s="440">
        <v>4.0</v>
      </c>
      <c r="F30" s="298">
        <v>5.0</v>
      </c>
      <c r="G30" s="458">
        <v>2.0</v>
      </c>
      <c r="H30" s="458">
        <v>2.0</v>
      </c>
      <c r="I30" s="298">
        <v>0.0</v>
      </c>
      <c r="J30" s="298">
        <v>0.0</v>
      </c>
      <c r="K30" s="298">
        <v>0.0</v>
      </c>
      <c r="L30" s="298">
        <v>0.0</v>
      </c>
      <c r="M30" s="298">
        <v>0.0</v>
      </c>
      <c r="N30" s="298">
        <v>0.0</v>
      </c>
      <c r="O30" s="298">
        <v>0.0</v>
      </c>
      <c r="P30" s="457">
        <v>0.0</v>
      </c>
      <c r="Q30" s="447"/>
      <c r="R30" s="459">
        <v>4.0</v>
      </c>
      <c r="S30" s="4">
        <v>2.0</v>
      </c>
      <c r="T30" s="4">
        <v>1.0</v>
      </c>
      <c r="U30" s="4">
        <v>0.0</v>
      </c>
      <c r="V30" s="460">
        <v>0.0</v>
      </c>
      <c r="W30" s="4">
        <v>0.0</v>
      </c>
      <c r="X30" s="4">
        <v>0.0</v>
      </c>
      <c r="Y30" s="4">
        <v>0.0</v>
      </c>
      <c r="Z30" s="4">
        <v>0.0</v>
      </c>
      <c r="AA30" s="4">
        <v>0.0</v>
      </c>
      <c r="AB30" s="4">
        <v>0.0</v>
      </c>
      <c r="AC30" s="439">
        <v>0.0</v>
      </c>
      <c r="AD30" s="447"/>
    </row>
    <row r="31">
      <c r="A31" s="447"/>
      <c r="B31" s="438" t="s">
        <v>2781</v>
      </c>
      <c r="C31" s="453">
        <v>10.0</v>
      </c>
      <c r="D31" s="447"/>
      <c r="E31" s="440">
        <v>5.0</v>
      </c>
      <c r="F31" s="298">
        <v>5.0</v>
      </c>
      <c r="G31" s="458">
        <v>0.0</v>
      </c>
      <c r="H31" s="458">
        <v>2.0</v>
      </c>
      <c r="I31" s="458">
        <v>2.0</v>
      </c>
      <c r="J31" s="298">
        <v>0.0</v>
      </c>
      <c r="K31" s="298">
        <v>0.0</v>
      </c>
      <c r="L31" s="298">
        <v>0.0</v>
      </c>
      <c r="M31" s="298">
        <v>0.0</v>
      </c>
      <c r="N31" s="298">
        <v>0.0</v>
      </c>
      <c r="O31" s="298">
        <v>0.0</v>
      </c>
      <c r="P31" s="457">
        <v>0.0</v>
      </c>
      <c r="Q31" s="447"/>
      <c r="R31" s="459">
        <v>5.0</v>
      </c>
      <c r="S31" s="4">
        <v>2.0</v>
      </c>
      <c r="T31" s="4">
        <v>1.0</v>
      </c>
      <c r="U31" s="4">
        <v>0.0</v>
      </c>
      <c r="V31" s="460">
        <v>0.0</v>
      </c>
      <c r="W31" s="4">
        <v>0.0</v>
      </c>
      <c r="X31" s="4">
        <v>0.0</v>
      </c>
      <c r="Y31" s="4">
        <v>0.0</v>
      </c>
      <c r="Z31" s="4">
        <v>0.0</v>
      </c>
      <c r="AA31" s="4">
        <v>0.0</v>
      </c>
      <c r="AB31" s="4">
        <v>0.0</v>
      </c>
      <c r="AC31" s="439">
        <v>0.0</v>
      </c>
      <c r="AD31" s="447"/>
    </row>
    <row r="32">
      <c r="A32" s="447"/>
      <c r="B32" s="438" t="s">
        <v>2785</v>
      </c>
      <c r="C32" s="453">
        <v>6.0</v>
      </c>
      <c r="D32" s="447"/>
      <c r="E32" s="440">
        <v>6.0</v>
      </c>
      <c r="F32" s="298">
        <v>5.0</v>
      </c>
      <c r="G32" s="458">
        <v>0.0</v>
      </c>
      <c r="H32" s="458">
        <v>2.0</v>
      </c>
      <c r="I32" s="458">
        <v>2.0</v>
      </c>
      <c r="J32" s="298">
        <v>0.0</v>
      </c>
      <c r="K32" s="298">
        <v>0.0</v>
      </c>
      <c r="L32" s="298">
        <v>0.0</v>
      </c>
      <c r="M32" s="298">
        <v>0.0</v>
      </c>
      <c r="N32" s="298">
        <v>0.0</v>
      </c>
      <c r="O32" s="298">
        <v>0.0</v>
      </c>
      <c r="P32" s="457">
        <v>0.0</v>
      </c>
      <c r="Q32" s="447"/>
      <c r="R32" s="459">
        <v>6.0</v>
      </c>
      <c r="S32" s="4">
        <v>2.0</v>
      </c>
      <c r="T32" s="4">
        <v>1.0</v>
      </c>
      <c r="U32" s="4">
        <v>1.0</v>
      </c>
      <c r="V32" s="460">
        <v>0.0</v>
      </c>
      <c r="W32" s="4">
        <v>0.0</v>
      </c>
      <c r="X32" s="4">
        <v>0.0</v>
      </c>
      <c r="Y32" s="4">
        <v>0.0</v>
      </c>
      <c r="Z32" s="4">
        <v>0.0</v>
      </c>
      <c r="AA32" s="4">
        <v>0.0</v>
      </c>
      <c r="AB32" s="4">
        <v>0.0</v>
      </c>
      <c r="AC32" s="439">
        <v>0.0</v>
      </c>
      <c r="AD32" s="447"/>
    </row>
    <row r="33">
      <c r="A33" s="447"/>
      <c r="B33" s="438" t="s">
        <v>1294</v>
      </c>
      <c r="C33" s="453">
        <v>0.0</v>
      </c>
      <c r="D33" s="447"/>
      <c r="E33" s="440">
        <v>7.0</v>
      </c>
      <c r="F33" s="298">
        <v>5.0</v>
      </c>
      <c r="G33" s="458">
        <v>0.0</v>
      </c>
      <c r="H33" s="458">
        <v>0.0</v>
      </c>
      <c r="I33" s="458">
        <v>2.0</v>
      </c>
      <c r="J33" s="458">
        <v>2.0</v>
      </c>
      <c r="K33" s="298">
        <v>0.0</v>
      </c>
      <c r="L33" s="298">
        <v>0.0</v>
      </c>
      <c r="M33" s="298">
        <v>0.0</v>
      </c>
      <c r="N33" s="298">
        <v>0.0</v>
      </c>
      <c r="O33" s="298">
        <v>0.0</v>
      </c>
      <c r="P33" s="457">
        <v>0.0</v>
      </c>
      <c r="Q33" s="447"/>
      <c r="R33" s="459">
        <v>7.0</v>
      </c>
      <c r="S33" s="4">
        <v>2.0</v>
      </c>
      <c r="T33" s="4">
        <v>1.0</v>
      </c>
      <c r="U33" s="4">
        <v>1.0</v>
      </c>
      <c r="V33" s="460">
        <v>0.0</v>
      </c>
      <c r="W33" s="4">
        <v>0.0</v>
      </c>
      <c r="X33" s="4">
        <v>0.0</v>
      </c>
      <c r="Y33" s="4">
        <v>0.0</v>
      </c>
      <c r="Z33" s="4">
        <v>0.0</v>
      </c>
      <c r="AA33" s="4">
        <v>0.0</v>
      </c>
      <c r="AB33" s="4">
        <v>0.0</v>
      </c>
      <c r="AC33" s="439">
        <v>0.0</v>
      </c>
      <c r="AD33" s="447"/>
    </row>
    <row r="34">
      <c r="A34" s="447"/>
      <c r="B34" s="7"/>
      <c r="C34" s="450"/>
      <c r="D34" s="447"/>
      <c r="E34" s="440">
        <v>8.0</v>
      </c>
      <c r="F34" s="298">
        <v>5.0</v>
      </c>
      <c r="G34" s="458">
        <v>0.0</v>
      </c>
      <c r="H34" s="298">
        <v>0.0</v>
      </c>
      <c r="I34" s="298">
        <v>2.0</v>
      </c>
      <c r="J34" s="298">
        <v>2.0</v>
      </c>
      <c r="K34" s="298">
        <v>0.0</v>
      </c>
      <c r="L34" s="298">
        <v>0.0</v>
      </c>
      <c r="M34" s="298">
        <v>0.0</v>
      </c>
      <c r="N34" s="298">
        <v>0.0</v>
      </c>
      <c r="O34" s="298">
        <v>0.0</v>
      </c>
      <c r="P34" s="457">
        <v>0.0</v>
      </c>
      <c r="R34" s="459">
        <v>8.0</v>
      </c>
      <c r="S34" s="4">
        <v>2.0</v>
      </c>
      <c r="T34" s="4">
        <v>1.0</v>
      </c>
      <c r="U34" s="4">
        <v>1.0</v>
      </c>
      <c r="V34" s="460">
        <v>1.0</v>
      </c>
      <c r="W34" s="4">
        <v>0.0</v>
      </c>
      <c r="X34" s="4">
        <v>0.0</v>
      </c>
      <c r="Y34" s="4">
        <v>0.0</v>
      </c>
      <c r="Z34" s="4">
        <v>0.0</v>
      </c>
      <c r="AA34" s="4">
        <v>0.0</v>
      </c>
      <c r="AB34" s="4">
        <v>0.0</v>
      </c>
      <c r="AC34" s="439">
        <v>0.0</v>
      </c>
    </row>
    <row r="35">
      <c r="A35" s="447"/>
      <c r="B35" s="7"/>
      <c r="C35" s="450"/>
      <c r="D35" s="447"/>
      <c r="E35" s="446">
        <v>9.0</v>
      </c>
      <c r="F35" s="298">
        <v>5.0</v>
      </c>
      <c r="G35" s="458">
        <v>0.0</v>
      </c>
      <c r="H35" s="458">
        <v>0.0</v>
      </c>
      <c r="I35" s="458">
        <v>0.0</v>
      </c>
      <c r="J35" s="461">
        <v>2.0</v>
      </c>
      <c r="K35" s="461">
        <v>2.0</v>
      </c>
      <c r="L35" s="461">
        <v>0.0</v>
      </c>
      <c r="M35" s="298">
        <v>0.0</v>
      </c>
      <c r="N35" s="298">
        <v>0.0</v>
      </c>
      <c r="O35" s="298">
        <v>0.0</v>
      </c>
      <c r="P35" s="457">
        <v>0.0</v>
      </c>
      <c r="Q35" s="4"/>
      <c r="R35" s="446">
        <v>9.0</v>
      </c>
      <c r="S35" s="4">
        <v>2.0</v>
      </c>
      <c r="T35" s="4">
        <v>1.0</v>
      </c>
      <c r="U35" s="4">
        <v>1.0</v>
      </c>
      <c r="V35" s="460">
        <v>1.0</v>
      </c>
      <c r="W35" s="4">
        <v>0.0</v>
      </c>
      <c r="X35" s="4">
        <v>0.0</v>
      </c>
      <c r="Y35" s="4">
        <v>0.0</v>
      </c>
      <c r="Z35" s="4">
        <v>0.0</v>
      </c>
      <c r="AA35" s="4">
        <v>0.0</v>
      </c>
      <c r="AB35" s="4">
        <v>0.0</v>
      </c>
      <c r="AC35" s="439">
        <v>0.0</v>
      </c>
      <c r="AD35" s="4"/>
    </row>
    <row r="36">
      <c r="A36" s="447"/>
      <c r="B36" s="434" t="s">
        <v>48</v>
      </c>
      <c r="C36" s="451" t="s">
        <v>2745</v>
      </c>
      <c r="D36" s="447"/>
      <c r="E36" s="446">
        <v>10.0</v>
      </c>
      <c r="F36" s="298">
        <v>5.0</v>
      </c>
      <c r="G36" s="458">
        <v>0.0</v>
      </c>
      <c r="H36" s="458">
        <v>0.0</v>
      </c>
      <c r="I36" s="458">
        <v>0.0</v>
      </c>
      <c r="J36" s="461">
        <v>2.0</v>
      </c>
      <c r="K36" s="461">
        <v>2.0</v>
      </c>
      <c r="L36" s="461">
        <v>0.0</v>
      </c>
      <c r="M36" s="298">
        <v>0.0</v>
      </c>
      <c r="N36" s="298">
        <v>0.0</v>
      </c>
      <c r="O36" s="298">
        <v>0.0</v>
      </c>
      <c r="P36" s="457">
        <v>0.0</v>
      </c>
      <c r="Q36" s="4"/>
      <c r="R36" s="446">
        <v>10.0</v>
      </c>
      <c r="S36" s="4">
        <v>2.0</v>
      </c>
      <c r="T36" s="4">
        <v>1.0</v>
      </c>
      <c r="U36" s="4">
        <v>1.0</v>
      </c>
      <c r="V36" s="460">
        <v>1.0</v>
      </c>
      <c r="W36" s="4">
        <v>0.0</v>
      </c>
      <c r="X36" s="4">
        <v>0.0</v>
      </c>
      <c r="Y36" s="4">
        <v>0.0</v>
      </c>
      <c r="Z36" s="4">
        <v>0.0</v>
      </c>
      <c r="AA36" s="4">
        <v>0.0</v>
      </c>
      <c r="AB36" s="4">
        <v>0.0</v>
      </c>
      <c r="AC36" s="439">
        <v>0.0</v>
      </c>
      <c r="AD36" s="4"/>
    </row>
    <row r="37">
      <c r="A37" s="447"/>
      <c r="B37" s="448" t="s">
        <v>2794</v>
      </c>
      <c r="C37" s="462">
        <v>8.0</v>
      </c>
      <c r="D37" s="447"/>
      <c r="E37" s="446">
        <v>11.0</v>
      </c>
      <c r="F37" s="298">
        <v>5.0</v>
      </c>
      <c r="G37" s="458">
        <v>0.0</v>
      </c>
      <c r="H37" s="458">
        <v>0.0</v>
      </c>
      <c r="I37" s="458">
        <v>0.0</v>
      </c>
      <c r="J37" s="461">
        <v>0.0</v>
      </c>
      <c r="K37" s="461">
        <v>2.0</v>
      </c>
      <c r="L37" s="461">
        <v>2.0</v>
      </c>
      <c r="M37" s="298">
        <v>0.0</v>
      </c>
      <c r="N37" s="298">
        <v>0.0</v>
      </c>
      <c r="O37" s="298">
        <v>0.0</v>
      </c>
      <c r="P37" s="457">
        <v>0.0</v>
      </c>
      <c r="Q37" s="4"/>
      <c r="R37" s="446">
        <v>11.0</v>
      </c>
      <c r="S37" s="4">
        <v>2.0</v>
      </c>
      <c r="T37" s="4">
        <v>1.0</v>
      </c>
      <c r="U37" s="4">
        <v>1.0</v>
      </c>
      <c r="V37" s="460">
        <v>1.0</v>
      </c>
      <c r="W37" s="4">
        <v>0.0</v>
      </c>
      <c r="X37" s="4">
        <v>0.0</v>
      </c>
      <c r="Y37" s="4">
        <v>0.0</v>
      </c>
      <c r="Z37" s="4">
        <v>0.0</v>
      </c>
      <c r="AA37" s="4">
        <v>0.0</v>
      </c>
      <c r="AB37" s="4">
        <v>0.0</v>
      </c>
      <c r="AC37" s="439">
        <v>0.0</v>
      </c>
      <c r="AD37" s="4"/>
    </row>
    <row r="38">
      <c r="A38" s="447"/>
      <c r="B38" s="438" t="s">
        <v>2804</v>
      </c>
      <c r="C38" s="453">
        <v>12.0</v>
      </c>
      <c r="D38" s="447"/>
      <c r="E38" s="446">
        <v>12.0</v>
      </c>
      <c r="F38" s="298">
        <v>5.0</v>
      </c>
      <c r="G38" s="458">
        <v>0.0</v>
      </c>
      <c r="H38" s="458">
        <v>0.0</v>
      </c>
      <c r="I38" s="458">
        <v>0.0</v>
      </c>
      <c r="J38" s="461">
        <v>0.0</v>
      </c>
      <c r="K38" s="461">
        <v>2.0</v>
      </c>
      <c r="L38" s="461">
        <v>2.0</v>
      </c>
      <c r="M38" s="298">
        <v>0.0</v>
      </c>
      <c r="N38" s="298">
        <v>0.0</v>
      </c>
      <c r="O38" s="298">
        <v>0.0</v>
      </c>
      <c r="P38" s="457">
        <v>0.0</v>
      </c>
      <c r="Q38" s="4"/>
      <c r="R38" s="446">
        <v>12.0</v>
      </c>
      <c r="S38" s="4">
        <v>2.0</v>
      </c>
      <c r="T38" s="4">
        <v>1.0</v>
      </c>
      <c r="U38" s="4">
        <v>1.0</v>
      </c>
      <c r="V38" s="460">
        <v>1.0</v>
      </c>
      <c r="W38" s="4">
        <v>0.0</v>
      </c>
      <c r="X38" s="4">
        <v>0.0</v>
      </c>
      <c r="Y38" s="4">
        <v>0.0</v>
      </c>
      <c r="Z38" s="4">
        <v>0.0</v>
      </c>
      <c r="AA38" s="4">
        <v>0.0</v>
      </c>
      <c r="AB38" s="4">
        <v>0.0</v>
      </c>
      <c r="AC38" s="439">
        <v>0.0</v>
      </c>
      <c r="AD38" s="4"/>
    </row>
    <row r="39">
      <c r="A39" s="447"/>
      <c r="B39" s="438" t="s">
        <v>2617</v>
      </c>
      <c r="C39" s="453">
        <v>8.0</v>
      </c>
      <c r="D39" s="447"/>
      <c r="E39" s="446">
        <v>13.0</v>
      </c>
      <c r="F39" s="298">
        <v>5.0</v>
      </c>
      <c r="G39" s="458">
        <v>0.0</v>
      </c>
      <c r="H39" s="458">
        <v>0.0</v>
      </c>
      <c r="I39" s="458">
        <v>0.0</v>
      </c>
      <c r="J39" s="298">
        <v>0.0</v>
      </c>
      <c r="K39" s="298">
        <v>0.0</v>
      </c>
      <c r="L39" s="298">
        <v>2.0</v>
      </c>
      <c r="M39" s="298">
        <v>2.0</v>
      </c>
      <c r="N39" s="298">
        <v>0.0</v>
      </c>
      <c r="O39" s="298">
        <v>0.0</v>
      </c>
      <c r="P39" s="457">
        <v>0.0</v>
      </c>
      <c r="R39" s="446">
        <v>13.0</v>
      </c>
      <c r="S39" s="4">
        <v>2.0</v>
      </c>
      <c r="T39" s="4">
        <v>1.0</v>
      </c>
      <c r="U39" s="4">
        <v>1.0</v>
      </c>
      <c r="V39" s="460">
        <v>1.0</v>
      </c>
      <c r="W39" s="4">
        <v>0.0</v>
      </c>
      <c r="X39" s="4">
        <v>0.0</v>
      </c>
      <c r="Y39" s="4">
        <v>0.0</v>
      </c>
      <c r="Z39" s="4">
        <v>0.0</v>
      </c>
      <c r="AA39" s="4">
        <v>0.0</v>
      </c>
      <c r="AB39" s="4">
        <v>0.0</v>
      </c>
      <c r="AC39" s="439">
        <v>0.0</v>
      </c>
    </row>
    <row r="40">
      <c r="A40" s="447"/>
      <c r="B40" s="438" t="s">
        <v>2809</v>
      </c>
      <c r="C40" s="453">
        <v>10.0</v>
      </c>
      <c r="D40" s="447"/>
      <c r="E40" s="446">
        <v>14.0</v>
      </c>
      <c r="F40" s="298">
        <v>5.0</v>
      </c>
      <c r="G40" s="458">
        <v>0.0</v>
      </c>
      <c r="H40" s="458">
        <v>0.0</v>
      </c>
      <c r="I40" s="458">
        <v>0.0</v>
      </c>
      <c r="J40" s="458">
        <v>0.0</v>
      </c>
      <c r="K40" s="458">
        <v>0.0</v>
      </c>
      <c r="L40" s="458">
        <v>2.0</v>
      </c>
      <c r="M40" s="458">
        <v>2.0</v>
      </c>
      <c r="N40" s="458">
        <v>0.0</v>
      </c>
      <c r="O40" s="298">
        <v>0.0</v>
      </c>
      <c r="P40" s="457">
        <v>0.0</v>
      </c>
      <c r="Q40" s="447"/>
      <c r="R40" s="446">
        <v>14.0</v>
      </c>
      <c r="S40" s="4">
        <v>2.0</v>
      </c>
      <c r="T40" s="4">
        <v>1.0</v>
      </c>
      <c r="U40" s="4">
        <v>1.0</v>
      </c>
      <c r="V40" s="460">
        <v>1.0</v>
      </c>
      <c r="W40" s="4">
        <v>0.0</v>
      </c>
      <c r="X40" s="4">
        <v>0.0</v>
      </c>
      <c r="Y40" s="4">
        <v>0.0</v>
      </c>
      <c r="Z40" s="4">
        <v>0.0</v>
      </c>
      <c r="AA40" s="4">
        <v>0.0</v>
      </c>
      <c r="AB40" s="4">
        <v>0.0</v>
      </c>
      <c r="AC40" s="439">
        <v>0.0</v>
      </c>
      <c r="AD40" s="447"/>
    </row>
    <row r="41">
      <c r="A41" s="447"/>
      <c r="B41" s="438" t="s">
        <v>2626</v>
      </c>
      <c r="C41" s="453">
        <v>8.0</v>
      </c>
      <c r="D41" s="447"/>
      <c r="E41" s="446">
        <v>15.0</v>
      </c>
      <c r="F41" s="298">
        <v>5.0</v>
      </c>
      <c r="G41" s="458">
        <v>0.0</v>
      </c>
      <c r="H41" s="458">
        <v>0.0</v>
      </c>
      <c r="I41" s="458">
        <v>0.0</v>
      </c>
      <c r="J41" s="458">
        <v>0.0</v>
      </c>
      <c r="K41" s="458">
        <v>0.0</v>
      </c>
      <c r="L41" s="458">
        <v>0.0</v>
      </c>
      <c r="M41" s="458">
        <v>2.0</v>
      </c>
      <c r="N41" s="458">
        <v>2.0</v>
      </c>
      <c r="O41" s="298">
        <v>0.0</v>
      </c>
      <c r="P41" s="457">
        <v>0.0</v>
      </c>
      <c r="Q41" s="447"/>
      <c r="R41" s="446">
        <v>15.0</v>
      </c>
      <c r="S41" s="4">
        <v>2.0</v>
      </c>
      <c r="T41" s="4">
        <v>1.0</v>
      </c>
      <c r="U41" s="4">
        <v>1.0</v>
      </c>
      <c r="V41" s="460">
        <v>1.0</v>
      </c>
      <c r="W41" s="4">
        <v>0.0</v>
      </c>
      <c r="X41" s="4">
        <v>0.0</v>
      </c>
      <c r="Y41" s="4">
        <v>0.0</v>
      </c>
      <c r="Z41" s="4">
        <v>0.0</v>
      </c>
      <c r="AA41" s="4">
        <v>0.0</v>
      </c>
      <c r="AB41" s="4">
        <v>0.0</v>
      </c>
      <c r="AC41" s="439">
        <v>0.0</v>
      </c>
      <c r="AD41" s="447"/>
    </row>
    <row r="42">
      <c r="A42" s="447"/>
      <c r="B42" s="438" t="s">
        <v>55</v>
      </c>
      <c r="C42" s="453">
        <v>8.0</v>
      </c>
      <c r="D42" s="447"/>
      <c r="E42" s="446">
        <v>16.0</v>
      </c>
      <c r="F42" s="298">
        <v>5.0</v>
      </c>
      <c r="G42" s="458">
        <v>0.0</v>
      </c>
      <c r="H42" s="458">
        <v>0.0</v>
      </c>
      <c r="I42" s="458">
        <v>0.0</v>
      </c>
      <c r="J42" s="458">
        <v>0.0</v>
      </c>
      <c r="K42" s="458">
        <v>0.0</v>
      </c>
      <c r="L42" s="458">
        <v>0.0</v>
      </c>
      <c r="M42" s="458">
        <v>2.0</v>
      </c>
      <c r="N42" s="458">
        <v>2.0</v>
      </c>
      <c r="O42" s="298">
        <v>0.0</v>
      </c>
      <c r="P42" s="457">
        <v>0.0</v>
      </c>
      <c r="Q42" s="447"/>
      <c r="R42" s="446">
        <v>16.0</v>
      </c>
      <c r="S42" s="4">
        <v>2.0</v>
      </c>
      <c r="T42" s="4">
        <v>1.0</v>
      </c>
      <c r="U42" s="4">
        <v>1.0</v>
      </c>
      <c r="V42" s="460">
        <v>1.0</v>
      </c>
      <c r="W42" s="4">
        <v>0.0</v>
      </c>
      <c r="X42" s="4">
        <v>0.0</v>
      </c>
      <c r="Y42" s="4">
        <v>0.0</v>
      </c>
      <c r="Z42" s="4">
        <v>0.0</v>
      </c>
      <c r="AA42" s="4">
        <v>0.0</v>
      </c>
      <c r="AB42" s="4">
        <v>0.0</v>
      </c>
      <c r="AC42" s="439">
        <v>0.0</v>
      </c>
      <c r="AD42" s="447"/>
    </row>
    <row r="43">
      <c r="A43" s="447"/>
      <c r="B43" s="438" t="s">
        <v>2815</v>
      </c>
      <c r="C43" s="453">
        <v>10.0</v>
      </c>
      <c r="D43" s="447"/>
      <c r="E43" s="446">
        <v>17.0</v>
      </c>
      <c r="F43" s="298">
        <v>5.0</v>
      </c>
      <c r="G43" s="458">
        <v>0.0</v>
      </c>
      <c r="H43" s="458">
        <v>0.0</v>
      </c>
      <c r="I43" s="458">
        <v>0.0</v>
      </c>
      <c r="J43" s="458">
        <v>0.0</v>
      </c>
      <c r="K43" s="458">
        <v>0.0</v>
      </c>
      <c r="L43" s="458">
        <v>0.0</v>
      </c>
      <c r="M43" s="458">
        <v>0.0</v>
      </c>
      <c r="N43" s="458">
        <v>2.0</v>
      </c>
      <c r="O43" s="458">
        <v>2.0</v>
      </c>
      <c r="P43" s="463">
        <v>0.0</v>
      </c>
      <c r="Q43" s="447"/>
      <c r="R43" s="446">
        <v>17.0</v>
      </c>
      <c r="S43" s="4">
        <v>2.0</v>
      </c>
      <c r="T43" s="4">
        <v>1.0</v>
      </c>
      <c r="U43" s="4">
        <v>1.0</v>
      </c>
      <c r="V43" s="460">
        <v>1.0</v>
      </c>
      <c r="W43" s="4">
        <v>0.0</v>
      </c>
      <c r="X43" s="4">
        <v>0.0</v>
      </c>
      <c r="Y43" s="4">
        <v>0.0</v>
      </c>
      <c r="Z43" s="4">
        <v>0.0</v>
      </c>
      <c r="AA43" s="4">
        <v>0.0</v>
      </c>
      <c r="AB43" s="4">
        <v>0.0</v>
      </c>
      <c r="AC43" s="439">
        <v>0.0</v>
      </c>
      <c r="AD43" s="447"/>
    </row>
    <row r="44">
      <c r="A44" s="447"/>
      <c r="B44" s="438" t="s">
        <v>2818</v>
      </c>
      <c r="C44" s="453">
        <v>8.0</v>
      </c>
      <c r="D44" s="447"/>
      <c r="E44" s="446">
        <v>18.0</v>
      </c>
      <c r="F44" s="298">
        <v>5.0</v>
      </c>
      <c r="G44" s="458">
        <v>0.0</v>
      </c>
      <c r="H44" s="458">
        <v>0.0</v>
      </c>
      <c r="I44" s="458">
        <v>0.0</v>
      </c>
      <c r="J44" s="458">
        <v>0.0</v>
      </c>
      <c r="K44" s="458">
        <v>0.0</v>
      </c>
      <c r="L44" s="458">
        <v>0.0</v>
      </c>
      <c r="M44" s="458">
        <v>0.0</v>
      </c>
      <c r="N44" s="458">
        <v>2.0</v>
      </c>
      <c r="O44" s="458">
        <v>2.0</v>
      </c>
      <c r="P44" s="463">
        <v>0.0</v>
      </c>
      <c r="Q44" s="447"/>
      <c r="R44" s="446">
        <v>18.0</v>
      </c>
      <c r="S44" s="4">
        <v>2.0</v>
      </c>
      <c r="T44" s="4">
        <v>1.0</v>
      </c>
      <c r="U44" s="4">
        <v>1.0</v>
      </c>
      <c r="V44" s="460">
        <v>1.0</v>
      </c>
      <c r="W44" s="4">
        <v>0.0</v>
      </c>
      <c r="X44" s="4">
        <v>0.0</v>
      </c>
      <c r="Y44" s="4">
        <v>0.0</v>
      </c>
      <c r="Z44" s="4">
        <v>0.0</v>
      </c>
      <c r="AA44" s="4">
        <v>0.0</v>
      </c>
      <c r="AB44" s="4">
        <v>0.0</v>
      </c>
      <c r="AC44" s="439">
        <v>0.0</v>
      </c>
      <c r="AD44" s="447"/>
    </row>
    <row r="45">
      <c r="A45" s="447"/>
      <c r="B45" s="438" t="s">
        <v>2645</v>
      </c>
      <c r="C45" s="453">
        <v>8.0</v>
      </c>
      <c r="D45" s="447"/>
      <c r="E45" s="446">
        <v>19.0</v>
      </c>
      <c r="F45" s="298">
        <v>5.0</v>
      </c>
      <c r="G45" s="458">
        <v>0.0</v>
      </c>
      <c r="H45" s="458">
        <v>0.0</v>
      </c>
      <c r="I45" s="458">
        <v>0.0</v>
      </c>
      <c r="J45" s="458">
        <v>0.0</v>
      </c>
      <c r="K45" s="458">
        <v>0.0</v>
      </c>
      <c r="L45" s="458">
        <v>0.0</v>
      </c>
      <c r="M45" s="458">
        <v>0.0</v>
      </c>
      <c r="N45" s="458">
        <v>2.0</v>
      </c>
      <c r="O45" s="458">
        <v>2.0</v>
      </c>
      <c r="P45" s="463">
        <v>0.0</v>
      </c>
      <c r="Q45" s="447"/>
      <c r="R45" s="446">
        <v>19.0</v>
      </c>
      <c r="S45" s="4">
        <v>2.0</v>
      </c>
      <c r="T45" s="4">
        <v>1.0</v>
      </c>
      <c r="U45" s="4">
        <v>1.0</v>
      </c>
      <c r="V45" s="460">
        <v>1.0</v>
      </c>
      <c r="W45" s="4">
        <v>0.0</v>
      </c>
      <c r="X45" s="4">
        <v>0.0</v>
      </c>
      <c r="Y45" s="4">
        <v>0.0</v>
      </c>
      <c r="Z45" s="4">
        <v>0.0</v>
      </c>
      <c r="AA45" s="4">
        <v>0.0</v>
      </c>
      <c r="AB45" s="4">
        <v>0.0</v>
      </c>
      <c r="AC45" s="439">
        <v>0.0</v>
      </c>
      <c r="AD45" s="447"/>
    </row>
    <row r="46">
      <c r="A46" s="447"/>
      <c r="B46" s="438" t="s">
        <v>2829</v>
      </c>
      <c r="C46" s="453">
        <v>10.0</v>
      </c>
      <c r="D46" s="447"/>
      <c r="E46" s="440">
        <v>20.0</v>
      </c>
      <c r="F46" s="343">
        <v>5.0</v>
      </c>
      <c r="G46" s="464">
        <v>0.0</v>
      </c>
      <c r="H46" s="464">
        <v>0.0</v>
      </c>
      <c r="I46" s="464">
        <v>0.0</v>
      </c>
      <c r="J46" s="464">
        <v>0.0</v>
      </c>
      <c r="K46" s="464">
        <v>0.0</v>
      </c>
      <c r="L46" s="464">
        <v>0.0</v>
      </c>
      <c r="M46" s="343">
        <v>0.0</v>
      </c>
      <c r="N46" s="343">
        <v>2.0</v>
      </c>
      <c r="O46" s="343">
        <v>2.0</v>
      </c>
      <c r="P46" s="465">
        <v>0.0</v>
      </c>
      <c r="R46" s="459">
        <v>20.0</v>
      </c>
      <c r="S46" s="454">
        <v>2.0</v>
      </c>
      <c r="T46" s="454">
        <v>1.0</v>
      </c>
      <c r="U46" s="454">
        <v>1.0</v>
      </c>
      <c r="V46" s="466">
        <v>1.0</v>
      </c>
      <c r="W46" s="454">
        <v>0.0</v>
      </c>
      <c r="X46" s="454">
        <v>0.0</v>
      </c>
      <c r="Y46" s="454">
        <v>0.0</v>
      </c>
      <c r="Z46" s="454">
        <v>0.0</v>
      </c>
      <c r="AA46" s="454">
        <v>0.0</v>
      </c>
      <c r="AB46" s="454">
        <v>0.0</v>
      </c>
      <c r="AC46" s="467">
        <v>0.0</v>
      </c>
    </row>
    <row r="47">
      <c r="A47" s="447"/>
      <c r="B47" s="438" t="s">
        <v>2651</v>
      </c>
      <c r="C47" s="453">
        <v>8.0</v>
      </c>
      <c r="D47" s="447"/>
      <c r="E47" s="447"/>
      <c r="F47" s="447"/>
      <c r="G47" s="447"/>
      <c r="H47" s="447"/>
      <c r="I47" s="447"/>
      <c r="J47" s="447"/>
      <c r="K47" s="447"/>
      <c r="L47" s="447"/>
      <c r="M47" s="447"/>
      <c r="N47" s="447"/>
      <c r="O47" s="447"/>
      <c r="P47" s="447"/>
      <c r="Q47" s="447"/>
      <c r="AD47" s="447"/>
    </row>
    <row r="48">
      <c r="A48" s="447"/>
      <c r="B48" s="438" t="s">
        <v>2658</v>
      </c>
      <c r="C48" s="453">
        <v>6.0</v>
      </c>
      <c r="D48" s="447"/>
      <c r="E48" s="468" t="s">
        <v>2666</v>
      </c>
      <c r="F48" s="29"/>
      <c r="G48" s="29"/>
      <c r="H48" s="29"/>
      <c r="I48" s="29"/>
      <c r="J48" s="29"/>
      <c r="K48" s="29"/>
      <c r="L48" s="29"/>
      <c r="M48" s="29"/>
      <c r="N48" s="29"/>
      <c r="O48" s="29"/>
      <c r="P48" s="32"/>
      <c r="Q48" s="447"/>
      <c r="R48" s="432" t="s">
        <v>2712</v>
      </c>
      <c r="S48" s="29"/>
      <c r="T48" s="29"/>
      <c r="U48" s="29"/>
      <c r="V48" s="29"/>
      <c r="W48" s="29"/>
      <c r="X48" s="29"/>
      <c r="Y48" s="29"/>
      <c r="Z48" s="29"/>
      <c r="AA48" s="29"/>
      <c r="AB48" s="29"/>
      <c r="AC48" s="32"/>
      <c r="AD48" s="447"/>
    </row>
    <row r="49">
      <c r="A49" s="447"/>
      <c r="B49" s="438" t="s">
        <v>2848</v>
      </c>
      <c r="C49" s="453">
        <v>10.0</v>
      </c>
      <c r="D49" s="447"/>
      <c r="E49" s="469" t="s">
        <v>2606</v>
      </c>
      <c r="F49" s="469">
        <v>0.0</v>
      </c>
      <c r="G49" s="469">
        <v>1.0</v>
      </c>
      <c r="H49" s="469">
        <v>2.0</v>
      </c>
      <c r="I49" s="469">
        <v>3.0</v>
      </c>
      <c r="J49" s="469">
        <v>4.0</v>
      </c>
      <c r="K49" s="469">
        <v>5.0</v>
      </c>
      <c r="L49" s="469">
        <v>6.0</v>
      </c>
      <c r="M49" s="469">
        <v>7.0</v>
      </c>
      <c r="N49" s="469">
        <v>8.0</v>
      </c>
      <c r="O49" s="469">
        <v>9.0</v>
      </c>
      <c r="P49" s="469">
        <v>10.0</v>
      </c>
      <c r="Q49" s="447"/>
      <c r="R49" s="435" t="s">
        <v>2606</v>
      </c>
      <c r="S49" s="435">
        <v>0.0</v>
      </c>
      <c r="T49" s="435">
        <v>1.0</v>
      </c>
      <c r="U49" s="435">
        <v>2.0</v>
      </c>
      <c r="V49" s="435">
        <v>3.0</v>
      </c>
      <c r="W49" s="435">
        <v>4.0</v>
      </c>
      <c r="X49" s="435">
        <v>5.0</v>
      </c>
      <c r="Y49" s="435">
        <v>6.0</v>
      </c>
      <c r="Z49" s="435">
        <v>7.0</v>
      </c>
      <c r="AA49" s="435">
        <v>8.0</v>
      </c>
      <c r="AB49" s="435">
        <v>9.0</v>
      </c>
      <c r="AC49" s="435">
        <v>10.0</v>
      </c>
      <c r="AD49" s="447"/>
    </row>
    <row r="50">
      <c r="A50" s="447"/>
      <c r="B50" s="438" t="s">
        <v>2858</v>
      </c>
      <c r="C50" s="453">
        <v>8.0</v>
      </c>
      <c r="D50" s="447"/>
      <c r="E50" s="469">
        <v>1.0</v>
      </c>
      <c r="F50" s="298">
        <v>5.0</v>
      </c>
      <c r="G50" s="298">
        <v>3.0</v>
      </c>
      <c r="H50" s="298">
        <v>0.0</v>
      </c>
      <c r="I50" s="298">
        <v>0.0</v>
      </c>
      <c r="J50" s="298">
        <v>0.0</v>
      </c>
      <c r="K50" s="298">
        <v>0.0</v>
      </c>
      <c r="L50" s="298">
        <v>0.0</v>
      </c>
      <c r="M50" s="298">
        <v>0.0</v>
      </c>
      <c r="N50" s="298">
        <v>0.0</v>
      </c>
      <c r="O50" s="298">
        <v>0.0</v>
      </c>
      <c r="P50" s="457">
        <v>0.0</v>
      </c>
      <c r="R50" s="435">
        <v>1.0</v>
      </c>
      <c r="S50" s="4">
        <v>2.0</v>
      </c>
      <c r="T50" s="4">
        <v>0.0</v>
      </c>
      <c r="U50" s="4">
        <v>0.0</v>
      </c>
      <c r="V50" s="4">
        <v>0.0</v>
      </c>
      <c r="W50" s="4">
        <v>0.0</v>
      </c>
      <c r="X50" s="4">
        <v>0.0</v>
      </c>
      <c r="Y50" s="4">
        <v>0.0</v>
      </c>
      <c r="Z50" s="4">
        <v>0.0</v>
      </c>
      <c r="AA50" s="4">
        <v>0.0</v>
      </c>
      <c r="AB50" s="4">
        <v>0.0</v>
      </c>
      <c r="AC50" s="439">
        <v>0.0</v>
      </c>
    </row>
    <row r="51">
      <c r="A51" s="447"/>
      <c r="B51" s="438" t="s">
        <v>2666</v>
      </c>
      <c r="C51" s="453">
        <v>6.0</v>
      </c>
      <c r="D51" s="447"/>
      <c r="E51" s="469">
        <v>2.0</v>
      </c>
      <c r="F51" s="298">
        <v>5.0</v>
      </c>
      <c r="G51" s="298">
        <v>4.0</v>
      </c>
      <c r="H51" s="298">
        <v>0.0</v>
      </c>
      <c r="I51" s="298">
        <v>0.0</v>
      </c>
      <c r="J51" s="298">
        <v>0.0</v>
      </c>
      <c r="K51" s="298">
        <v>0.0</v>
      </c>
      <c r="L51" s="298">
        <v>0.0</v>
      </c>
      <c r="M51" s="298">
        <v>0.0</v>
      </c>
      <c r="N51" s="298">
        <v>0.0</v>
      </c>
      <c r="O51" s="298">
        <v>0.0</v>
      </c>
      <c r="P51" s="457">
        <v>0.0</v>
      </c>
      <c r="Q51" s="447"/>
      <c r="R51" s="435">
        <v>2.0</v>
      </c>
      <c r="S51" s="4">
        <v>2.0</v>
      </c>
      <c r="T51" s="4">
        <v>0.0</v>
      </c>
      <c r="U51" s="4">
        <v>0.0</v>
      </c>
      <c r="V51" s="4">
        <v>0.0</v>
      </c>
      <c r="W51" s="4">
        <v>0.0</v>
      </c>
      <c r="X51" s="4">
        <v>0.0</v>
      </c>
      <c r="Y51" s="4">
        <v>0.0</v>
      </c>
      <c r="Z51" s="4">
        <v>0.0</v>
      </c>
      <c r="AA51" s="4">
        <v>0.0</v>
      </c>
      <c r="AB51" s="4">
        <v>0.0</v>
      </c>
      <c r="AC51" s="439">
        <v>0.0</v>
      </c>
      <c r="AD51" s="447"/>
    </row>
    <row r="52">
      <c r="A52" s="447"/>
      <c r="B52" s="438" t="s">
        <v>2675</v>
      </c>
      <c r="C52" s="453">
        <v>10.0</v>
      </c>
      <c r="D52" s="447"/>
      <c r="E52" s="440">
        <v>3.0</v>
      </c>
      <c r="F52" s="298">
        <v>5.0</v>
      </c>
      <c r="G52" s="298">
        <v>4.0</v>
      </c>
      <c r="H52" s="458">
        <v>3.0</v>
      </c>
      <c r="I52" s="458">
        <v>0.0</v>
      </c>
      <c r="J52" s="458">
        <v>0.0</v>
      </c>
      <c r="K52" s="298">
        <v>0.0</v>
      </c>
      <c r="L52" s="298">
        <v>0.0</v>
      </c>
      <c r="M52" s="298">
        <v>0.0</v>
      </c>
      <c r="N52" s="298">
        <v>0.0</v>
      </c>
      <c r="O52" s="298">
        <v>0.0</v>
      </c>
      <c r="P52" s="457">
        <v>0.0</v>
      </c>
      <c r="Q52" s="447"/>
      <c r="R52" s="459">
        <v>3.0</v>
      </c>
      <c r="S52" s="4">
        <v>2.0</v>
      </c>
      <c r="T52" s="4">
        <v>0.0</v>
      </c>
      <c r="U52" s="4">
        <v>0.0</v>
      </c>
      <c r="V52" s="460">
        <v>0.0</v>
      </c>
      <c r="W52" s="4">
        <v>0.0</v>
      </c>
      <c r="X52" s="4">
        <v>0.0</v>
      </c>
      <c r="Y52" s="4">
        <v>0.0</v>
      </c>
      <c r="Z52" s="4">
        <v>0.0</v>
      </c>
      <c r="AA52" s="4">
        <v>0.0</v>
      </c>
      <c r="AB52" s="4">
        <v>0.0</v>
      </c>
      <c r="AC52" s="439">
        <v>0.0</v>
      </c>
      <c r="AD52" s="447"/>
    </row>
    <row r="53">
      <c r="A53" s="447"/>
      <c r="B53" s="438" t="s">
        <v>2863</v>
      </c>
      <c r="C53" s="453">
        <v>10.0</v>
      </c>
      <c r="D53" s="447"/>
      <c r="E53" s="440">
        <v>4.0</v>
      </c>
      <c r="F53" s="298">
        <v>5.0</v>
      </c>
      <c r="G53" s="298">
        <v>4.0</v>
      </c>
      <c r="H53" s="458">
        <v>4.0</v>
      </c>
      <c r="I53" s="458">
        <v>0.0</v>
      </c>
      <c r="J53" s="458">
        <v>0.0</v>
      </c>
      <c r="K53" s="298">
        <v>0.0</v>
      </c>
      <c r="L53" s="298">
        <v>0.0</v>
      </c>
      <c r="M53" s="298">
        <v>0.0</v>
      </c>
      <c r="N53" s="298">
        <v>0.0</v>
      </c>
      <c r="O53" s="298">
        <v>0.0</v>
      </c>
      <c r="P53" s="457">
        <v>0.0</v>
      </c>
      <c r="Q53" s="447"/>
      <c r="R53" s="459">
        <v>4.0</v>
      </c>
      <c r="S53" s="4">
        <v>2.0</v>
      </c>
      <c r="T53" s="4">
        <v>1.0</v>
      </c>
      <c r="U53" s="4">
        <v>0.0</v>
      </c>
      <c r="V53" s="460">
        <v>0.0</v>
      </c>
      <c r="W53" s="4">
        <v>0.0</v>
      </c>
      <c r="X53" s="4">
        <v>0.0</v>
      </c>
      <c r="Y53" s="4">
        <v>0.0</v>
      </c>
      <c r="Z53" s="4">
        <v>0.0</v>
      </c>
      <c r="AA53" s="4">
        <v>0.0</v>
      </c>
      <c r="AB53" s="4">
        <v>0.0</v>
      </c>
      <c r="AC53" s="439">
        <v>0.0</v>
      </c>
      <c r="AD53" s="447"/>
    </row>
    <row r="54">
      <c r="A54" s="447"/>
      <c r="B54" s="438" t="s">
        <v>2865</v>
      </c>
      <c r="C54" s="453">
        <v>8.0</v>
      </c>
      <c r="D54" s="447"/>
      <c r="E54" s="440">
        <v>5.0</v>
      </c>
      <c r="F54" s="298">
        <v>5.0</v>
      </c>
      <c r="G54" s="298">
        <v>4.0</v>
      </c>
      <c r="H54" s="458">
        <v>4.0</v>
      </c>
      <c r="I54" s="458">
        <v>3.0</v>
      </c>
      <c r="J54" s="458">
        <v>0.0</v>
      </c>
      <c r="K54" s="298">
        <v>0.0</v>
      </c>
      <c r="L54" s="298">
        <v>0.0</v>
      </c>
      <c r="M54" s="298">
        <v>0.0</v>
      </c>
      <c r="N54" s="298">
        <v>0.0</v>
      </c>
      <c r="O54" s="298">
        <v>0.0</v>
      </c>
      <c r="P54" s="457">
        <v>0.0</v>
      </c>
      <c r="Q54" s="447"/>
      <c r="R54" s="459">
        <v>5.0</v>
      </c>
      <c r="S54" s="4">
        <v>2.0</v>
      </c>
      <c r="T54" s="4">
        <v>1.0</v>
      </c>
      <c r="U54" s="4">
        <v>0.0</v>
      </c>
      <c r="V54" s="460">
        <v>0.0</v>
      </c>
      <c r="W54" s="4">
        <v>0.0</v>
      </c>
      <c r="X54" s="4">
        <v>0.0</v>
      </c>
      <c r="Y54" s="4">
        <v>0.0</v>
      </c>
      <c r="Z54" s="4">
        <v>0.0</v>
      </c>
      <c r="AA54" s="4">
        <v>0.0</v>
      </c>
      <c r="AB54" s="4">
        <v>0.0</v>
      </c>
      <c r="AC54" s="439">
        <v>0.0</v>
      </c>
      <c r="AD54" s="447"/>
    </row>
    <row r="55">
      <c r="A55" s="447"/>
      <c r="B55" s="438" t="s">
        <v>2685</v>
      </c>
      <c r="C55" s="453">
        <v>6.0</v>
      </c>
      <c r="D55" s="447"/>
      <c r="E55" s="440">
        <v>6.0</v>
      </c>
      <c r="F55" s="298">
        <v>5.0</v>
      </c>
      <c r="G55" s="298">
        <v>4.0</v>
      </c>
      <c r="H55" s="458">
        <v>4.0</v>
      </c>
      <c r="I55" s="458">
        <v>4.0</v>
      </c>
      <c r="J55" s="458">
        <v>0.0</v>
      </c>
      <c r="K55" s="298">
        <v>0.0</v>
      </c>
      <c r="L55" s="298">
        <v>0.0</v>
      </c>
      <c r="M55" s="298">
        <v>0.0</v>
      </c>
      <c r="N55" s="298">
        <v>0.0</v>
      </c>
      <c r="O55" s="298">
        <v>0.0</v>
      </c>
      <c r="P55" s="457">
        <v>0.0</v>
      </c>
      <c r="Q55" s="447"/>
      <c r="R55" s="459">
        <v>6.0</v>
      </c>
      <c r="S55" s="4">
        <v>2.0</v>
      </c>
      <c r="T55" s="4">
        <v>1.0</v>
      </c>
      <c r="U55" s="4">
        <v>1.0</v>
      </c>
      <c r="V55" s="460">
        <v>0.0</v>
      </c>
      <c r="W55" s="4">
        <v>0.0</v>
      </c>
      <c r="X55" s="4">
        <v>0.0</v>
      </c>
      <c r="Y55" s="4">
        <v>0.0</v>
      </c>
      <c r="Z55" s="4">
        <v>0.0</v>
      </c>
      <c r="AA55" s="4">
        <v>0.0</v>
      </c>
      <c r="AB55" s="4">
        <v>0.0</v>
      </c>
      <c r="AC55" s="439">
        <v>0.0</v>
      </c>
      <c r="AD55" s="447"/>
    </row>
    <row r="56">
      <c r="A56" s="447"/>
      <c r="B56" s="438" t="s">
        <v>2692</v>
      </c>
      <c r="C56" s="453">
        <v>6.0</v>
      </c>
      <c r="D56" s="447"/>
      <c r="E56" s="440">
        <v>7.0</v>
      </c>
      <c r="F56" s="298">
        <v>5.0</v>
      </c>
      <c r="G56" s="298">
        <v>4.0</v>
      </c>
      <c r="H56" s="458">
        <v>4.0</v>
      </c>
      <c r="I56" s="458">
        <v>4.0</v>
      </c>
      <c r="J56" s="458">
        <v>3.0</v>
      </c>
      <c r="K56" s="298">
        <v>0.0</v>
      </c>
      <c r="L56" s="298">
        <v>0.0</v>
      </c>
      <c r="M56" s="298">
        <v>0.0</v>
      </c>
      <c r="N56" s="298">
        <v>0.0</v>
      </c>
      <c r="O56" s="298">
        <v>0.0</v>
      </c>
      <c r="P56" s="457">
        <v>0.0</v>
      </c>
      <c r="Q56" s="447"/>
      <c r="R56" s="459">
        <v>7.0</v>
      </c>
      <c r="S56" s="4">
        <v>2.0</v>
      </c>
      <c r="T56" s="4">
        <v>1.0</v>
      </c>
      <c r="U56" s="4">
        <v>1.0</v>
      </c>
      <c r="V56" s="460">
        <v>0.0</v>
      </c>
      <c r="W56" s="4">
        <v>0.0</v>
      </c>
      <c r="X56" s="4">
        <v>0.0</v>
      </c>
      <c r="Y56" s="4">
        <v>0.0</v>
      </c>
      <c r="Z56" s="4">
        <v>0.0</v>
      </c>
      <c r="AA56" s="4">
        <v>0.0</v>
      </c>
      <c r="AB56" s="4">
        <v>0.0</v>
      </c>
      <c r="AC56" s="439">
        <v>0.0</v>
      </c>
      <c r="AD56" s="447"/>
    </row>
    <row r="57">
      <c r="A57" s="447"/>
      <c r="B57" s="438" t="s">
        <v>2873</v>
      </c>
      <c r="C57" s="453">
        <v>8.0</v>
      </c>
      <c r="D57" s="447"/>
      <c r="E57" s="440">
        <v>8.0</v>
      </c>
      <c r="F57" s="298">
        <v>5.0</v>
      </c>
      <c r="G57" s="298">
        <v>4.0</v>
      </c>
      <c r="H57" s="458">
        <v>4.0</v>
      </c>
      <c r="I57" s="458">
        <v>4.0</v>
      </c>
      <c r="J57" s="298">
        <v>4.0</v>
      </c>
      <c r="K57" s="298">
        <v>0.0</v>
      </c>
      <c r="L57" s="298">
        <v>0.0</v>
      </c>
      <c r="M57" s="298">
        <v>0.0</v>
      </c>
      <c r="N57" s="298">
        <v>0.0</v>
      </c>
      <c r="O57" s="298">
        <v>0.0</v>
      </c>
      <c r="P57" s="457">
        <v>0.0</v>
      </c>
      <c r="Q57" s="447"/>
      <c r="R57" s="459">
        <v>8.0</v>
      </c>
      <c r="S57" s="4">
        <v>2.0</v>
      </c>
      <c r="T57" s="4">
        <v>1.0</v>
      </c>
      <c r="U57" s="4">
        <v>1.0</v>
      </c>
      <c r="V57" s="460">
        <v>1.0</v>
      </c>
      <c r="W57" s="4">
        <v>0.0</v>
      </c>
      <c r="X57" s="4">
        <v>0.0</v>
      </c>
      <c r="Y57" s="4">
        <v>0.0</v>
      </c>
      <c r="Z57" s="4">
        <v>0.0</v>
      </c>
      <c r="AA57" s="4">
        <v>0.0</v>
      </c>
      <c r="AB57" s="4">
        <v>0.0</v>
      </c>
      <c r="AC57" s="439">
        <v>0.0</v>
      </c>
      <c r="AD57" s="447"/>
    </row>
    <row r="58">
      <c r="A58" s="447"/>
      <c r="B58" s="438" t="s">
        <v>2879</v>
      </c>
      <c r="C58" s="453">
        <v>8.0</v>
      </c>
      <c r="D58" s="447"/>
      <c r="E58" s="470">
        <v>9.0</v>
      </c>
      <c r="F58" s="298">
        <v>5.0</v>
      </c>
      <c r="G58" s="298">
        <v>4.0</v>
      </c>
      <c r="H58" s="458">
        <v>4.0</v>
      </c>
      <c r="I58" s="458">
        <v>4.0</v>
      </c>
      <c r="J58" s="298">
        <v>4.0</v>
      </c>
      <c r="K58" s="461">
        <v>3.0</v>
      </c>
      <c r="L58" s="461">
        <v>0.0</v>
      </c>
      <c r="M58" s="298">
        <v>0.0</v>
      </c>
      <c r="N58" s="298">
        <v>0.0</v>
      </c>
      <c r="O58" s="298">
        <v>0.0</v>
      </c>
      <c r="P58" s="457">
        <v>0.0</v>
      </c>
      <c r="Q58" s="447"/>
      <c r="R58" s="446">
        <v>9.0</v>
      </c>
      <c r="S58" s="4">
        <v>2.0</v>
      </c>
      <c r="T58" s="4">
        <v>1.0</v>
      </c>
      <c r="U58" s="4">
        <v>1.0</v>
      </c>
      <c r="V58" s="460">
        <v>1.0</v>
      </c>
      <c r="W58" s="4">
        <v>0.0</v>
      </c>
      <c r="X58" s="4">
        <v>0.0</v>
      </c>
      <c r="Y58" s="4">
        <v>0.0</v>
      </c>
      <c r="Z58" s="4">
        <v>0.0</v>
      </c>
      <c r="AA58" s="4">
        <v>0.0</v>
      </c>
      <c r="AB58" s="4">
        <v>0.0</v>
      </c>
      <c r="AC58" s="439">
        <v>0.0</v>
      </c>
      <c r="AD58" s="447"/>
    </row>
    <row r="59">
      <c r="A59" s="447"/>
      <c r="B59" s="438" t="s">
        <v>1294</v>
      </c>
      <c r="C59" s="453">
        <v>0.0</v>
      </c>
      <c r="D59" s="447"/>
      <c r="E59" s="470">
        <v>10.0</v>
      </c>
      <c r="F59" s="298">
        <v>5.0</v>
      </c>
      <c r="G59" s="298">
        <v>4.0</v>
      </c>
      <c r="H59" s="458">
        <v>4.0</v>
      </c>
      <c r="I59" s="458">
        <v>4.0</v>
      </c>
      <c r="J59" s="298">
        <v>4.0</v>
      </c>
      <c r="K59" s="461">
        <v>4.0</v>
      </c>
      <c r="L59" s="461">
        <v>0.0</v>
      </c>
      <c r="M59" s="298">
        <v>0.0</v>
      </c>
      <c r="N59" s="298">
        <v>0.0</v>
      </c>
      <c r="O59" s="298">
        <v>0.0</v>
      </c>
      <c r="P59" s="457">
        <v>0.0</v>
      </c>
      <c r="Q59" s="447"/>
      <c r="R59" s="446">
        <v>10.0</v>
      </c>
      <c r="S59" s="4">
        <v>2.0</v>
      </c>
      <c r="T59" s="4">
        <v>1.0</v>
      </c>
      <c r="U59" s="4">
        <v>1.0</v>
      </c>
      <c r="V59" s="460">
        <v>1.0</v>
      </c>
      <c r="W59" s="4">
        <v>0.0</v>
      </c>
      <c r="X59" s="4">
        <v>0.0</v>
      </c>
      <c r="Y59" s="4">
        <v>0.0</v>
      </c>
      <c r="Z59" s="4">
        <v>0.0</v>
      </c>
      <c r="AA59" s="4">
        <v>0.0</v>
      </c>
      <c r="AB59" s="4">
        <v>0.0</v>
      </c>
      <c r="AC59" s="439">
        <v>0.0</v>
      </c>
      <c r="AD59" s="447"/>
    </row>
    <row r="60">
      <c r="A60" s="447"/>
      <c r="D60" s="447"/>
      <c r="E60" s="470">
        <v>11.0</v>
      </c>
      <c r="F60" s="298">
        <v>5.0</v>
      </c>
      <c r="G60" s="298">
        <v>4.0</v>
      </c>
      <c r="H60" s="458">
        <v>4.0</v>
      </c>
      <c r="I60" s="458">
        <v>4.0</v>
      </c>
      <c r="J60" s="298">
        <v>4.0</v>
      </c>
      <c r="K60" s="461">
        <v>4.0</v>
      </c>
      <c r="L60" s="461">
        <v>3.0</v>
      </c>
      <c r="M60" s="298">
        <v>0.0</v>
      </c>
      <c r="N60" s="298">
        <v>0.0</v>
      </c>
      <c r="O60" s="298">
        <v>0.0</v>
      </c>
      <c r="P60" s="457">
        <v>0.0</v>
      </c>
      <c r="Q60" s="447"/>
      <c r="R60" s="446">
        <v>11.0</v>
      </c>
      <c r="S60" s="4">
        <v>2.0</v>
      </c>
      <c r="T60" s="4">
        <v>1.0</v>
      </c>
      <c r="U60" s="4">
        <v>1.0</v>
      </c>
      <c r="V60" s="460">
        <v>1.0</v>
      </c>
      <c r="W60" s="4">
        <v>0.0</v>
      </c>
      <c r="X60" s="4">
        <v>0.0</v>
      </c>
      <c r="Y60" s="4">
        <v>0.0</v>
      </c>
      <c r="Z60" s="4">
        <v>0.0</v>
      </c>
      <c r="AA60" s="4">
        <v>0.0</v>
      </c>
      <c r="AB60" s="4">
        <v>0.0</v>
      </c>
      <c r="AC60" s="439">
        <v>0.0</v>
      </c>
      <c r="AD60" s="447"/>
    </row>
    <row r="61">
      <c r="A61" s="447"/>
      <c r="D61" s="447"/>
      <c r="E61" s="470">
        <v>12.0</v>
      </c>
      <c r="F61" s="298">
        <v>5.0</v>
      </c>
      <c r="G61" s="298">
        <v>4.0</v>
      </c>
      <c r="H61" s="458">
        <v>4.0</v>
      </c>
      <c r="I61" s="458">
        <v>4.0</v>
      </c>
      <c r="J61" s="298">
        <v>4.0</v>
      </c>
      <c r="K61" s="461">
        <v>4.0</v>
      </c>
      <c r="L61" s="461">
        <v>4.0</v>
      </c>
      <c r="M61" s="298">
        <v>0.0</v>
      </c>
      <c r="N61" s="298">
        <v>0.0</v>
      </c>
      <c r="O61" s="298">
        <v>0.0</v>
      </c>
      <c r="P61" s="457">
        <v>0.0</v>
      </c>
      <c r="Q61" s="447"/>
      <c r="R61" s="446">
        <v>12.0</v>
      </c>
      <c r="S61" s="4">
        <v>2.0</v>
      </c>
      <c r="T61" s="4">
        <v>1.0</v>
      </c>
      <c r="U61" s="4">
        <v>1.0</v>
      </c>
      <c r="V61" s="460">
        <v>1.0</v>
      </c>
      <c r="W61" s="4">
        <v>1.0</v>
      </c>
      <c r="X61" s="4">
        <v>0.0</v>
      </c>
      <c r="Y61" s="4">
        <v>0.0</v>
      </c>
      <c r="Z61" s="4">
        <v>0.0</v>
      </c>
      <c r="AA61" s="4">
        <v>0.0</v>
      </c>
      <c r="AB61" s="4">
        <v>0.0</v>
      </c>
      <c r="AC61" s="439">
        <v>0.0</v>
      </c>
      <c r="AD61" s="447"/>
    </row>
    <row r="62">
      <c r="A62" s="447"/>
      <c r="B62" s="431" t="s">
        <v>2893</v>
      </c>
      <c r="C62" s="32"/>
      <c r="D62" s="447"/>
      <c r="E62" s="470">
        <v>13.0</v>
      </c>
      <c r="F62" s="298">
        <v>5.0</v>
      </c>
      <c r="G62" s="298">
        <v>4.0</v>
      </c>
      <c r="H62" s="458">
        <v>4.0</v>
      </c>
      <c r="I62" s="458">
        <v>4.0</v>
      </c>
      <c r="J62" s="298">
        <v>4.0</v>
      </c>
      <c r="K62" s="461">
        <v>4.0</v>
      </c>
      <c r="L62" s="461">
        <v>4.0</v>
      </c>
      <c r="M62" s="298">
        <v>3.0</v>
      </c>
      <c r="N62" s="298">
        <v>0.0</v>
      </c>
      <c r="O62" s="298">
        <v>0.0</v>
      </c>
      <c r="P62" s="457">
        <v>0.0</v>
      </c>
      <c r="Q62" s="447"/>
      <c r="R62" s="446">
        <v>13.0</v>
      </c>
      <c r="S62" s="4">
        <v>2.0</v>
      </c>
      <c r="T62" s="4">
        <v>1.0</v>
      </c>
      <c r="U62" s="4">
        <v>1.0</v>
      </c>
      <c r="V62" s="460">
        <v>1.0</v>
      </c>
      <c r="W62" s="4">
        <v>1.0</v>
      </c>
      <c r="X62" s="4">
        <v>0.0</v>
      </c>
      <c r="Y62" s="4">
        <v>0.0</v>
      </c>
      <c r="Z62" s="4">
        <v>0.0</v>
      </c>
      <c r="AA62" s="4">
        <v>0.0</v>
      </c>
      <c r="AB62" s="4">
        <v>0.0</v>
      </c>
      <c r="AC62" s="439">
        <v>0.0</v>
      </c>
      <c r="AD62" s="447"/>
    </row>
    <row r="63">
      <c r="A63" s="447"/>
      <c r="B63" s="448" t="s">
        <v>119</v>
      </c>
      <c r="C63" s="449">
        <f>'Animal Companion'!O9+'Animal Companion'!Q9</f>
        <v>3</v>
      </c>
      <c r="D63" s="447"/>
      <c r="E63" s="470">
        <v>14.0</v>
      </c>
      <c r="F63" s="298">
        <v>5.0</v>
      </c>
      <c r="G63" s="298">
        <v>4.0</v>
      </c>
      <c r="H63" s="458">
        <v>4.0</v>
      </c>
      <c r="I63" s="458">
        <v>4.0</v>
      </c>
      <c r="J63" s="298">
        <v>4.0</v>
      </c>
      <c r="K63" s="461">
        <v>4.0</v>
      </c>
      <c r="L63" s="461">
        <v>4.0</v>
      </c>
      <c r="M63" s="458">
        <v>4.0</v>
      </c>
      <c r="N63" s="458">
        <v>0.0</v>
      </c>
      <c r="O63" s="298">
        <v>0.0</v>
      </c>
      <c r="P63" s="457">
        <v>0.0</v>
      </c>
      <c r="Q63" s="447"/>
      <c r="R63" s="446">
        <v>14.0</v>
      </c>
      <c r="S63" s="4">
        <v>2.0</v>
      </c>
      <c r="T63" s="4">
        <v>1.0</v>
      </c>
      <c r="U63" s="4">
        <v>1.0</v>
      </c>
      <c r="V63" s="460">
        <v>1.0</v>
      </c>
      <c r="W63" s="4">
        <v>1.0</v>
      </c>
      <c r="X63" s="4">
        <v>1.0</v>
      </c>
      <c r="Y63" s="4">
        <v>0.0</v>
      </c>
      <c r="Z63" s="4">
        <v>0.0</v>
      </c>
      <c r="AA63" s="4">
        <v>0.0</v>
      </c>
      <c r="AB63" s="4">
        <v>0.0</v>
      </c>
      <c r="AC63" s="439">
        <v>0.0</v>
      </c>
      <c r="AD63" s="447"/>
    </row>
    <row r="64">
      <c r="A64" s="447"/>
      <c r="B64" s="448" t="s">
        <v>93</v>
      </c>
      <c r="C64" s="449">
        <f>'Animal Companion'!O11+'Animal Companion'!Q11</f>
        <v>2</v>
      </c>
      <c r="D64" s="447"/>
      <c r="E64" s="470">
        <v>15.0</v>
      </c>
      <c r="F64" s="298">
        <v>5.0</v>
      </c>
      <c r="G64" s="298">
        <v>4.0</v>
      </c>
      <c r="H64" s="458">
        <v>4.0</v>
      </c>
      <c r="I64" s="458">
        <v>4.0</v>
      </c>
      <c r="J64" s="298">
        <v>4.0</v>
      </c>
      <c r="K64" s="461">
        <v>4.0</v>
      </c>
      <c r="L64" s="461">
        <v>4.0</v>
      </c>
      <c r="M64" s="458">
        <v>4.0</v>
      </c>
      <c r="N64" s="458">
        <v>3.0</v>
      </c>
      <c r="O64" s="298">
        <v>0.0</v>
      </c>
      <c r="P64" s="457">
        <v>0.0</v>
      </c>
      <c r="Q64" s="447"/>
      <c r="R64" s="446">
        <v>15.0</v>
      </c>
      <c r="S64" s="4">
        <v>2.0</v>
      </c>
      <c r="T64" s="4">
        <v>1.0</v>
      </c>
      <c r="U64" s="4">
        <v>1.0</v>
      </c>
      <c r="V64" s="460">
        <v>1.0</v>
      </c>
      <c r="W64" s="4">
        <v>1.0</v>
      </c>
      <c r="X64" s="4">
        <v>1.0</v>
      </c>
      <c r="Y64" s="4">
        <v>0.0</v>
      </c>
      <c r="Z64" s="4">
        <v>0.0</v>
      </c>
      <c r="AA64" s="4">
        <v>0.0</v>
      </c>
      <c r="AB64" s="4">
        <v>0.0</v>
      </c>
      <c r="AC64" s="439">
        <v>0.0</v>
      </c>
      <c r="AD64" s="447"/>
    </row>
    <row r="65">
      <c r="A65" s="447"/>
      <c r="B65" s="448" t="s">
        <v>151</v>
      </c>
      <c r="C65" s="449">
        <f>'Animal Companion'!O13+'Animal Companion'!Q13</f>
        <v>2</v>
      </c>
      <c r="D65" s="447"/>
      <c r="E65" s="470">
        <v>16.0</v>
      </c>
      <c r="F65" s="298">
        <v>5.0</v>
      </c>
      <c r="G65" s="298">
        <v>4.0</v>
      </c>
      <c r="H65" s="458">
        <v>4.0</v>
      </c>
      <c r="I65" s="458">
        <v>4.0</v>
      </c>
      <c r="J65" s="298">
        <v>4.0</v>
      </c>
      <c r="K65" s="461">
        <v>4.0</v>
      </c>
      <c r="L65" s="461">
        <v>4.0</v>
      </c>
      <c r="M65" s="458">
        <v>4.0</v>
      </c>
      <c r="N65" s="458">
        <v>4.0</v>
      </c>
      <c r="O65" s="298">
        <v>0.0</v>
      </c>
      <c r="P65" s="457">
        <v>0.0</v>
      </c>
      <c r="Q65" s="447"/>
      <c r="R65" s="446">
        <v>16.0</v>
      </c>
      <c r="S65" s="4">
        <v>2.0</v>
      </c>
      <c r="T65" s="4">
        <v>1.0</v>
      </c>
      <c r="U65" s="4">
        <v>1.0</v>
      </c>
      <c r="V65" s="460">
        <v>1.0</v>
      </c>
      <c r="W65" s="4">
        <v>1.0</v>
      </c>
      <c r="X65" s="4">
        <v>1.0</v>
      </c>
      <c r="Y65" s="4">
        <v>1.0</v>
      </c>
      <c r="Z65" s="4">
        <v>0.0</v>
      </c>
      <c r="AA65" s="4">
        <v>0.0</v>
      </c>
      <c r="AB65" s="4">
        <v>0.0</v>
      </c>
      <c r="AC65" s="439">
        <v>0.0</v>
      </c>
      <c r="AD65" s="447"/>
    </row>
    <row r="66">
      <c r="A66" s="447"/>
      <c r="B66" s="448" t="s">
        <v>176</v>
      </c>
      <c r="C66" s="449">
        <f>'Animal Companion'!W9+'Animal Companion'!Y9</f>
        <v>-4</v>
      </c>
      <c r="D66" s="447"/>
      <c r="E66" s="470">
        <v>17.0</v>
      </c>
      <c r="F66" s="298">
        <v>5.0</v>
      </c>
      <c r="G66" s="298">
        <v>4.0</v>
      </c>
      <c r="H66" s="458">
        <v>4.0</v>
      </c>
      <c r="I66" s="458">
        <v>4.0</v>
      </c>
      <c r="J66" s="298">
        <v>4.0</v>
      </c>
      <c r="K66" s="461">
        <v>4.0</v>
      </c>
      <c r="L66" s="461">
        <v>4.0</v>
      </c>
      <c r="M66" s="458">
        <v>4.0</v>
      </c>
      <c r="N66" s="458">
        <v>4.0</v>
      </c>
      <c r="O66" s="458">
        <v>3.0</v>
      </c>
      <c r="P66" s="463">
        <v>0.0</v>
      </c>
      <c r="Q66" s="447"/>
      <c r="R66" s="446">
        <v>17.0</v>
      </c>
      <c r="S66" s="4">
        <v>2.0</v>
      </c>
      <c r="T66" s="4">
        <v>1.0</v>
      </c>
      <c r="U66" s="4">
        <v>1.0</v>
      </c>
      <c r="V66" s="460">
        <v>1.0</v>
      </c>
      <c r="W66" s="4">
        <v>1.0</v>
      </c>
      <c r="X66" s="4">
        <v>1.0</v>
      </c>
      <c r="Y66" s="4">
        <v>1.0</v>
      </c>
      <c r="Z66" s="4">
        <v>0.0</v>
      </c>
      <c r="AA66" s="4">
        <v>0.0</v>
      </c>
      <c r="AB66" s="4">
        <v>0.0</v>
      </c>
      <c r="AC66" s="439">
        <v>0.0</v>
      </c>
      <c r="AD66" s="447"/>
    </row>
    <row r="67">
      <c r="A67" s="447"/>
      <c r="B67" s="448" t="s">
        <v>59</v>
      </c>
      <c r="C67" s="449">
        <f>'Animal Companion'!W11+'Animal Companion'!Y11</f>
        <v>1</v>
      </c>
      <c r="D67" s="447"/>
      <c r="E67" s="470">
        <v>18.0</v>
      </c>
      <c r="F67" s="298">
        <v>5.0</v>
      </c>
      <c r="G67" s="298">
        <v>4.0</v>
      </c>
      <c r="H67" s="458">
        <v>4.0</v>
      </c>
      <c r="I67" s="458">
        <v>4.0</v>
      </c>
      <c r="J67" s="298">
        <v>4.0</v>
      </c>
      <c r="K67" s="461">
        <v>4.0</v>
      </c>
      <c r="L67" s="461">
        <v>4.0</v>
      </c>
      <c r="M67" s="458">
        <v>4.0</v>
      </c>
      <c r="N67" s="458">
        <v>4.0</v>
      </c>
      <c r="O67" s="458">
        <v>4.0</v>
      </c>
      <c r="P67" s="463">
        <v>0.0</v>
      </c>
      <c r="Q67" s="447"/>
      <c r="R67" s="446">
        <v>18.0</v>
      </c>
      <c r="S67" s="4">
        <v>2.0</v>
      </c>
      <c r="T67" s="4">
        <v>1.0</v>
      </c>
      <c r="U67" s="4">
        <v>1.0</v>
      </c>
      <c r="V67" s="460">
        <v>1.0</v>
      </c>
      <c r="W67" s="4">
        <v>1.0</v>
      </c>
      <c r="X67" s="4">
        <v>1.0</v>
      </c>
      <c r="Y67" s="4">
        <v>1.0</v>
      </c>
      <c r="Z67" s="4">
        <v>0.0</v>
      </c>
      <c r="AA67" s="4">
        <v>0.0</v>
      </c>
      <c r="AB67" s="4">
        <v>0.0</v>
      </c>
      <c r="AC67" s="439">
        <v>0.0</v>
      </c>
      <c r="AD67" s="447"/>
    </row>
    <row r="68">
      <c r="A68" s="471"/>
      <c r="B68" s="448" t="s">
        <v>199</v>
      </c>
      <c r="C68" s="449">
        <f>'Animal Companion'!W13+'Animal Companion'!Y13</f>
        <v>0</v>
      </c>
      <c r="D68" s="471"/>
      <c r="E68" s="470">
        <v>19.0</v>
      </c>
      <c r="F68" s="298">
        <v>5.0</v>
      </c>
      <c r="G68" s="298">
        <v>4.0</v>
      </c>
      <c r="H68" s="458">
        <v>4.0</v>
      </c>
      <c r="I68" s="458">
        <v>4.0</v>
      </c>
      <c r="J68" s="298">
        <v>4.0</v>
      </c>
      <c r="K68" s="461">
        <v>4.0</v>
      </c>
      <c r="L68" s="461">
        <v>4.0</v>
      </c>
      <c r="M68" s="458">
        <v>4.0</v>
      </c>
      <c r="N68" s="458">
        <v>4.0</v>
      </c>
      <c r="O68" s="458">
        <v>4.0</v>
      </c>
      <c r="P68" s="463">
        <v>1.0</v>
      </c>
      <c r="Q68" s="471"/>
      <c r="R68" s="446">
        <v>19.0</v>
      </c>
      <c r="S68" s="4">
        <v>2.0</v>
      </c>
      <c r="T68" s="4">
        <v>1.0</v>
      </c>
      <c r="U68" s="4">
        <v>1.0</v>
      </c>
      <c r="V68" s="460">
        <v>1.0</v>
      </c>
      <c r="W68" s="4">
        <v>1.0</v>
      </c>
      <c r="X68" s="4">
        <v>1.0</v>
      </c>
      <c r="Y68" s="4">
        <v>1.0</v>
      </c>
      <c r="Z68" s="4">
        <v>0.0</v>
      </c>
      <c r="AA68" s="4">
        <v>0.0</v>
      </c>
      <c r="AB68" s="4">
        <v>0.0</v>
      </c>
      <c r="AC68" s="439">
        <v>0.0</v>
      </c>
      <c r="AD68" s="471"/>
    </row>
    <row r="69">
      <c r="A69" s="471"/>
      <c r="B69" s="7"/>
      <c r="C69" s="3"/>
      <c r="D69" s="471"/>
      <c r="E69" s="440">
        <v>20.0</v>
      </c>
      <c r="F69" s="343">
        <v>5.0</v>
      </c>
      <c r="G69" s="343">
        <v>4.0</v>
      </c>
      <c r="H69" s="464">
        <v>4.0</v>
      </c>
      <c r="I69" s="343">
        <v>4.0</v>
      </c>
      <c r="J69" s="343">
        <v>4.0</v>
      </c>
      <c r="K69" s="472">
        <v>4.0</v>
      </c>
      <c r="L69" s="472">
        <v>4.0</v>
      </c>
      <c r="M69" s="464">
        <v>4.0</v>
      </c>
      <c r="N69" s="464">
        <v>4.0</v>
      </c>
      <c r="O69" s="464">
        <v>4.0</v>
      </c>
      <c r="P69" s="465">
        <v>1.0</v>
      </c>
      <c r="Q69" s="471"/>
      <c r="R69" s="459">
        <v>20.0</v>
      </c>
      <c r="S69" s="454">
        <v>2.0</v>
      </c>
      <c r="T69" s="454">
        <v>1.0</v>
      </c>
      <c r="U69" s="454">
        <v>1.0</v>
      </c>
      <c r="V69" s="466">
        <v>1.0</v>
      </c>
      <c r="W69" s="454">
        <v>1.0</v>
      </c>
      <c r="X69" s="454">
        <v>1.0</v>
      </c>
      <c r="Y69" s="454">
        <v>1.0</v>
      </c>
      <c r="Z69" s="454">
        <v>0.0</v>
      </c>
      <c r="AA69" s="454">
        <v>0.0</v>
      </c>
      <c r="AB69" s="454">
        <v>0.0</v>
      </c>
      <c r="AC69" s="467">
        <v>0.0</v>
      </c>
      <c r="AD69" s="471"/>
    </row>
    <row r="70">
      <c r="A70" s="447"/>
      <c r="B70" s="7"/>
      <c r="C70" s="3"/>
      <c r="D70" s="444"/>
      <c r="E70" s="444"/>
      <c r="F70" s="444"/>
      <c r="G70" s="444"/>
      <c r="H70" s="444"/>
      <c r="I70" s="444"/>
      <c r="J70" s="444"/>
      <c r="K70" s="444"/>
      <c r="L70" s="444"/>
      <c r="M70" s="444"/>
      <c r="N70" s="444"/>
      <c r="O70" s="444"/>
      <c r="P70" s="444"/>
      <c r="Q70" s="444"/>
      <c r="R70" s="447"/>
      <c r="S70" s="447"/>
      <c r="T70" s="447"/>
      <c r="U70" s="447"/>
      <c r="V70" s="447"/>
      <c r="W70" s="447"/>
      <c r="X70" s="447"/>
      <c r="Y70" s="447"/>
      <c r="Z70" s="447"/>
      <c r="AA70" s="447"/>
      <c r="AB70" s="447"/>
      <c r="AC70" s="447"/>
      <c r="AD70" s="444"/>
    </row>
    <row r="71">
      <c r="A71" s="447"/>
      <c r="B71" s="434" t="s">
        <v>2935</v>
      </c>
      <c r="C71" s="451" t="s">
        <v>2745</v>
      </c>
      <c r="D71" s="447"/>
      <c r="E71" s="468" t="s">
        <v>2658</v>
      </c>
      <c r="F71" s="29"/>
      <c r="G71" s="29"/>
      <c r="H71" s="29"/>
      <c r="I71" s="29"/>
      <c r="J71" s="29"/>
      <c r="K71" s="29"/>
      <c r="L71" s="29"/>
      <c r="M71" s="29"/>
      <c r="N71" s="29"/>
      <c r="O71" s="29"/>
      <c r="P71" s="32"/>
      <c r="Q71" s="447"/>
      <c r="R71" s="432" t="s">
        <v>2722</v>
      </c>
      <c r="S71" s="29"/>
      <c r="T71" s="29"/>
      <c r="U71" s="29"/>
      <c r="V71" s="29"/>
      <c r="W71" s="29"/>
      <c r="X71" s="29"/>
      <c r="Y71" s="29"/>
      <c r="Z71" s="29"/>
      <c r="AA71" s="29"/>
      <c r="AB71" s="29"/>
      <c r="AC71" s="32"/>
      <c r="AD71" s="447"/>
    </row>
    <row r="72">
      <c r="A72" s="447"/>
      <c r="B72" s="438" t="s">
        <v>2940</v>
      </c>
      <c r="C72" s="453">
        <v>8.0</v>
      </c>
      <c r="D72" s="447"/>
      <c r="E72" s="469" t="s">
        <v>2606</v>
      </c>
      <c r="F72" s="469">
        <v>0.0</v>
      </c>
      <c r="G72" s="469">
        <v>1.0</v>
      </c>
      <c r="H72" s="469">
        <v>2.0</v>
      </c>
      <c r="I72" s="469">
        <v>3.0</v>
      </c>
      <c r="J72" s="469">
        <v>4.0</v>
      </c>
      <c r="K72" s="469">
        <v>5.0</v>
      </c>
      <c r="L72" s="469">
        <v>6.0</v>
      </c>
      <c r="M72" s="469">
        <v>7.0</v>
      </c>
      <c r="N72" s="469">
        <v>8.0</v>
      </c>
      <c r="O72" s="469">
        <v>9.0</v>
      </c>
      <c r="P72" s="469">
        <v>10.0</v>
      </c>
      <c r="Q72" s="447"/>
      <c r="R72" s="435" t="s">
        <v>2606</v>
      </c>
      <c r="S72" s="435">
        <v>0.0</v>
      </c>
      <c r="T72" s="435">
        <v>1.0</v>
      </c>
      <c r="U72" s="435">
        <v>2.0</v>
      </c>
      <c r="V72" s="435">
        <v>3.0</v>
      </c>
      <c r="W72" s="435">
        <v>4.0</v>
      </c>
      <c r="X72" s="435">
        <v>5.0</v>
      </c>
      <c r="Y72" s="435">
        <v>6.0</v>
      </c>
      <c r="Z72" s="435">
        <v>7.0</v>
      </c>
      <c r="AA72" s="435">
        <v>8.0</v>
      </c>
      <c r="AB72" s="435">
        <v>9.0</v>
      </c>
      <c r="AC72" s="435">
        <v>10.0</v>
      </c>
      <c r="AD72" s="447"/>
    </row>
    <row r="73">
      <c r="A73" s="447"/>
      <c r="B73" s="438" t="s">
        <v>2943</v>
      </c>
      <c r="C73" s="453">
        <v>8.0</v>
      </c>
      <c r="D73" s="447"/>
      <c r="E73" s="469">
        <v>1.0</v>
      </c>
      <c r="F73" s="298">
        <v>3.0</v>
      </c>
      <c r="G73" s="298">
        <v>1.0</v>
      </c>
      <c r="H73" s="298">
        <v>0.0</v>
      </c>
      <c r="I73" s="298">
        <v>0.0</v>
      </c>
      <c r="J73" s="298">
        <v>0.0</v>
      </c>
      <c r="K73" s="298">
        <v>0.0</v>
      </c>
      <c r="L73" s="298">
        <v>0.0</v>
      </c>
      <c r="M73" s="298">
        <v>0.0</v>
      </c>
      <c r="N73" s="298">
        <v>0.0</v>
      </c>
      <c r="O73" s="298">
        <v>0.0</v>
      </c>
      <c r="P73" s="457">
        <v>0.0</v>
      </c>
      <c r="Q73" s="447"/>
      <c r="R73" s="435">
        <v>1.0</v>
      </c>
      <c r="S73" s="4">
        <v>2.0</v>
      </c>
      <c r="T73" s="4">
        <v>0.0</v>
      </c>
      <c r="U73" s="4">
        <v>0.0</v>
      </c>
      <c r="V73" s="4">
        <v>0.0</v>
      </c>
      <c r="W73" s="4">
        <v>0.0</v>
      </c>
      <c r="X73" s="4">
        <v>0.0</v>
      </c>
      <c r="Y73" s="4">
        <v>0.0</v>
      </c>
      <c r="Z73" s="4">
        <v>0.0</v>
      </c>
      <c r="AA73" s="4">
        <v>0.0</v>
      </c>
      <c r="AB73" s="4">
        <v>0.0</v>
      </c>
      <c r="AC73" s="439">
        <v>0.0</v>
      </c>
      <c r="AD73" s="447"/>
    </row>
    <row r="74">
      <c r="A74" s="444"/>
      <c r="B74" s="438" t="s">
        <v>2946</v>
      </c>
      <c r="C74" s="453">
        <v>8.0</v>
      </c>
      <c r="D74" s="444"/>
      <c r="E74" s="469">
        <v>2.0</v>
      </c>
      <c r="F74" s="298">
        <v>3.0</v>
      </c>
      <c r="G74" s="298">
        <v>2.0</v>
      </c>
      <c r="H74" s="298">
        <v>0.0</v>
      </c>
      <c r="I74" s="298">
        <v>0.0</v>
      </c>
      <c r="J74" s="298">
        <v>0.0</v>
      </c>
      <c r="K74" s="298">
        <v>0.0</v>
      </c>
      <c r="L74" s="298">
        <v>0.0</v>
      </c>
      <c r="M74" s="298">
        <v>0.0</v>
      </c>
      <c r="N74" s="298">
        <v>0.0</v>
      </c>
      <c r="O74" s="298">
        <v>0.0</v>
      </c>
      <c r="P74" s="457">
        <v>0.0</v>
      </c>
      <c r="Q74" s="444"/>
      <c r="R74" s="435">
        <v>2.0</v>
      </c>
      <c r="S74" s="4">
        <v>2.0</v>
      </c>
      <c r="T74" s="4">
        <v>0.0</v>
      </c>
      <c r="U74" s="4">
        <v>0.0</v>
      </c>
      <c r="V74" s="4">
        <v>0.0</v>
      </c>
      <c r="W74" s="4">
        <v>0.0</v>
      </c>
      <c r="X74" s="4">
        <v>0.0</v>
      </c>
      <c r="Y74" s="4">
        <v>0.0</v>
      </c>
      <c r="Z74" s="4">
        <v>0.0</v>
      </c>
      <c r="AA74" s="4">
        <v>0.0</v>
      </c>
      <c r="AB74" s="4">
        <v>0.0</v>
      </c>
      <c r="AC74" s="439">
        <v>0.0</v>
      </c>
      <c r="AD74" s="444"/>
    </row>
    <row r="75">
      <c r="A75" s="444"/>
      <c r="B75" s="438" t="s">
        <v>2948</v>
      </c>
      <c r="C75" s="453">
        <v>4.0</v>
      </c>
      <c r="D75" s="444"/>
      <c r="E75" s="440">
        <v>3.0</v>
      </c>
      <c r="F75" s="298">
        <v>3.0</v>
      </c>
      <c r="G75" s="298">
        <v>2.0</v>
      </c>
      <c r="H75" s="458">
        <v>1.0</v>
      </c>
      <c r="I75" s="458">
        <v>0.0</v>
      </c>
      <c r="J75" s="298">
        <v>0.0</v>
      </c>
      <c r="K75" s="298">
        <v>0.0</v>
      </c>
      <c r="L75" s="298">
        <v>0.0</v>
      </c>
      <c r="M75" s="298">
        <v>0.0</v>
      </c>
      <c r="N75" s="298">
        <v>0.0</v>
      </c>
      <c r="O75" s="298">
        <v>0.0</v>
      </c>
      <c r="P75" s="457">
        <v>0.0</v>
      </c>
      <c r="Q75" s="444"/>
      <c r="R75" s="459">
        <v>3.0</v>
      </c>
      <c r="S75" s="4">
        <v>2.0</v>
      </c>
      <c r="T75" s="4">
        <v>0.0</v>
      </c>
      <c r="U75" s="4">
        <v>0.0</v>
      </c>
      <c r="V75" s="460">
        <v>0.0</v>
      </c>
      <c r="W75" s="4">
        <v>0.0</v>
      </c>
      <c r="X75" s="4">
        <v>0.0</v>
      </c>
      <c r="Y75" s="4">
        <v>0.0</v>
      </c>
      <c r="Z75" s="4">
        <v>0.0</v>
      </c>
      <c r="AA75" s="4">
        <v>0.0</v>
      </c>
      <c r="AB75" s="4">
        <v>0.0</v>
      </c>
      <c r="AC75" s="439">
        <v>0.0</v>
      </c>
      <c r="AD75" s="444"/>
    </row>
    <row r="76">
      <c r="A76" s="447"/>
      <c r="B76" s="438" t="s">
        <v>2954</v>
      </c>
      <c r="C76" s="453">
        <v>8.0</v>
      </c>
      <c r="D76" s="447"/>
      <c r="E76" s="440">
        <v>4.0</v>
      </c>
      <c r="F76" s="298">
        <v>3.0</v>
      </c>
      <c r="G76" s="298">
        <v>2.0</v>
      </c>
      <c r="H76" s="458">
        <v>2.0</v>
      </c>
      <c r="I76" s="458">
        <v>0.0</v>
      </c>
      <c r="J76" s="298">
        <v>0.0</v>
      </c>
      <c r="K76" s="298">
        <v>0.0</v>
      </c>
      <c r="L76" s="298">
        <v>0.0</v>
      </c>
      <c r="M76" s="298">
        <v>0.0</v>
      </c>
      <c r="N76" s="298">
        <v>0.0</v>
      </c>
      <c r="O76" s="298">
        <v>0.0</v>
      </c>
      <c r="P76" s="457">
        <v>0.0</v>
      </c>
      <c r="Q76" s="447"/>
      <c r="R76" s="459">
        <v>4.0</v>
      </c>
      <c r="S76" s="4">
        <v>2.0</v>
      </c>
      <c r="T76" s="4">
        <v>1.0</v>
      </c>
      <c r="U76" s="4">
        <v>0.0</v>
      </c>
      <c r="V76" s="460">
        <v>0.0</v>
      </c>
      <c r="W76" s="4">
        <v>0.0</v>
      </c>
      <c r="X76" s="4">
        <v>0.0</v>
      </c>
      <c r="Y76" s="4">
        <v>0.0</v>
      </c>
      <c r="Z76" s="4">
        <v>0.0</v>
      </c>
      <c r="AA76" s="4">
        <v>0.0</v>
      </c>
      <c r="AB76" s="4">
        <v>0.0</v>
      </c>
      <c r="AC76" s="439">
        <v>0.0</v>
      </c>
      <c r="AD76" s="447"/>
    </row>
    <row r="77">
      <c r="A77" s="447"/>
      <c r="B77" s="438" t="s">
        <v>2957</v>
      </c>
      <c r="C77" s="453">
        <v>6.0</v>
      </c>
      <c r="D77" s="218"/>
      <c r="E77" s="440">
        <v>5.0</v>
      </c>
      <c r="F77" s="298">
        <v>3.0</v>
      </c>
      <c r="G77" s="298">
        <v>2.0</v>
      </c>
      <c r="H77" s="458">
        <v>2.0</v>
      </c>
      <c r="I77" s="458">
        <v>1.0</v>
      </c>
      <c r="J77" s="298">
        <v>0.0</v>
      </c>
      <c r="K77" s="298">
        <v>0.0</v>
      </c>
      <c r="L77" s="298">
        <v>0.0</v>
      </c>
      <c r="M77" s="298">
        <v>0.0</v>
      </c>
      <c r="N77" s="298">
        <v>0.0</v>
      </c>
      <c r="O77" s="298">
        <v>0.0</v>
      </c>
      <c r="P77" s="457">
        <v>0.0</v>
      </c>
      <c r="Q77" s="218"/>
      <c r="R77" s="459">
        <v>5.0</v>
      </c>
      <c r="S77" s="4">
        <v>2.0</v>
      </c>
      <c r="T77" s="4">
        <v>1.0</v>
      </c>
      <c r="U77" s="4">
        <v>0.0</v>
      </c>
      <c r="V77" s="460">
        <v>0.0</v>
      </c>
      <c r="W77" s="4">
        <v>0.0</v>
      </c>
      <c r="X77" s="4">
        <v>0.0</v>
      </c>
      <c r="Y77" s="4">
        <v>0.0</v>
      </c>
      <c r="Z77" s="4">
        <v>0.0</v>
      </c>
      <c r="AA77" s="4">
        <v>0.0</v>
      </c>
      <c r="AB77" s="4">
        <v>0.0</v>
      </c>
      <c r="AC77" s="439">
        <v>0.0</v>
      </c>
      <c r="AD77" s="218"/>
    </row>
    <row r="78">
      <c r="A78" s="447"/>
      <c r="B78" s="438" t="s">
        <v>2962</v>
      </c>
      <c r="C78" s="453">
        <v>4.0</v>
      </c>
      <c r="D78" s="218"/>
      <c r="E78" s="440">
        <v>6.0</v>
      </c>
      <c r="F78" s="298">
        <v>3.0</v>
      </c>
      <c r="G78" s="298">
        <v>2.0</v>
      </c>
      <c r="H78" s="458">
        <v>2.0</v>
      </c>
      <c r="I78" s="458">
        <v>2.0</v>
      </c>
      <c r="J78" s="298">
        <v>0.0</v>
      </c>
      <c r="K78" s="298">
        <v>0.0</v>
      </c>
      <c r="L78" s="298">
        <v>0.0</v>
      </c>
      <c r="M78" s="298">
        <v>0.0</v>
      </c>
      <c r="N78" s="298">
        <v>0.0</v>
      </c>
      <c r="O78" s="298">
        <v>0.0</v>
      </c>
      <c r="P78" s="457">
        <v>0.0</v>
      </c>
      <c r="Q78" s="218"/>
      <c r="R78" s="459">
        <v>6.0</v>
      </c>
      <c r="S78" s="4">
        <v>2.0</v>
      </c>
      <c r="T78" s="4">
        <v>1.0</v>
      </c>
      <c r="U78" s="4">
        <v>1.0</v>
      </c>
      <c r="V78" s="460">
        <v>0.0</v>
      </c>
      <c r="W78" s="4">
        <v>0.0</v>
      </c>
      <c r="X78" s="4">
        <v>0.0</v>
      </c>
      <c r="Y78" s="4">
        <v>0.0</v>
      </c>
      <c r="Z78" s="4">
        <v>0.0</v>
      </c>
      <c r="AA78" s="4">
        <v>0.0</v>
      </c>
      <c r="AB78" s="4">
        <v>0.0</v>
      </c>
      <c r="AC78" s="439">
        <v>0.0</v>
      </c>
      <c r="AD78" s="218"/>
    </row>
    <row r="79">
      <c r="A79" s="447"/>
      <c r="B79" s="438" t="s">
        <v>2964</v>
      </c>
      <c r="C79" s="453">
        <v>6.0</v>
      </c>
      <c r="D79" s="218"/>
      <c r="E79" s="440">
        <v>7.0</v>
      </c>
      <c r="F79" s="298">
        <v>3.0</v>
      </c>
      <c r="G79" s="298">
        <v>2.0</v>
      </c>
      <c r="H79" s="458">
        <v>2.0</v>
      </c>
      <c r="I79" s="458">
        <v>2.0</v>
      </c>
      <c r="J79" s="458">
        <v>1.0</v>
      </c>
      <c r="K79" s="458">
        <v>0.0</v>
      </c>
      <c r="L79" s="298">
        <v>0.0</v>
      </c>
      <c r="M79" s="298">
        <v>0.0</v>
      </c>
      <c r="N79" s="298">
        <v>0.0</v>
      </c>
      <c r="O79" s="298">
        <v>0.0</v>
      </c>
      <c r="P79" s="457">
        <v>0.0</v>
      </c>
      <c r="Q79" s="218"/>
      <c r="R79" s="459">
        <v>7.0</v>
      </c>
      <c r="S79" s="4">
        <v>2.0</v>
      </c>
      <c r="T79" s="4">
        <v>1.0</v>
      </c>
      <c r="U79" s="4">
        <v>1.0</v>
      </c>
      <c r="V79" s="460">
        <v>0.0</v>
      </c>
      <c r="W79" s="4">
        <v>0.0</v>
      </c>
      <c r="X79" s="4">
        <v>0.0</v>
      </c>
      <c r="Y79" s="4">
        <v>0.0</v>
      </c>
      <c r="Z79" s="4">
        <v>0.0</v>
      </c>
      <c r="AA79" s="4">
        <v>0.0</v>
      </c>
      <c r="AB79" s="4">
        <v>0.0</v>
      </c>
      <c r="AC79" s="439">
        <v>0.0</v>
      </c>
      <c r="AD79" s="218"/>
    </row>
    <row r="80">
      <c r="A80" s="444"/>
      <c r="B80" s="438" t="s">
        <v>2967</v>
      </c>
      <c r="C80" s="453">
        <v>6.0</v>
      </c>
      <c r="D80" s="444"/>
      <c r="E80" s="440">
        <v>8.0</v>
      </c>
      <c r="F80" s="298">
        <v>3.0</v>
      </c>
      <c r="G80" s="298">
        <v>2.0</v>
      </c>
      <c r="H80" s="458">
        <v>2.0</v>
      </c>
      <c r="I80" s="458">
        <v>2.0</v>
      </c>
      <c r="J80" s="298">
        <v>2.0</v>
      </c>
      <c r="K80" s="298">
        <v>0.0</v>
      </c>
      <c r="L80" s="298">
        <v>0.0</v>
      </c>
      <c r="M80" s="298">
        <v>0.0</v>
      </c>
      <c r="N80" s="298">
        <v>0.0</v>
      </c>
      <c r="O80" s="298">
        <v>0.0</v>
      </c>
      <c r="P80" s="457">
        <v>0.0</v>
      </c>
      <c r="Q80" s="444"/>
      <c r="R80" s="459">
        <v>8.0</v>
      </c>
      <c r="S80" s="4">
        <v>2.0</v>
      </c>
      <c r="T80" s="4">
        <v>1.0</v>
      </c>
      <c r="U80" s="4">
        <v>1.0</v>
      </c>
      <c r="V80" s="460">
        <v>1.0</v>
      </c>
      <c r="W80" s="4">
        <v>0.0</v>
      </c>
      <c r="X80" s="4">
        <v>0.0</v>
      </c>
      <c r="Y80" s="4">
        <v>0.0</v>
      </c>
      <c r="Z80" s="4">
        <v>0.0</v>
      </c>
      <c r="AA80" s="4">
        <v>0.0</v>
      </c>
      <c r="AB80" s="4">
        <v>0.0</v>
      </c>
      <c r="AC80" s="439">
        <v>0.0</v>
      </c>
      <c r="AD80" s="444"/>
    </row>
    <row r="81">
      <c r="A81" s="444"/>
      <c r="B81" s="438" t="s">
        <v>804</v>
      </c>
      <c r="C81" s="453">
        <v>8.0</v>
      </c>
      <c r="D81" s="444"/>
      <c r="E81" s="470">
        <v>9.0</v>
      </c>
      <c r="F81" s="298">
        <v>3.0</v>
      </c>
      <c r="G81" s="298">
        <v>2.0</v>
      </c>
      <c r="H81" s="458">
        <v>2.0</v>
      </c>
      <c r="I81" s="458">
        <v>2.0</v>
      </c>
      <c r="J81" s="298">
        <v>2.0</v>
      </c>
      <c r="K81" s="461">
        <v>1.0</v>
      </c>
      <c r="L81" s="298">
        <v>0.0</v>
      </c>
      <c r="M81" s="298">
        <v>0.0</v>
      </c>
      <c r="N81" s="298">
        <v>0.0</v>
      </c>
      <c r="O81" s="298">
        <v>0.0</v>
      </c>
      <c r="P81" s="457">
        <v>0.0</v>
      </c>
      <c r="Q81" s="444"/>
      <c r="R81" s="446">
        <v>9.0</v>
      </c>
      <c r="S81" s="4">
        <v>2.0</v>
      </c>
      <c r="T81" s="4">
        <v>1.0</v>
      </c>
      <c r="U81" s="4">
        <v>1.0</v>
      </c>
      <c r="V81" s="460">
        <v>1.0</v>
      </c>
      <c r="W81" s="4">
        <v>0.0</v>
      </c>
      <c r="X81" s="4">
        <v>0.0</v>
      </c>
      <c r="Y81" s="4">
        <v>0.0</v>
      </c>
      <c r="Z81" s="4">
        <v>0.0</v>
      </c>
      <c r="AA81" s="4">
        <v>0.0</v>
      </c>
      <c r="AB81" s="4">
        <v>0.0</v>
      </c>
      <c r="AC81" s="439">
        <v>0.0</v>
      </c>
      <c r="AD81" s="444"/>
    </row>
    <row r="82">
      <c r="A82" s="447"/>
      <c r="B82" s="438" t="s">
        <v>2978</v>
      </c>
      <c r="C82" s="453">
        <v>6.0</v>
      </c>
      <c r="D82" s="218"/>
      <c r="E82" s="470">
        <v>10.0</v>
      </c>
      <c r="F82" s="298">
        <v>3.0</v>
      </c>
      <c r="G82" s="298">
        <v>2.0</v>
      </c>
      <c r="H82" s="458">
        <v>2.0</v>
      </c>
      <c r="I82" s="458">
        <v>2.0</v>
      </c>
      <c r="J82" s="298">
        <v>2.0</v>
      </c>
      <c r="K82" s="461">
        <v>2.0</v>
      </c>
      <c r="L82" s="298">
        <v>0.0</v>
      </c>
      <c r="M82" s="298">
        <v>0.0</v>
      </c>
      <c r="N82" s="298">
        <v>0.0</v>
      </c>
      <c r="O82" s="298">
        <v>0.0</v>
      </c>
      <c r="P82" s="457">
        <v>0.0</v>
      </c>
      <c r="Q82" s="218"/>
      <c r="R82" s="446">
        <v>10.0</v>
      </c>
      <c r="S82" s="4">
        <v>2.0</v>
      </c>
      <c r="T82" s="4">
        <v>1.0</v>
      </c>
      <c r="U82" s="4">
        <v>1.0</v>
      </c>
      <c r="V82" s="460">
        <v>1.0</v>
      </c>
      <c r="W82" s="4">
        <v>0.0</v>
      </c>
      <c r="X82" s="4">
        <v>0.0</v>
      </c>
      <c r="Y82" s="4">
        <v>0.0</v>
      </c>
      <c r="Z82" s="4">
        <v>0.0</v>
      </c>
      <c r="AA82" s="4">
        <v>0.0</v>
      </c>
      <c r="AB82" s="4">
        <v>0.0</v>
      </c>
      <c r="AC82" s="439">
        <v>0.0</v>
      </c>
      <c r="AD82" s="218"/>
    </row>
    <row r="83">
      <c r="A83" s="444"/>
      <c r="B83" s="438" t="s">
        <v>2985</v>
      </c>
      <c r="C83" s="453">
        <v>8.0</v>
      </c>
      <c r="D83" s="444"/>
      <c r="E83" s="470">
        <v>11.0</v>
      </c>
      <c r="F83" s="298">
        <v>3.0</v>
      </c>
      <c r="G83" s="298">
        <v>2.0</v>
      </c>
      <c r="H83" s="458">
        <v>2.0</v>
      </c>
      <c r="I83" s="458">
        <v>2.0</v>
      </c>
      <c r="J83" s="298">
        <v>2.0</v>
      </c>
      <c r="K83" s="461">
        <v>2.0</v>
      </c>
      <c r="L83" s="461">
        <v>1.0</v>
      </c>
      <c r="M83" s="461">
        <v>0.0</v>
      </c>
      <c r="N83" s="298">
        <v>0.0</v>
      </c>
      <c r="O83" s="298">
        <v>0.0</v>
      </c>
      <c r="P83" s="457">
        <v>0.0</v>
      </c>
      <c r="Q83" s="444"/>
      <c r="R83" s="446">
        <v>11.0</v>
      </c>
      <c r="S83" s="4">
        <v>2.0</v>
      </c>
      <c r="T83" s="4">
        <v>1.0</v>
      </c>
      <c r="U83" s="4">
        <v>1.0</v>
      </c>
      <c r="V83" s="460">
        <v>1.0</v>
      </c>
      <c r="W83" s="4">
        <v>0.0</v>
      </c>
      <c r="X83" s="4">
        <v>0.0</v>
      </c>
      <c r="Y83" s="4">
        <v>0.0</v>
      </c>
      <c r="Z83" s="4">
        <v>0.0</v>
      </c>
      <c r="AA83" s="4">
        <v>0.0</v>
      </c>
      <c r="AB83" s="4">
        <v>0.0</v>
      </c>
      <c r="AC83" s="439">
        <v>0.0</v>
      </c>
      <c r="AD83" s="444"/>
    </row>
    <row r="84">
      <c r="A84" s="444"/>
      <c r="B84" s="438" t="s">
        <v>2991</v>
      </c>
      <c r="C84" s="453">
        <v>6.0</v>
      </c>
      <c r="D84" s="444"/>
      <c r="E84" s="470">
        <v>12.0</v>
      </c>
      <c r="F84" s="298">
        <v>3.0</v>
      </c>
      <c r="G84" s="298">
        <v>2.0</v>
      </c>
      <c r="H84" s="458">
        <v>2.0</v>
      </c>
      <c r="I84" s="458">
        <v>2.0</v>
      </c>
      <c r="J84" s="298">
        <v>2.0</v>
      </c>
      <c r="K84" s="461">
        <v>2.0</v>
      </c>
      <c r="L84" s="461">
        <v>2.0</v>
      </c>
      <c r="M84" s="461">
        <v>0.0</v>
      </c>
      <c r="N84" s="298">
        <v>0.0</v>
      </c>
      <c r="O84" s="298">
        <v>0.0</v>
      </c>
      <c r="P84" s="457">
        <v>0.0</v>
      </c>
      <c r="Q84" s="444"/>
      <c r="R84" s="446">
        <v>12.0</v>
      </c>
      <c r="S84" s="4">
        <v>2.0</v>
      </c>
      <c r="T84" s="4">
        <v>1.0</v>
      </c>
      <c r="U84" s="4">
        <v>1.0</v>
      </c>
      <c r="V84" s="460">
        <v>1.0</v>
      </c>
      <c r="W84" s="4">
        <v>1.0</v>
      </c>
      <c r="X84" s="4">
        <v>0.0</v>
      </c>
      <c r="Y84" s="4">
        <v>0.0</v>
      </c>
      <c r="Z84" s="4">
        <v>0.0</v>
      </c>
      <c r="AA84" s="4">
        <v>0.0</v>
      </c>
      <c r="AB84" s="4">
        <v>0.0</v>
      </c>
      <c r="AC84" s="439">
        <v>0.0</v>
      </c>
      <c r="AD84" s="444"/>
    </row>
    <row r="85">
      <c r="A85" s="444"/>
      <c r="B85" s="473" t="s">
        <v>2994</v>
      </c>
      <c r="C85" s="474">
        <v>6.0</v>
      </c>
      <c r="D85" s="444"/>
      <c r="E85" s="470">
        <v>13.0</v>
      </c>
      <c r="F85" s="298">
        <v>3.0</v>
      </c>
      <c r="G85" s="298">
        <v>2.0</v>
      </c>
      <c r="H85" s="458">
        <v>2.0</v>
      </c>
      <c r="I85" s="458">
        <v>2.0</v>
      </c>
      <c r="J85" s="298">
        <v>2.0</v>
      </c>
      <c r="K85" s="461">
        <v>2.0</v>
      </c>
      <c r="L85" s="461">
        <v>2.0</v>
      </c>
      <c r="M85" s="298">
        <v>1.0</v>
      </c>
      <c r="N85" s="298">
        <v>0.0</v>
      </c>
      <c r="O85" s="298">
        <v>0.0</v>
      </c>
      <c r="P85" s="457">
        <v>0.0</v>
      </c>
      <c r="Q85" s="444"/>
      <c r="R85" s="446">
        <v>13.0</v>
      </c>
      <c r="S85" s="4">
        <v>2.0</v>
      </c>
      <c r="T85" s="4">
        <v>1.0</v>
      </c>
      <c r="U85" s="4">
        <v>1.0</v>
      </c>
      <c r="V85" s="460">
        <v>1.0</v>
      </c>
      <c r="W85" s="4">
        <v>1.0</v>
      </c>
      <c r="X85" s="4">
        <v>0.0</v>
      </c>
      <c r="Y85" s="4">
        <v>0.0</v>
      </c>
      <c r="Z85" s="4">
        <v>0.0</v>
      </c>
      <c r="AA85" s="4">
        <v>0.0</v>
      </c>
      <c r="AB85" s="4">
        <v>0.0</v>
      </c>
      <c r="AC85" s="439">
        <v>0.0</v>
      </c>
      <c r="AD85" s="444"/>
    </row>
    <row r="86">
      <c r="A86" s="444"/>
      <c r="B86" s="438" t="s">
        <v>1294</v>
      </c>
      <c r="C86" s="453">
        <v>1.0</v>
      </c>
      <c r="D86" s="444"/>
      <c r="E86" s="470">
        <v>14.0</v>
      </c>
      <c r="F86" s="298">
        <v>3.0</v>
      </c>
      <c r="G86" s="298">
        <v>2.0</v>
      </c>
      <c r="H86" s="458">
        <v>2.0</v>
      </c>
      <c r="I86" s="458">
        <v>2.0</v>
      </c>
      <c r="J86" s="298">
        <v>2.0</v>
      </c>
      <c r="K86" s="461">
        <v>2.0</v>
      </c>
      <c r="L86" s="461">
        <v>2.0</v>
      </c>
      <c r="M86" s="458">
        <v>2.0</v>
      </c>
      <c r="N86" s="298">
        <v>0.0</v>
      </c>
      <c r="O86" s="298">
        <v>0.0</v>
      </c>
      <c r="P86" s="457">
        <v>0.0</v>
      </c>
      <c r="Q86" s="444"/>
      <c r="R86" s="446">
        <v>14.0</v>
      </c>
      <c r="S86" s="4">
        <v>2.0</v>
      </c>
      <c r="T86" s="4">
        <v>1.0</v>
      </c>
      <c r="U86" s="4">
        <v>1.0</v>
      </c>
      <c r="V86" s="460">
        <v>1.0</v>
      </c>
      <c r="W86" s="4">
        <v>1.0</v>
      </c>
      <c r="X86" s="4">
        <v>1.0</v>
      </c>
      <c r="Y86" s="4">
        <v>0.0</v>
      </c>
      <c r="Z86" s="4">
        <v>0.0</v>
      </c>
      <c r="AA86" s="4">
        <v>0.0</v>
      </c>
      <c r="AB86" s="4">
        <v>0.0</v>
      </c>
      <c r="AC86" s="439">
        <v>0.0</v>
      </c>
      <c r="AD86" s="444"/>
    </row>
    <row r="87">
      <c r="A87" s="444"/>
      <c r="B87" s="7"/>
      <c r="C87" s="475"/>
      <c r="D87" s="444"/>
      <c r="E87" s="470">
        <v>15.0</v>
      </c>
      <c r="F87" s="298">
        <v>3.0</v>
      </c>
      <c r="G87" s="298">
        <v>2.0</v>
      </c>
      <c r="H87" s="458">
        <v>2.0</v>
      </c>
      <c r="I87" s="458">
        <v>2.0</v>
      </c>
      <c r="J87" s="298">
        <v>2.0</v>
      </c>
      <c r="K87" s="461">
        <v>2.0</v>
      </c>
      <c r="L87" s="461">
        <v>2.0</v>
      </c>
      <c r="M87" s="458">
        <v>2.0</v>
      </c>
      <c r="N87" s="458">
        <v>1.0</v>
      </c>
      <c r="O87" s="458">
        <v>0.0</v>
      </c>
      <c r="P87" s="457">
        <v>0.0</v>
      </c>
      <c r="Q87" s="444"/>
      <c r="R87" s="446">
        <v>15.0</v>
      </c>
      <c r="S87" s="4">
        <v>2.0</v>
      </c>
      <c r="T87" s="4">
        <v>1.0</v>
      </c>
      <c r="U87" s="4">
        <v>1.0</v>
      </c>
      <c r="V87" s="460">
        <v>1.0</v>
      </c>
      <c r="W87" s="4">
        <v>1.0</v>
      </c>
      <c r="X87" s="4">
        <v>1.0</v>
      </c>
      <c r="Y87" s="4">
        <v>0.0</v>
      </c>
      <c r="Z87" s="4">
        <v>0.0</v>
      </c>
      <c r="AA87" s="4">
        <v>0.0</v>
      </c>
      <c r="AB87" s="4">
        <v>0.0</v>
      </c>
      <c r="AC87" s="439">
        <v>0.0</v>
      </c>
      <c r="AD87" s="444"/>
    </row>
    <row r="88">
      <c r="A88" s="444"/>
      <c r="B88" s="7"/>
      <c r="C88" s="475"/>
      <c r="D88" s="444"/>
      <c r="E88" s="470">
        <v>16.0</v>
      </c>
      <c r="F88" s="298">
        <v>3.0</v>
      </c>
      <c r="G88" s="298">
        <v>2.0</v>
      </c>
      <c r="H88" s="458">
        <v>2.0</v>
      </c>
      <c r="I88" s="458">
        <v>2.0</v>
      </c>
      <c r="J88" s="298">
        <v>2.0</v>
      </c>
      <c r="K88" s="461">
        <v>2.0</v>
      </c>
      <c r="L88" s="461">
        <v>2.0</v>
      </c>
      <c r="M88" s="458">
        <v>2.0</v>
      </c>
      <c r="N88" s="458">
        <v>2.0</v>
      </c>
      <c r="O88" s="458">
        <v>0.0</v>
      </c>
      <c r="P88" s="457">
        <v>0.0</v>
      </c>
      <c r="Q88" s="444"/>
      <c r="R88" s="446">
        <v>16.0</v>
      </c>
      <c r="S88" s="4">
        <v>2.0</v>
      </c>
      <c r="T88" s="4">
        <v>1.0</v>
      </c>
      <c r="U88" s="4">
        <v>1.0</v>
      </c>
      <c r="V88" s="460">
        <v>1.0</v>
      </c>
      <c r="W88" s="4">
        <v>1.0</v>
      </c>
      <c r="X88" s="4">
        <v>1.0</v>
      </c>
      <c r="Y88" s="4">
        <v>1.0</v>
      </c>
      <c r="Z88" s="4">
        <v>0.0</v>
      </c>
      <c r="AA88" s="4">
        <v>0.0</v>
      </c>
      <c r="AB88" s="4">
        <v>0.0</v>
      </c>
      <c r="AC88" s="439">
        <v>0.0</v>
      </c>
      <c r="AD88" s="444"/>
    </row>
    <row r="89">
      <c r="A89" s="444"/>
      <c r="B89" s="7"/>
      <c r="C89" s="475"/>
      <c r="D89" s="444"/>
      <c r="E89" s="470">
        <v>17.0</v>
      </c>
      <c r="F89" s="298">
        <v>3.0</v>
      </c>
      <c r="G89" s="298">
        <v>2.0</v>
      </c>
      <c r="H89" s="458">
        <v>2.0</v>
      </c>
      <c r="I89" s="458">
        <v>2.0</v>
      </c>
      <c r="J89" s="298">
        <v>2.0</v>
      </c>
      <c r="K89" s="461">
        <v>2.0</v>
      </c>
      <c r="L89" s="461">
        <v>2.0</v>
      </c>
      <c r="M89" s="458">
        <v>2.0</v>
      </c>
      <c r="N89" s="458">
        <v>2.0</v>
      </c>
      <c r="O89" s="458">
        <v>1.0</v>
      </c>
      <c r="P89" s="457">
        <v>0.0</v>
      </c>
      <c r="Q89" s="444"/>
      <c r="R89" s="446">
        <v>17.0</v>
      </c>
      <c r="S89" s="4">
        <v>2.0</v>
      </c>
      <c r="T89" s="4">
        <v>1.0</v>
      </c>
      <c r="U89" s="4">
        <v>1.0</v>
      </c>
      <c r="V89" s="460">
        <v>1.0</v>
      </c>
      <c r="W89" s="4">
        <v>1.0</v>
      </c>
      <c r="X89" s="4">
        <v>1.0</v>
      </c>
      <c r="Y89" s="4">
        <v>1.0</v>
      </c>
      <c r="Z89" s="4">
        <v>0.0</v>
      </c>
      <c r="AA89" s="4">
        <v>0.0</v>
      </c>
      <c r="AB89" s="4">
        <v>0.0</v>
      </c>
      <c r="AC89" s="439">
        <v>0.0</v>
      </c>
      <c r="AD89" s="444"/>
    </row>
    <row r="90">
      <c r="A90" s="444"/>
      <c r="B90" s="7"/>
      <c r="C90" s="475"/>
      <c r="D90" s="444"/>
      <c r="E90" s="470">
        <v>18.0</v>
      </c>
      <c r="F90" s="298">
        <v>3.0</v>
      </c>
      <c r="G90" s="298">
        <v>2.0</v>
      </c>
      <c r="H90" s="458">
        <v>2.0</v>
      </c>
      <c r="I90" s="458">
        <v>2.0</v>
      </c>
      <c r="J90" s="298">
        <v>2.0</v>
      </c>
      <c r="K90" s="461">
        <v>2.0</v>
      </c>
      <c r="L90" s="461">
        <v>2.0</v>
      </c>
      <c r="M90" s="458">
        <v>2.0</v>
      </c>
      <c r="N90" s="458">
        <v>2.0</v>
      </c>
      <c r="O90" s="458">
        <v>2.0</v>
      </c>
      <c r="P90" s="457">
        <v>0.0</v>
      </c>
      <c r="Q90" s="444"/>
      <c r="R90" s="446">
        <v>18.0</v>
      </c>
      <c r="S90" s="4">
        <v>2.0</v>
      </c>
      <c r="T90" s="4">
        <v>1.0</v>
      </c>
      <c r="U90" s="4">
        <v>1.0</v>
      </c>
      <c r="V90" s="460">
        <v>1.0</v>
      </c>
      <c r="W90" s="4">
        <v>1.0</v>
      </c>
      <c r="X90" s="4">
        <v>1.0</v>
      </c>
      <c r="Y90" s="4">
        <v>1.0</v>
      </c>
      <c r="Z90" s="4">
        <v>1.0</v>
      </c>
      <c r="AA90" s="4">
        <v>0.0</v>
      </c>
      <c r="AB90" s="4">
        <v>0.0</v>
      </c>
      <c r="AC90" s="439">
        <v>0.0</v>
      </c>
      <c r="AD90" s="444"/>
    </row>
    <row r="91">
      <c r="A91" s="444"/>
      <c r="B91" s="7"/>
      <c r="C91" s="475"/>
      <c r="D91" s="444"/>
      <c r="E91" s="470">
        <v>19.0</v>
      </c>
      <c r="F91" s="298">
        <v>3.0</v>
      </c>
      <c r="G91" s="298">
        <v>2.0</v>
      </c>
      <c r="H91" s="458">
        <v>2.0</v>
      </c>
      <c r="I91" s="458">
        <v>2.0</v>
      </c>
      <c r="J91" s="298">
        <v>2.0</v>
      </c>
      <c r="K91" s="461">
        <v>2.0</v>
      </c>
      <c r="L91" s="461">
        <v>2.0</v>
      </c>
      <c r="M91" s="458">
        <v>2.0</v>
      </c>
      <c r="N91" s="458">
        <v>2.0</v>
      </c>
      <c r="O91" s="458">
        <v>2.0</v>
      </c>
      <c r="P91" s="463">
        <v>1.0</v>
      </c>
      <c r="Q91" s="444"/>
      <c r="R91" s="446">
        <v>19.0</v>
      </c>
      <c r="S91" s="4">
        <v>2.0</v>
      </c>
      <c r="T91" s="4">
        <v>1.0</v>
      </c>
      <c r="U91" s="4">
        <v>1.0</v>
      </c>
      <c r="V91" s="460">
        <v>1.0</v>
      </c>
      <c r="W91" s="4">
        <v>1.0</v>
      </c>
      <c r="X91" s="4">
        <v>1.0</v>
      </c>
      <c r="Y91" s="4">
        <v>1.0</v>
      </c>
      <c r="Z91" s="4">
        <v>1.0</v>
      </c>
      <c r="AA91" s="4">
        <v>0.0</v>
      </c>
      <c r="AB91" s="4">
        <v>0.0</v>
      </c>
      <c r="AC91" s="439">
        <v>0.0</v>
      </c>
      <c r="AD91" s="444"/>
    </row>
    <row r="92">
      <c r="A92" s="444"/>
      <c r="B92" s="7"/>
      <c r="C92" s="475"/>
      <c r="D92" s="444"/>
      <c r="E92" s="440">
        <v>20.0</v>
      </c>
      <c r="F92" s="343">
        <v>3.0</v>
      </c>
      <c r="G92" s="343">
        <v>2.0</v>
      </c>
      <c r="H92" s="464">
        <v>2.0</v>
      </c>
      <c r="I92" s="464">
        <v>2.0</v>
      </c>
      <c r="J92" s="343">
        <v>2.0</v>
      </c>
      <c r="K92" s="472">
        <v>2.0</v>
      </c>
      <c r="L92" s="472">
        <v>2.0</v>
      </c>
      <c r="M92" s="464">
        <v>2.0</v>
      </c>
      <c r="N92" s="464">
        <v>2.0</v>
      </c>
      <c r="O92" s="464">
        <v>2.0</v>
      </c>
      <c r="P92" s="465">
        <v>1.0</v>
      </c>
      <c r="Q92" s="444"/>
      <c r="R92" s="459">
        <v>20.0</v>
      </c>
      <c r="S92" s="454">
        <v>2.0</v>
      </c>
      <c r="T92" s="454">
        <v>1.0</v>
      </c>
      <c r="U92" s="454">
        <v>1.0</v>
      </c>
      <c r="V92" s="466">
        <v>1.0</v>
      </c>
      <c r="W92" s="454">
        <v>1.0</v>
      </c>
      <c r="X92" s="454">
        <v>1.0</v>
      </c>
      <c r="Y92" s="454">
        <v>1.0</v>
      </c>
      <c r="Z92" s="454">
        <v>1.0</v>
      </c>
      <c r="AA92" s="454">
        <v>1.0</v>
      </c>
      <c r="AB92" s="454">
        <v>0.0</v>
      </c>
      <c r="AC92" s="467">
        <v>0.0</v>
      </c>
      <c r="AD92" s="444"/>
    </row>
    <row r="93">
      <c r="A93" s="444"/>
      <c r="B93" s="7"/>
      <c r="C93" s="475"/>
      <c r="D93" s="444"/>
      <c r="E93" s="444"/>
      <c r="F93" s="444"/>
      <c r="G93" s="444"/>
      <c r="H93" s="444"/>
      <c r="I93" s="444"/>
      <c r="J93" s="444"/>
      <c r="K93" s="444"/>
      <c r="L93" s="444"/>
      <c r="M93" s="444"/>
      <c r="N93" s="444"/>
      <c r="O93" s="444"/>
      <c r="P93" s="444"/>
      <c r="Q93" s="444"/>
      <c r="R93" s="444"/>
      <c r="S93" s="444"/>
      <c r="T93" s="444"/>
      <c r="U93" s="444"/>
      <c r="V93" s="444"/>
      <c r="W93" s="444"/>
      <c r="X93" s="444"/>
      <c r="Y93" s="444"/>
      <c r="Z93" s="444"/>
      <c r="AA93" s="444"/>
      <c r="AB93" s="444"/>
      <c r="AC93" s="444"/>
      <c r="AD93" s="444"/>
    </row>
  </sheetData>
  <mergeCells count="24">
    <mergeCell ref="B2:C2"/>
    <mergeCell ref="E2:P2"/>
    <mergeCell ref="R2:AC2"/>
    <mergeCell ref="R3:AC3"/>
    <mergeCell ref="R4:AC4"/>
    <mergeCell ref="R5:AC5"/>
    <mergeCell ref="R6:AC6"/>
    <mergeCell ref="R7:AC7"/>
    <mergeCell ref="R8:AC8"/>
    <mergeCell ref="R9:AC9"/>
    <mergeCell ref="R10:AC10"/>
    <mergeCell ref="R11:AC11"/>
    <mergeCell ref="R12:AC12"/>
    <mergeCell ref="B13:C13"/>
    <mergeCell ref="B62:C62"/>
    <mergeCell ref="E71:P71"/>
    <mergeCell ref="R71:AC71"/>
    <mergeCell ref="R13:AC13"/>
    <mergeCell ref="R14:AC14"/>
    <mergeCell ref="R15:AC15"/>
    <mergeCell ref="E25:P25"/>
    <mergeCell ref="R25:AC25"/>
    <mergeCell ref="E48:P48"/>
    <mergeCell ref="R48:AC48"/>
  </mergeCells>
  <drawing r:id="rId1"/>
</worksheet>
</file>